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V_CAIXA" sheetId="1" state="visible" r:id="rId1"/>
    <sheet xmlns:r="http://schemas.openxmlformats.org/officeDocument/2006/relationships" name="TABELA_PRECOS" sheetId="2" state="visible" r:id="rId2"/>
    <sheet xmlns:r="http://schemas.openxmlformats.org/officeDocument/2006/relationships" name="CAD_CLIENTES" sheetId="3" state="visible" r:id="rId3"/>
    <sheet xmlns:r="http://schemas.openxmlformats.org/officeDocument/2006/relationships" name="REGISTRO_VEND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R$ #,##0.00"/>
    <numFmt numFmtId="165" formatCode="dd/mm/yyyy"/>
    <numFmt numFmtId="166" formatCode="yyyy-mm-dd h:mm:ss"/>
    <numFmt numFmtId="167" formatCode="[$R$-416]\ #,##0.00"/>
    <numFmt numFmtId="168" formatCode="dd/mm/\y\y\y\y"/>
    <numFmt numFmtId="169" formatCode="\R&quot;R$&quot;\ #,##0.00"/>
  </numFmts>
  <fonts count="12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i val="1"/>
      <color rgb="00555555"/>
      <sz val="8"/>
    </font>
    <font>
      <name val="Segoe UI"/>
      <b val="1"/>
      <color rgb="00555555"/>
      <sz val="8"/>
    </font>
    <font>
      <name val="Segoe UI"/>
      <b val="1"/>
      <color rgb="000A5C36"/>
      <sz val="14"/>
    </font>
    <font>
      <name val="Segoe UI"/>
      <b val="1"/>
      <color rgb="001A4C6E"/>
      <sz val="13"/>
    </font>
    <font>
      <name val="Segoe UI"/>
      <b val="1"/>
      <color rgb="00FFFFFF"/>
      <sz val="10"/>
    </font>
    <font>
      <name val="Segoe UI"/>
      <b val="1"/>
      <color rgb="00FFFFFF"/>
      <sz val="9"/>
    </font>
    <font>
      <name val="Segoe UI"/>
      <b val="1"/>
      <color rgb="FFFFFFFF"/>
      <sz val="10"/>
    </font>
    <font>
      <name val="Aptos Narrow"/>
      <b val="1"/>
      <color rgb="FFFFFFFF"/>
      <sz val="11"/>
    </font>
    <font>
      <name val="Aptos Narrow"/>
      <color theme="1"/>
      <sz val="11"/>
    </font>
    <font>
      <name val="Segoe UI"/>
      <b val="1"/>
      <color rgb="FFFFFFFF"/>
      <sz val="11"/>
    </font>
  </fonts>
  <fills count="7">
    <fill>
      <patternFill/>
    </fill>
    <fill>
      <patternFill patternType="gray125"/>
    </fill>
    <fill>
      <patternFill patternType="solid">
        <fgColor rgb="001A252F"/>
        <bgColor rgb="001A252F"/>
      </patternFill>
    </fill>
    <fill>
      <patternFill patternType="solid">
        <fgColor rgb="00F8F9FA"/>
        <bgColor rgb="00F8F9FA"/>
      </patternFill>
    </fill>
    <fill>
      <patternFill patternType="solid">
        <fgColor rgb="002A3B4C"/>
        <bgColor rgb="002A3B4C"/>
      </patternFill>
    </fill>
    <fill>
      <patternFill patternType="solid">
        <fgColor rgb="FF2F251A"/>
        <bgColor indexed="64"/>
      </patternFill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8" fillId="5" borderId="1" pivotButton="0" quotePrefix="0" xfId="0"/>
    <xf numFmtId="0" fontId="9" fillId="5" borderId="1" pivotButton="0" quotePrefix="0" xfId="0"/>
    <xf numFmtId="14" fontId="10" fillId="0" borderId="1" pivotButton="0" quotePrefix="0" xfId="0"/>
    <xf numFmtId="0" fontId="8" fillId="6" borderId="1" pivotButton="0" quotePrefix="0" xfId="0"/>
    <xf numFmtId="167" fontId="8" fillId="6" borderId="1" pivotButton="0" quotePrefix="0" xfId="0"/>
    <xf numFmtId="10" fontId="8" fillId="6" borderId="1" pivotButton="0" quotePrefix="0" xfId="0"/>
    <xf numFmtId="0" fontId="11" fillId="6" borderId="1" pivotButton="0" quotePrefix="0" xfId="0"/>
    <xf numFmtId="167" fontId="10" fillId="0" borderId="1" pivotButton="0" quotePrefix="0" xfId="0"/>
    <xf numFmtId="10" fontId="10" fillId="0" borderId="1" pivotButton="0" quotePrefix="0" xfId="0"/>
    <xf numFmtId="168" fontId="10" fillId="0" borderId="1" pivotButton="0" quotePrefix="0" xfId="0"/>
    <xf numFmtId="169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6" customWidth="1" min="3" max="3"/>
    <col width="32" customWidth="1" min="4" max="4"/>
    <col width="20" customWidth="1" min="5" max="5"/>
    <col width="16" customWidth="1" min="6" max="6"/>
    <col width="14" customWidth="1" min="7" max="7"/>
    <col width="22" customWidth="1" min="8" max="8"/>
  </cols>
  <sheetData>
    <row r="2">
      <c r="B2" s="1" t="inlineStr">
        <is>
          <t>🛒 SISTEMA DE PONTO DE VENDA (PDV) - CAIXA ONLINE</t>
        </is>
      </c>
    </row>
    <row r="3"/>
    <row r="5">
      <c r="B5" s="2" t="inlineStr">
        <is>
          <t>⚡ Dica: Abra o menu superior 'SISTEMA PDV 🚀' para iniciar o Caixa ou buscar produtos rapidamente.</t>
        </is>
      </c>
    </row>
    <row r="7">
      <c r="B7" s="3" t="inlineStr">
        <is>
          <t>💰 VENDAS DO DIA</t>
        </is>
      </c>
      <c r="E7" s="3" t="inlineStr">
        <is>
          <t>📦 ITENS VENDIDOS HOJE</t>
        </is>
      </c>
    </row>
    <row r="8">
      <c r="B8" s="4">
        <f>SUMIFS(REGISTRO_VENDAS!G:G, REGISTRO_VENDAS!B:B, TODAY(), REGISTRO_VENDAS!I:I, "Concluida")</f>
        <v/>
      </c>
      <c r="E8" s="5">
        <f>COUNTIFS(REGISTRO_VENDAS!B:B, TODAY(), REGISTRO_VENDAS!I:I, "Concluida")</f>
        <v/>
      </c>
    </row>
    <row r="9"/>
    <row r="11">
      <c r="B11" s="6" t="inlineStr">
        <is>
          <t>📋 ÚLTIMAS TRANSAÇÕES REGISTRADAS NESTE CAIXA</t>
        </is>
      </c>
    </row>
    <row r="12">
      <c r="B12" s="7" t="inlineStr">
        <is>
          <t>ID</t>
        </is>
      </c>
      <c r="C12" s="7" t="inlineStr">
        <is>
          <t>Hora/Data</t>
        </is>
      </c>
      <c r="D12" s="7" t="inlineStr">
        <is>
          <t>Cliente</t>
        </is>
      </c>
      <c r="E12" s="7" t="inlineStr">
        <is>
          <t>Forma Pagto</t>
        </is>
      </c>
      <c r="F12" s="7" t="inlineStr">
        <is>
          <t>Total Venda</t>
        </is>
      </c>
      <c r="G12" s="7" t="inlineStr">
        <is>
          <t>Status</t>
        </is>
      </c>
      <c r="H12" s="7" t="inlineStr">
        <is>
          <t>Operador</t>
        </is>
      </c>
    </row>
    <row r="13">
      <c r="B13" s="8">
        <f>IF(REGISTRO_VENDAS!A2&lt;&gt;"", REGISTRO_VENDAS!A2, "")</f>
        <v/>
      </c>
      <c r="C13" s="9">
        <f>IF(REGISTRO_VENDAS!B2&lt;&gt;"", REGISTRO_VENDAS!B2, "")</f>
        <v/>
      </c>
      <c r="D13">
        <f>IF(REGISTRO_VENDAS!D2&lt;&gt;"", REGISTRO_VENDAS!D2, "")</f>
        <v/>
      </c>
      <c r="E13">
        <f>IF(REGISTRO_VENDAS!H2&lt;&gt;"", REGISTRO_VENDAS!H2, "")</f>
        <v/>
      </c>
      <c r="F13" s="10">
        <f>IF(REGISTRO_VENDAS!G2&lt;&gt;"", REGISTRO_VENDAS!G2, "")</f>
        <v/>
      </c>
      <c r="G13" s="8">
        <f>IF(REGISTRO_VENDAS!I2&lt;&gt;"", REGISTRO_VENDAS!I2, "")</f>
        <v/>
      </c>
      <c r="H13">
        <f>IF(REGISTRO_VENDAS!M2&lt;&gt;"", REGISTRO_VENDAS!M2, "")</f>
        <v/>
      </c>
    </row>
    <row r="14">
      <c r="B14" s="8">
        <f>IF(REGISTRO_VENDAS!A3&lt;&gt;"", REGISTRO_VENDAS!A3, "")</f>
        <v/>
      </c>
      <c r="C14" s="9">
        <f>IF(REGISTRO_VENDAS!B3&lt;&gt;"", REGISTRO_VENDAS!B3, "")</f>
        <v/>
      </c>
      <c r="D14">
        <f>IF(REGISTRO_VENDAS!D3&lt;&gt;"", REGISTRO_VENDAS!D3, "")</f>
        <v/>
      </c>
      <c r="E14">
        <f>IF(REGISTRO_VENDAS!H3&lt;&gt;"", REGISTRO_VENDAS!H3, "")</f>
        <v/>
      </c>
      <c r="F14" s="10">
        <f>IF(REGISTRO_VENDAS!G3&lt;&gt;"", REGISTRO_VENDAS!G3, "")</f>
        <v/>
      </c>
      <c r="G14" s="8">
        <f>IF(REGISTRO_VENDAS!I3&lt;&gt;"", REGISTRO_VENDAS!I3, "")</f>
        <v/>
      </c>
      <c r="H14">
        <f>IF(REGISTRO_VENDAS!M3&lt;&gt;"", REGISTRO_VENDAS!M3, "")</f>
        <v/>
      </c>
    </row>
    <row r="15">
      <c r="B15" s="8">
        <f>IF(REGISTRO_VENDAS!A4&lt;&gt;"", REGISTRO_VENDAS!A4, "")</f>
        <v/>
      </c>
      <c r="C15" s="9">
        <f>IF(REGISTRO_VENDAS!B4&lt;&gt;"", REGISTRO_VENDAS!B4, "")</f>
        <v/>
      </c>
      <c r="D15">
        <f>IF(REGISTRO_VENDAS!D4&lt;&gt;"", REGISTRO_VENDAS!D4, "")</f>
        <v/>
      </c>
      <c r="E15">
        <f>IF(REGISTRO_VENDAS!H4&lt;&gt;"", REGISTRO_VENDAS!H4, "")</f>
        <v/>
      </c>
      <c r="F15" s="10">
        <f>IF(REGISTRO_VENDAS!G4&lt;&gt;"", REGISTRO_VENDAS!G4, "")</f>
        <v/>
      </c>
      <c r="G15" s="8">
        <f>IF(REGISTRO_VENDAS!I4&lt;&gt;"", REGISTRO_VENDAS!I4, "")</f>
        <v/>
      </c>
      <c r="H15">
        <f>IF(REGISTRO_VENDAS!M4&lt;&gt;"", REGISTRO_VENDAS!M4, "")</f>
        <v/>
      </c>
    </row>
    <row r="16">
      <c r="B16" s="8">
        <f>IF(REGISTRO_VENDAS!A5&lt;&gt;"", REGISTRO_VENDAS!A5, "")</f>
        <v/>
      </c>
      <c r="C16" s="9">
        <f>IF(REGISTRO_VENDAS!B5&lt;&gt;"", REGISTRO_VENDAS!B5, "")</f>
        <v/>
      </c>
      <c r="D16">
        <f>IF(REGISTRO_VENDAS!D5&lt;&gt;"", REGISTRO_VENDAS!D5, "")</f>
        <v/>
      </c>
      <c r="E16">
        <f>IF(REGISTRO_VENDAS!H5&lt;&gt;"", REGISTRO_VENDAS!H5, "")</f>
        <v/>
      </c>
      <c r="F16" s="10">
        <f>IF(REGISTRO_VENDAS!G5&lt;&gt;"", REGISTRO_VENDAS!G5, "")</f>
        <v/>
      </c>
      <c r="G16" s="8">
        <f>IF(REGISTRO_VENDAS!I5&lt;&gt;"", REGISTRO_VENDAS!I5, "")</f>
        <v/>
      </c>
      <c r="H16">
        <f>IF(REGISTRO_VENDAS!M5&lt;&gt;"", REGISTRO_VENDAS!M5, "")</f>
        <v/>
      </c>
    </row>
    <row r="17">
      <c r="B17" s="8">
        <f>IF(REGISTRO_VENDAS!A6&lt;&gt;"", REGISTRO_VENDAS!A6, "")</f>
        <v/>
      </c>
      <c r="C17" s="9">
        <f>IF(REGISTRO_VENDAS!B6&lt;&gt;"", REGISTRO_VENDAS!B6, "")</f>
        <v/>
      </c>
      <c r="D17">
        <f>IF(REGISTRO_VENDAS!D6&lt;&gt;"", REGISTRO_VENDAS!D6, "")</f>
        <v/>
      </c>
      <c r="E17">
        <f>IF(REGISTRO_VENDAS!H6&lt;&gt;"", REGISTRO_VENDAS!H6, "")</f>
        <v/>
      </c>
      <c r="F17" s="10">
        <f>IF(REGISTRO_VENDAS!G6&lt;&gt;"", REGISTRO_VENDAS!G6, "")</f>
        <v/>
      </c>
      <c r="G17" s="8">
        <f>IF(REGISTRO_VENDAS!I6&lt;&gt;"", REGISTRO_VENDAS!I6, "")</f>
        <v/>
      </c>
      <c r="H17">
        <f>IF(REGISTRO_VENDAS!M6&lt;&gt;"", REGISTRO_VENDAS!M6, "")</f>
        <v/>
      </c>
    </row>
    <row r="18">
      <c r="B18" s="8">
        <f>IF(REGISTRO_VENDAS!A7&lt;&gt;"", REGISTRO_VENDAS!A7, "")</f>
        <v/>
      </c>
      <c r="C18" s="9">
        <f>IF(REGISTRO_VENDAS!B7&lt;&gt;"", REGISTRO_VENDAS!B7, "")</f>
        <v/>
      </c>
      <c r="D18">
        <f>IF(REGISTRO_VENDAS!D7&lt;&gt;"", REGISTRO_VENDAS!D7, "")</f>
        <v/>
      </c>
      <c r="E18">
        <f>IF(REGISTRO_VENDAS!H7&lt;&gt;"", REGISTRO_VENDAS!H7, "")</f>
        <v/>
      </c>
      <c r="F18" s="10">
        <f>IF(REGISTRO_VENDAS!G7&lt;&gt;"", REGISTRO_VENDAS!G7, "")</f>
        <v/>
      </c>
      <c r="G18" s="8">
        <f>IF(REGISTRO_VENDAS!I7&lt;&gt;"", REGISTRO_VENDAS!I7, "")</f>
        <v/>
      </c>
      <c r="H18">
        <f>IF(REGISTRO_VENDAS!M7&lt;&gt;"", REGISTRO_VENDAS!M7, "")</f>
        <v/>
      </c>
    </row>
    <row r="19">
      <c r="B19" s="8">
        <f>IF(REGISTRO_VENDAS!A8&lt;&gt;"", REGISTRO_VENDAS!A8, "")</f>
        <v/>
      </c>
      <c r="C19" s="9">
        <f>IF(REGISTRO_VENDAS!B8&lt;&gt;"", REGISTRO_VENDAS!B8, "")</f>
        <v/>
      </c>
      <c r="D19">
        <f>IF(REGISTRO_VENDAS!D8&lt;&gt;"", REGISTRO_VENDAS!D8, "")</f>
        <v/>
      </c>
      <c r="E19">
        <f>IF(REGISTRO_VENDAS!H8&lt;&gt;"", REGISTRO_VENDAS!H8, "")</f>
        <v/>
      </c>
      <c r="F19" s="10">
        <f>IF(REGISTRO_VENDAS!G8&lt;&gt;"", REGISTRO_VENDAS!G8, "")</f>
        <v/>
      </c>
      <c r="G19" s="8">
        <f>IF(REGISTRO_VENDAS!I8&lt;&gt;"", REGISTRO_VENDAS!I8, "")</f>
        <v/>
      </c>
      <c r="H19">
        <f>IF(REGISTRO_VENDAS!M8&lt;&gt;"", REGISTRO_VENDAS!M8, "")</f>
        <v/>
      </c>
    </row>
    <row r="20">
      <c r="B20" s="8">
        <f>IF(REGISTRO_VENDAS!A9&lt;&gt;"", REGISTRO_VENDAS!A9, "")</f>
        <v/>
      </c>
      <c r="C20" s="9">
        <f>IF(REGISTRO_VENDAS!B9&lt;&gt;"", REGISTRO_VENDAS!B9, "")</f>
        <v/>
      </c>
      <c r="D20">
        <f>IF(REGISTRO_VENDAS!D9&lt;&gt;"", REGISTRO_VENDAS!D9, "")</f>
        <v/>
      </c>
      <c r="E20">
        <f>IF(REGISTRO_VENDAS!H9&lt;&gt;"", REGISTRO_VENDAS!H9, "")</f>
        <v/>
      </c>
      <c r="F20" s="10">
        <f>IF(REGISTRO_VENDAS!G9&lt;&gt;"", REGISTRO_VENDAS!G9, "")</f>
        <v/>
      </c>
      <c r="G20" s="8">
        <f>IF(REGISTRO_VENDAS!I9&lt;&gt;"", REGISTRO_VENDAS!I9, "")</f>
        <v/>
      </c>
      <c r="H20">
        <f>IF(REGISTRO_VENDAS!M9&lt;&gt;"", REGISTRO_VENDAS!M9, "")</f>
        <v/>
      </c>
    </row>
    <row r="21">
      <c r="B21" s="8">
        <f>IF(REGISTRO_VENDAS!A10&lt;&gt;"", REGISTRO_VENDAS!A10, "")</f>
        <v/>
      </c>
      <c r="C21" s="9">
        <f>IF(REGISTRO_VENDAS!B10&lt;&gt;"", REGISTRO_VENDAS!B10, "")</f>
        <v/>
      </c>
      <c r="D21">
        <f>IF(REGISTRO_VENDAS!D10&lt;&gt;"", REGISTRO_VENDAS!D10, "")</f>
        <v/>
      </c>
      <c r="E21">
        <f>IF(REGISTRO_VENDAS!H10&lt;&gt;"", REGISTRO_VENDAS!H10, "")</f>
        <v/>
      </c>
      <c r="F21" s="10">
        <f>IF(REGISTRO_VENDAS!G10&lt;&gt;"", REGISTRO_VENDAS!G10, "")</f>
        <v/>
      </c>
      <c r="G21" s="8">
        <f>IF(REGISTRO_VENDAS!I10&lt;&gt;"", REGISTRO_VENDAS!I10, "")</f>
        <v/>
      </c>
      <c r="H21">
        <f>IF(REGISTRO_VENDAS!M10&lt;&gt;"", REGISTRO_VENDAS!M10, "")</f>
        <v/>
      </c>
    </row>
    <row r="22">
      <c r="B22" s="8">
        <f>IF(REGISTRO_VENDAS!A11&lt;&gt;"", REGISTRO_VENDAS!A11, "")</f>
        <v/>
      </c>
      <c r="C22" s="9">
        <f>IF(REGISTRO_VENDAS!B11&lt;&gt;"", REGISTRO_VENDAS!B11, "")</f>
        <v/>
      </c>
      <c r="D22">
        <f>IF(REGISTRO_VENDAS!D11&lt;&gt;"", REGISTRO_VENDAS!D11, "")</f>
        <v/>
      </c>
      <c r="E22">
        <f>IF(REGISTRO_VENDAS!H11&lt;&gt;"", REGISTRO_VENDAS!H11, "")</f>
        <v/>
      </c>
      <c r="F22" s="10">
        <f>IF(REGISTRO_VENDAS!G11&lt;&gt;"", REGISTRO_VENDAS!G11, "")</f>
        <v/>
      </c>
      <c r="G22" s="8">
        <f>IF(REGISTRO_VENDAS!I11&lt;&gt;"", REGISTRO_VENDAS!I11, "")</f>
        <v/>
      </c>
      <c r="H22">
        <f>IF(REGISTRO_VENDAS!M11&lt;&gt;"", REGISTRO_VENDAS!M11, "")</f>
        <v/>
      </c>
    </row>
    <row r="23">
      <c r="B23" s="8">
        <f>IF(REGISTRO_VENDAS!A12&lt;&gt;"", REGISTRO_VENDAS!A12, "")</f>
        <v/>
      </c>
      <c r="C23" s="9">
        <f>IF(REGISTRO_VENDAS!B12&lt;&gt;"", REGISTRO_VENDAS!B12, "")</f>
        <v/>
      </c>
      <c r="D23">
        <f>IF(REGISTRO_VENDAS!D12&lt;&gt;"", REGISTRO_VENDAS!D12, "")</f>
        <v/>
      </c>
      <c r="E23">
        <f>IF(REGISTRO_VENDAS!H12&lt;&gt;"", REGISTRO_VENDAS!H12, "")</f>
        <v/>
      </c>
      <c r="F23" s="10">
        <f>IF(REGISTRO_VENDAS!G12&lt;&gt;"", REGISTRO_VENDAS!G12, "")</f>
        <v/>
      </c>
      <c r="G23" s="8">
        <f>IF(REGISTRO_VENDAS!I12&lt;&gt;"", REGISTRO_VENDAS!I12, "")</f>
        <v/>
      </c>
      <c r="H23">
        <f>IF(REGISTRO_VENDAS!M12&lt;&gt;"", REGISTRO_VENDAS!M12, "")</f>
        <v/>
      </c>
    </row>
    <row r="24">
      <c r="B24" s="8">
        <f>IF(REGISTRO_VENDAS!A13&lt;&gt;"", REGISTRO_VENDAS!A13, "")</f>
        <v/>
      </c>
      <c r="C24" s="9">
        <f>IF(REGISTRO_VENDAS!B13&lt;&gt;"", REGISTRO_VENDAS!B13, "")</f>
        <v/>
      </c>
      <c r="D24">
        <f>IF(REGISTRO_VENDAS!D13&lt;&gt;"", REGISTRO_VENDAS!D13, "")</f>
        <v/>
      </c>
      <c r="E24">
        <f>IF(REGISTRO_VENDAS!H13&lt;&gt;"", REGISTRO_VENDAS!H13, "")</f>
        <v/>
      </c>
      <c r="F24" s="10">
        <f>IF(REGISTRO_VENDAS!G13&lt;&gt;"", REGISTRO_VENDAS!G13, "")</f>
        <v/>
      </c>
      <c r="G24" s="8">
        <f>IF(REGISTRO_VENDAS!I13&lt;&gt;"", REGISTRO_VENDAS!I13, "")</f>
        <v/>
      </c>
      <c r="H24">
        <f>IF(REGISTRO_VENDAS!M13&lt;&gt;"", REGISTRO_VENDAS!M13, "")</f>
        <v/>
      </c>
    </row>
    <row r="25">
      <c r="B25" s="8">
        <f>IF(REGISTRO_VENDAS!A14&lt;&gt;"", REGISTRO_VENDAS!A14, "")</f>
        <v/>
      </c>
      <c r="C25" s="9">
        <f>IF(REGISTRO_VENDAS!B14&lt;&gt;"", REGISTRO_VENDAS!B14, "")</f>
        <v/>
      </c>
      <c r="D25">
        <f>IF(REGISTRO_VENDAS!D14&lt;&gt;"", REGISTRO_VENDAS!D14, "")</f>
        <v/>
      </c>
      <c r="E25">
        <f>IF(REGISTRO_VENDAS!H14&lt;&gt;"", REGISTRO_VENDAS!H14, "")</f>
        <v/>
      </c>
      <c r="F25" s="10">
        <f>IF(REGISTRO_VENDAS!G14&lt;&gt;"", REGISTRO_VENDAS!G14, "")</f>
        <v/>
      </c>
      <c r="G25" s="8">
        <f>IF(REGISTRO_VENDAS!I14&lt;&gt;"", REGISTRO_VENDAS!I14, "")</f>
        <v/>
      </c>
      <c r="H25">
        <f>IF(REGISTRO_VENDAS!M14&lt;&gt;"", REGISTRO_VENDAS!M14, "")</f>
        <v/>
      </c>
    </row>
    <row r="26">
      <c r="B26" s="8">
        <f>IF(REGISTRO_VENDAS!A15&lt;&gt;"", REGISTRO_VENDAS!A15, "")</f>
        <v/>
      </c>
      <c r="C26" s="9">
        <f>IF(REGISTRO_VENDAS!B15&lt;&gt;"", REGISTRO_VENDAS!B15, "")</f>
        <v/>
      </c>
      <c r="D26">
        <f>IF(REGISTRO_VENDAS!D15&lt;&gt;"", REGISTRO_VENDAS!D15, "")</f>
        <v/>
      </c>
      <c r="E26">
        <f>IF(REGISTRO_VENDAS!H15&lt;&gt;"", REGISTRO_VENDAS!H15, "")</f>
        <v/>
      </c>
      <c r="F26" s="10">
        <f>IF(REGISTRO_VENDAS!G15&lt;&gt;"", REGISTRO_VENDAS!G15, "")</f>
        <v/>
      </c>
      <c r="G26" s="8">
        <f>IF(REGISTRO_VENDAS!I15&lt;&gt;"", REGISTRO_VENDAS!I15, "")</f>
        <v/>
      </c>
      <c r="H26">
        <f>IF(REGISTRO_VENDAS!M15&lt;&gt;"", REGISTRO_VENDAS!M15, "")</f>
        <v/>
      </c>
    </row>
    <row r="27">
      <c r="B27" s="8">
        <f>IF(REGISTRO_VENDAS!A16&lt;&gt;"", REGISTRO_VENDAS!A16, "")</f>
        <v/>
      </c>
      <c r="C27" s="9">
        <f>IF(REGISTRO_VENDAS!B16&lt;&gt;"", REGISTRO_VENDAS!B16, "")</f>
        <v/>
      </c>
      <c r="D27">
        <f>IF(REGISTRO_VENDAS!D16&lt;&gt;"", REGISTRO_VENDAS!D16, "")</f>
        <v/>
      </c>
      <c r="E27">
        <f>IF(REGISTRO_VENDAS!H16&lt;&gt;"", REGISTRO_VENDAS!H16, "")</f>
        <v/>
      </c>
      <c r="F27" s="10">
        <f>IF(REGISTRO_VENDAS!G16&lt;&gt;"", REGISTRO_VENDAS!G16, "")</f>
        <v/>
      </c>
      <c r="G27" s="8">
        <f>IF(REGISTRO_VENDAS!I16&lt;&gt;"", REGISTRO_VENDAS!I16, "")</f>
        <v/>
      </c>
      <c r="H27">
        <f>IF(REGISTRO_VENDAS!M16&lt;&gt;"", REGISTRO_VENDAS!M16, "")</f>
        <v/>
      </c>
    </row>
  </sheetData>
  <mergeCells count="7">
    <mergeCell ref="B8:C9"/>
    <mergeCell ref="B7:C7"/>
    <mergeCell ref="E7:F7"/>
    <mergeCell ref="B2:H3"/>
    <mergeCell ref="B11:H11"/>
    <mergeCell ref="E8:F9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6" customWidth="1" min="3" max="3"/>
    <col width="16" customWidth="1" min="4" max="4"/>
    <col width="16" customWidth="1" min="5" max="5"/>
  </cols>
  <sheetData>
    <row r="1" ht="24" customHeight="1">
      <c r="A1" s="7" t="inlineStr">
        <is>
          <t>ID</t>
        </is>
      </c>
      <c r="B1" s="7" t="inlineStr">
        <is>
          <t>TIPO</t>
        </is>
      </c>
      <c r="C1" s="7" t="inlineStr">
        <is>
          <t>DESCRICAO</t>
        </is>
      </c>
      <c r="D1" s="7" t="inlineStr">
        <is>
          <t>PRECO_VENDA</t>
        </is>
      </c>
      <c r="E1" s="7" t="inlineStr">
        <is>
          <t>ESTOQUE_ATUAL</t>
        </is>
      </c>
    </row>
    <row r="2">
      <c r="A2" s="8" t="n">
        <v>1</v>
      </c>
      <c r="B2" s="8" t="inlineStr">
        <is>
          <t>Produto</t>
        </is>
      </c>
      <c r="C2" t="inlineStr">
        <is>
          <t>Touca de natação adulto cinza tam. GG</t>
        </is>
      </c>
      <c r="D2" s="10">
        <f>ROUND(D2*(1+(E2/100)),2)</f>
        <v/>
      </c>
      <c r="E2" s="8" t="n">
        <v>5</v>
      </c>
    </row>
    <row r="3">
      <c r="A3" s="8" t="n">
        <v>2</v>
      </c>
      <c r="B3" s="8" t="inlineStr">
        <is>
          <t>Produto</t>
        </is>
      </c>
      <c r="C3" t="inlineStr">
        <is>
          <t>Bola de pilates ventilado azul</t>
        </is>
      </c>
      <c r="D3" s="10">
        <f>ROUND(D3*(1+(E3/100)),2)</f>
        <v/>
      </c>
      <c r="E3" s="8" t="n">
        <v>15</v>
      </c>
    </row>
    <row r="4">
      <c r="A4" s="8" t="n">
        <v>3</v>
      </c>
      <c r="B4" s="8" t="inlineStr">
        <is>
          <t>Produto</t>
        </is>
      </c>
      <c r="C4" t="inlineStr">
        <is>
          <t>Bola de vôlei profissional verde</t>
        </is>
      </c>
      <c r="D4" s="10">
        <f>ROUND(D4*(1+(E4/100)),2)</f>
        <v/>
      </c>
      <c r="E4" s="8" t="n">
        <v>14</v>
      </c>
    </row>
    <row r="5">
      <c r="A5" s="8" t="n">
        <v>4</v>
      </c>
      <c r="B5" s="8" t="inlineStr">
        <is>
          <t>Produto</t>
        </is>
      </c>
      <c r="C5" t="inlineStr">
        <is>
          <t>Saco de pancadas ventilado verde</t>
        </is>
      </c>
      <c r="D5" s="10">
        <f>ROUND(D5*(1+(E5/100)),2)</f>
        <v/>
      </c>
      <c r="E5" s="8" t="n">
        <v>14</v>
      </c>
    </row>
    <row r="6">
      <c r="A6" s="8" t="n">
        <v>5</v>
      </c>
      <c r="B6" s="8" t="inlineStr">
        <is>
          <t>Produto</t>
        </is>
      </c>
      <c r="C6" t="inlineStr">
        <is>
          <t>Skate alta performance verde</t>
        </is>
      </c>
      <c r="D6" s="10">
        <f>ROUND(D6*(1+(E6/100)),2)</f>
        <v/>
      </c>
      <c r="E6" s="8" t="n">
        <v>15</v>
      </c>
    </row>
    <row r="7">
      <c r="A7" s="8" t="n">
        <v>6</v>
      </c>
      <c r="B7" s="8" t="inlineStr">
        <is>
          <t>Produto</t>
        </is>
      </c>
      <c r="C7" t="inlineStr">
        <is>
          <t>Bolsa de academia leve laranja</t>
        </is>
      </c>
      <c r="D7" s="10">
        <f>ROUND(D7*(1+(E7/100)),2)</f>
        <v/>
      </c>
      <c r="E7" s="8" t="n">
        <v>15</v>
      </c>
    </row>
    <row r="8">
      <c r="A8" s="8" t="n">
        <v>7</v>
      </c>
      <c r="B8" s="8" t="inlineStr">
        <is>
          <t>Produto</t>
        </is>
      </c>
      <c r="C8" t="inlineStr">
        <is>
          <t>Chuteira society modelo básico azul tam. M</t>
        </is>
      </c>
      <c r="D8" s="10">
        <f>ROUND(D8*(1+(E8/100)),2)</f>
        <v/>
      </c>
      <c r="E8" s="8" t="n">
        <v>15</v>
      </c>
    </row>
    <row r="9">
      <c r="A9" s="8" t="n">
        <v>8</v>
      </c>
      <c r="B9" s="8" t="inlineStr">
        <is>
          <t>Produto</t>
        </is>
      </c>
      <c r="C9" t="inlineStr">
        <is>
          <t>Colchonete de exercício versão 2026 cinza</t>
        </is>
      </c>
      <c r="D9" s="10">
        <f>ROUND(D9*(1+(E9/100)),2)</f>
        <v/>
      </c>
      <c r="E9" s="8" t="n">
        <v>14</v>
      </c>
    </row>
    <row r="10">
      <c r="A10" s="8" t="n">
        <v>9</v>
      </c>
      <c r="B10" s="8" t="inlineStr">
        <is>
          <t>Produto</t>
        </is>
      </c>
      <c r="C10" t="inlineStr">
        <is>
          <t>Bastão de caminhada ventilado azul</t>
        </is>
      </c>
      <c r="D10" s="10">
        <f>ROUND(D10*(1+(E10/100)),2)</f>
        <v/>
      </c>
      <c r="E10" s="8" t="n">
        <v>15</v>
      </c>
    </row>
    <row r="11">
      <c r="A11" s="8" t="n">
        <v>10</v>
      </c>
      <c r="B11" s="8" t="inlineStr">
        <is>
          <t>Produto</t>
        </is>
      </c>
      <c r="C11" t="inlineStr">
        <is>
          <t>Bloco para yoga ventilado cinza</t>
        </is>
      </c>
      <c r="D11" s="10">
        <f>ROUND(D11*(1+(E11/100)),2)</f>
        <v/>
      </c>
      <c r="E11" s="8" t="n">
        <v>15</v>
      </c>
    </row>
    <row r="12">
      <c r="A12" s="8" t="n">
        <v>11</v>
      </c>
      <c r="B12" s="8" t="inlineStr">
        <is>
          <t>Produto</t>
        </is>
      </c>
      <c r="C12" t="inlineStr">
        <is>
          <t>Kimono de judô unissex verde tam. M</t>
        </is>
      </c>
      <c r="D12" s="10">
        <f>ROUND(D12*(1+(E12/100)),2)</f>
        <v/>
      </c>
      <c r="E12" s="8" t="n">
        <v>15</v>
      </c>
    </row>
    <row r="13">
      <c r="A13" s="8" t="n">
        <v>12</v>
      </c>
      <c r="B13" s="8" t="inlineStr">
        <is>
          <t>Produto</t>
        </is>
      </c>
      <c r="C13" t="inlineStr">
        <is>
          <t>Jaqueta esportiva profissional verde tam. M</t>
        </is>
      </c>
      <c r="D13" s="10">
        <f>ROUND(D13*(1+(E13/100)),2)</f>
        <v/>
      </c>
      <c r="E13" s="8" t="n">
        <v>15</v>
      </c>
    </row>
    <row r="14">
      <c r="A14" s="8" t="n">
        <v>13</v>
      </c>
      <c r="B14" s="8" t="inlineStr">
        <is>
          <t>Produto</t>
        </is>
      </c>
      <c r="C14" t="inlineStr">
        <is>
          <t>Capacete de ciclismo leve branco</t>
        </is>
      </c>
      <c r="D14" s="10">
        <f>ROUND(D14*(1+(E14/100)),2)</f>
        <v/>
      </c>
      <c r="E14" s="8" t="n">
        <v>15</v>
      </c>
    </row>
    <row r="15">
      <c r="A15" s="8" t="n">
        <v>14</v>
      </c>
      <c r="B15" s="8" t="inlineStr">
        <is>
          <t>Produto</t>
        </is>
      </c>
      <c r="C15" t="inlineStr">
        <is>
          <t>Prancha de natação profissional vermelho</t>
        </is>
      </c>
      <c r="D15" s="10">
        <f>ROUND(D15*(1+(E15/100)),2)</f>
        <v/>
      </c>
      <c r="E15" s="8" t="n">
        <v>15</v>
      </c>
    </row>
    <row r="16">
      <c r="A16" s="8" t="n">
        <v>15</v>
      </c>
      <c r="B16" s="8" t="inlineStr">
        <is>
          <t>Produto</t>
        </is>
      </c>
      <c r="C16" t="inlineStr">
        <is>
          <t>Meias esportivas com ajuste laranja tam. 34</t>
        </is>
      </c>
      <c r="D16" s="10">
        <f>ROUND(D16*(1+(E16/100)),2)</f>
        <v/>
      </c>
      <c r="E16" s="8" t="n">
        <v>15</v>
      </c>
    </row>
    <row r="17">
      <c r="A17" s="8" t="n">
        <v>16</v>
      </c>
      <c r="B17" s="8" t="inlineStr">
        <is>
          <t>Produto</t>
        </is>
      </c>
      <c r="C17" t="inlineStr">
        <is>
          <t>Touca de natação compacto branco tam. P</t>
        </is>
      </c>
      <c r="D17" s="10">
        <f>ROUND(D17*(1+(E17/100)),2)</f>
        <v/>
      </c>
      <c r="E17" s="8" t="n">
        <v>15</v>
      </c>
    </row>
    <row r="18">
      <c r="A18" s="8" t="n">
        <v>17</v>
      </c>
      <c r="B18" s="8" t="inlineStr">
        <is>
          <t>Produto</t>
        </is>
      </c>
      <c r="C18" t="inlineStr">
        <is>
          <t>Bola de vôlei para uso diário cinza</t>
        </is>
      </c>
      <c r="D18" s="10">
        <f>ROUND(D18*(1+(E18/100)),2)</f>
        <v/>
      </c>
      <c r="E18" s="8" t="n">
        <v>15</v>
      </c>
    </row>
    <row r="19">
      <c r="A19" s="8" t="n">
        <v>18</v>
      </c>
      <c r="B19" s="8" t="inlineStr">
        <is>
          <t>Produto</t>
        </is>
      </c>
      <c r="C19" t="inlineStr">
        <is>
          <t>Protetor bucal reforçado rosa</t>
        </is>
      </c>
      <c r="D19" s="10">
        <f>ROUND(D19*(1+(E19/100)),2)</f>
        <v/>
      </c>
      <c r="E19" s="8" t="n">
        <v>15</v>
      </c>
    </row>
    <row r="20">
      <c r="A20" s="8" t="n">
        <v>19</v>
      </c>
      <c r="B20" s="8" t="inlineStr">
        <is>
          <t>Produto</t>
        </is>
      </c>
      <c r="C20" t="inlineStr">
        <is>
          <t>Óculos de natação recreativo cinza</t>
        </is>
      </c>
      <c r="D20" s="10">
        <f>ROUND(D20*(1+(E20/100)),2)</f>
        <v/>
      </c>
      <c r="E20" s="8" t="n">
        <v>15</v>
      </c>
    </row>
    <row r="21">
      <c r="A21" s="8" t="n">
        <v>20</v>
      </c>
      <c r="B21" s="8" t="inlineStr">
        <is>
          <t>Produto</t>
        </is>
      </c>
      <c r="C21" t="inlineStr">
        <is>
          <t>Bola de pilates ventilado cinza</t>
        </is>
      </c>
      <c r="D21" s="10">
        <f>ROUND(D21*(1+(E21/100)),2)</f>
        <v/>
      </c>
      <c r="E21" s="8" t="n">
        <v>15</v>
      </c>
    </row>
    <row r="22">
      <c r="A22" s="8" t="n">
        <v>21</v>
      </c>
      <c r="B22" s="8" t="inlineStr">
        <is>
          <t>Produto</t>
        </is>
      </c>
      <c r="C22" t="inlineStr">
        <is>
          <t>Bicicleta ergométrica para uso diário branco</t>
        </is>
      </c>
      <c r="D22" s="10">
        <f>ROUND(D22*(1+(E22/100)),2)</f>
        <v/>
      </c>
      <c r="E22" s="8" t="n">
        <v>15</v>
      </c>
    </row>
    <row r="23">
      <c r="A23" s="8" t="n">
        <v>22</v>
      </c>
      <c r="B23" s="8" t="inlineStr">
        <is>
          <t>Produto</t>
        </is>
      </c>
      <c r="C23" t="inlineStr">
        <is>
          <t>Chuteira de campo ergonômico azul tam. P</t>
        </is>
      </c>
      <c r="D23" s="10">
        <f>ROUND(D23*(1+(E23/100)),2)</f>
        <v/>
      </c>
      <c r="E23" s="8" t="n">
        <v>15</v>
      </c>
    </row>
    <row r="24">
      <c r="A24" s="8" t="n">
        <v>23</v>
      </c>
      <c r="B24" s="8" t="inlineStr">
        <is>
          <t>Produto</t>
        </is>
      </c>
      <c r="C24" t="inlineStr">
        <is>
          <t>Chuteira society alta performance azul tam. 38</t>
        </is>
      </c>
      <c r="D24" s="10">
        <f>ROUND(D24*(1+(E24/100)),2)</f>
        <v/>
      </c>
      <c r="E24" s="8" t="n">
        <v>15</v>
      </c>
    </row>
    <row r="25">
      <c r="A25" s="8" t="n">
        <v>24</v>
      </c>
      <c r="B25" s="8" t="inlineStr">
        <is>
          <t>Produto</t>
        </is>
      </c>
      <c r="C25" t="inlineStr">
        <is>
          <t>Capacete de ciclismo premium preto</t>
        </is>
      </c>
      <c r="D25" s="10">
        <f>ROUND(D25*(1+(E25/100)),2)</f>
        <v/>
      </c>
      <c r="E25" s="8" t="n">
        <v>15</v>
      </c>
    </row>
    <row r="26">
      <c r="A26" s="8" t="n">
        <v>25</v>
      </c>
      <c r="B26" s="8" t="inlineStr">
        <is>
          <t>Produto</t>
        </is>
      </c>
      <c r="C26" t="inlineStr">
        <is>
          <t>Tênis para quadra premium branco tam. M</t>
        </is>
      </c>
      <c r="D26" s="10">
        <f>ROUND(D26*(1+(E26/100)),2)</f>
        <v/>
      </c>
      <c r="E26" s="8" t="n">
        <v>15</v>
      </c>
    </row>
    <row r="27">
      <c r="A27" s="8" t="n">
        <v>26</v>
      </c>
      <c r="B27" s="8" t="inlineStr">
        <is>
          <t>Produto</t>
        </is>
      </c>
      <c r="C27" t="inlineStr">
        <is>
          <t>Camiseta esportiva adulto cinza tam. 42</t>
        </is>
      </c>
      <c r="D27" s="10">
        <f>ROUND(D27*(1+(E27/100)),2)</f>
        <v/>
      </c>
      <c r="E27" s="8" t="n">
        <v>15</v>
      </c>
    </row>
    <row r="28">
      <c r="A28" s="8" t="n">
        <v>27</v>
      </c>
      <c r="B28" s="8" t="inlineStr">
        <is>
          <t>Produto</t>
        </is>
      </c>
      <c r="C28" t="inlineStr">
        <is>
          <t>Relógio esportivo iniciante verde</t>
        </is>
      </c>
      <c r="D28" s="10">
        <f>ROUND(D28*(1+(E28/100)),2)</f>
        <v/>
      </c>
      <c r="E28" s="8" t="n">
        <v>15</v>
      </c>
    </row>
    <row r="29">
      <c r="A29" s="8" t="n">
        <v>28</v>
      </c>
      <c r="B29" s="8" t="inlineStr">
        <is>
          <t>Produto</t>
        </is>
      </c>
      <c r="C29" t="inlineStr">
        <is>
          <t>Step de ginástica ventilado preto</t>
        </is>
      </c>
      <c r="D29" s="10">
        <f>ROUND(D29*(1+(E29/100)),2)</f>
        <v/>
      </c>
      <c r="E29" s="8" t="n">
        <v>15</v>
      </c>
    </row>
    <row r="30">
      <c r="A30" s="8" t="n">
        <v>29</v>
      </c>
      <c r="B30" s="8" t="inlineStr">
        <is>
          <t>Produto</t>
        </is>
      </c>
      <c r="C30" t="inlineStr">
        <is>
          <t>Óculos esportivos treino branco</t>
        </is>
      </c>
      <c r="D30" s="10">
        <f>ROUND(D30*(1+(E30/100)),2)</f>
        <v/>
      </c>
      <c r="E30" s="8" t="n">
        <v>15</v>
      </c>
    </row>
    <row r="31">
      <c r="A31" s="8" t="n">
        <v>30</v>
      </c>
      <c r="B31" s="8" t="inlineStr">
        <is>
          <t>Produto</t>
        </is>
      </c>
      <c r="C31" t="inlineStr">
        <is>
          <t>Coqueteleira juvenil verde</t>
        </is>
      </c>
      <c r="D31" s="10">
        <f>ROUND(D31*(1+(E31/100)),2)</f>
        <v/>
      </c>
      <c r="E31" s="8" t="n">
        <v>15</v>
      </c>
    </row>
    <row r="32">
      <c r="A32" s="8" t="n">
        <v>31</v>
      </c>
      <c r="B32" s="8" t="inlineStr">
        <is>
          <t>Produto</t>
        </is>
      </c>
      <c r="C32" t="inlineStr">
        <is>
          <t>Raquete de badminton ergonômico azul</t>
        </is>
      </c>
      <c r="D32" s="10">
        <f>ROUND(D32*(1+(E32/100)),2)</f>
        <v/>
      </c>
      <c r="E32" s="8" t="n">
        <v>15</v>
      </c>
    </row>
    <row r="33">
      <c r="A33" s="8" t="n">
        <v>32</v>
      </c>
      <c r="B33" s="8" t="inlineStr">
        <is>
          <t>Produto</t>
        </is>
      </c>
      <c r="C33" t="inlineStr">
        <is>
          <t>Caneleira de futebol recreativo rosa</t>
        </is>
      </c>
      <c r="D33" s="10">
        <f>ROUND(D33*(1+(E33/100)),2)</f>
        <v/>
      </c>
      <c r="E33" s="8" t="n">
        <v>15</v>
      </c>
    </row>
    <row r="34">
      <c r="A34" s="8" t="n">
        <v>33</v>
      </c>
      <c r="B34" s="8" t="inlineStr">
        <is>
          <t>Produto</t>
        </is>
      </c>
      <c r="C34" t="inlineStr">
        <is>
          <t>Camiseta esportiva resistente laranja tam. GG</t>
        </is>
      </c>
      <c r="D34" s="10">
        <f>ROUND(D34*(1+(E34/100)),2)</f>
        <v/>
      </c>
      <c r="E34" s="8" t="n">
        <v>15</v>
      </c>
    </row>
    <row r="35">
      <c r="A35" s="8" t="n">
        <v>34</v>
      </c>
      <c r="B35" s="8" t="inlineStr">
        <is>
          <t>Produto</t>
        </is>
      </c>
      <c r="C35" t="inlineStr">
        <is>
          <t>Step de ginástica iniciante laranja</t>
        </is>
      </c>
      <c r="D35" s="10">
        <f>ROUND(D35*(1+(E35/100)),2)</f>
        <v/>
      </c>
      <c r="E35" s="8" t="n">
        <v>15</v>
      </c>
    </row>
    <row r="36">
      <c r="A36" s="8" t="n">
        <v>35</v>
      </c>
      <c r="B36" s="8" t="inlineStr">
        <is>
          <t>Produto</t>
        </is>
      </c>
      <c r="C36" t="inlineStr">
        <is>
          <t>Óculos de natação com ajuste rosa</t>
        </is>
      </c>
      <c r="D36" s="10">
        <f>ROUND(D36*(1+(E36/100)),2)</f>
        <v/>
      </c>
      <c r="E36" s="8" t="n">
        <v>15</v>
      </c>
    </row>
    <row r="37">
      <c r="A37" s="8" t="n">
        <v>36</v>
      </c>
      <c r="B37" s="8" t="inlineStr">
        <is>
          <t>Produto</t>
        </is>
      </c>
      <c r="C37" t="inlineStr">
        <is>
          <t>Jaqueta esportiva modelo básico preto tam. 44</t>
        </is>
      </c>
      <c r="D37" s="10">
        <f>ROUND(D37*(1+(E37/100)),2)</f>
        <v/>
      </c>
      <c r="E37" s="8" t="n">
        <v>15</v>
      </c>
    </row>
    <row r="38">
      <c r="A38" s="8" t="n">
        <v>37</v>
      </c>
      <c r="B38" s="8" t="inlineStr">
        <is>
          <t>Produto</t>
        </is>
      </c>
      <c r="C38" t="inlineStr">
        <is>
          <t>Luva de boxe adulto azul tam. P</t>
        </is>
      </c>
      <c r="D38" s="10">
        <f>ROUND(D38*(1+(E38/100)),2)</f>
        <v/>
      </c>
      <c r="E38" s="8" t="n">
        <v>15</v>
      </c>
    </row>
    <row r="39">
      <c r="A39" s="8" t="n">
        <v>38</v>
      </c>
      <c r="B39" s="8" t="inlineStr">
        <is>
          <t>Produto</t>
        </is>
      </c>
      <c r="C39" t="inlineStr">
        <is>
          <t>Bola de vôlei profissional verde</t>
        </is>
      </c>
      <c r="D39" s="10">
        <f>ROUND(D39*(1+(E39/100)),2)</f>
        <v/>
      </c>
      <c r="E39" s="8" t="n">
        <v>15</v>
      </c>
    </row>
    <row r="40">
      <c r="A40" s="8" t="n">
        <v>39</v>
      </c>
      <c r="B40" s="8" t="inlineStr">
        <is>
          <t>Produto</t>
        </is>
      </c>
      <c r="C40" t="inlineStr">
        <is>
          <t>Óculos esportivos ventilado vermelho</t>
        </is>
      </c>
      <c r="D40" s="10">
        <f>ROUND(D40*(1+(E40/100)),2)</f>
        <v/>
      </c>
      <c r="E40" s="8" t="n">
        <v>15</v>
      </c>
    </row>
    <row r="41">
      <c r="A41" s="8" t="n">
        <v>40</v>
      </c>
      <c r="B41" s="8" t="inlineStr">
        <is>
          <t>Produto</t>
        </is>
      </c>
      <c r="C41" t="inlineStr">
        <is>
          <t>Protetor bucal ergonômico verde</t>
        </is>
      </c>
      <c r="D41" s="10">
        <f>ROUND(D41*(1+(E41/100)),2)</f>
        <v/>
      </c>
      <c r="E41" s="8" t="n">
        <v>15</v>
      </c>
    </row>
    <row r="42">
      <c r="A42" s="8" t="n">
        <v>41</v>
      </c>
      <c r="B42" s="8" t="inlineStr">
        <is>
          <t>Produto</t>
        </is>
      </c>
      <c r="C42" t="inlineStr">
        <is>
          <t>Corda de pular treino azul</t>
        </is>
      </c>
      <c r="D42" s="10">
        <f>ROUND(D42*(1+(E42/100)),2)</f>
        <v/>
      </c>
      <c r="E42" s="8" t="n">
        <v>15</v>
      </c>
    </row>
    <row r="43">
      <c r="A43" s="8" t="n">
        <v>42</v>
      </c>
      <c r="B43" s="8" t="inlineStr">
        <is>
          <t>Produto</t>
        </is>
      </c>
      <c r="C43" t="inlineStr">
        <is>
          <t>Colchonete de exercício alta performance rosa</t>
        </is>
      </c>
      <c r="D43" s="10">
        <f>ROUND(D43*(1+(E43/100)),2)</f>
        <v/>
      </c>
      <c r="E43" s="8" t="n">
        <v>15</v>
      </c>
    </row>
    <row r="44">
      <c r="A44" s="8" t="n">
        <v>43</v>
      </c>
      <c r="B44" s="8" t="inlineStr">
        <is>
          <t>Produto</t>
        </is>
      </c>
      <c r="C44" t="inlineStr">
        <is>
          <t>Raquete de tênis juvenil laranja tam. 36</t>
        </is>
      </c>
      <c r="D44" s="10">
        <f>ROUND(D44*(1+(E44/100)),2)</f>
        <v/>
      </c>
      <c r="E44" s="8" t="n">
        <v>15</v>
      </c>
    </row>
    <row r="45">
      <c r="A45" s="8" t="n">
        <v>44</v>
      </c>
      <c r="B45" s="8" t="inlineStr">
        <is>
          <t>Produto</t>
        </is>
      </c>
      <c r="C45" t="inlineStr">
        <is>
          <t>Tênis de corrida reforçado verde tam. 42</t>
        </is>
      </c>
      <c r="D45" s="10">
        <f>ROUND(D45*(1+(E45/100)),2)</f>
        <v/>
      </c>
      <c r="E45" s="8" t="n">
        <v>15</v>
      </c>
    </row>
    <row r="46">
      <c r="A46" s="8" t="n">
        <v>45</v>
      </c>
      <c r="B46" s="8" t="inlineStr">
        <is>
          <t>Produto</t>
        </is>
      </c>
      <c r="C46" t="inlineStr">
        <is>
          <t>Bicicleta ergométrica premium rosa</t>
        </is>
      </c>
      <c r="D46" s="10">
        <f>ROUND(D46*(1+(E46/100)),2)</f>
        <v/>
      </c>
      <c r="E46" s="8" t="n">
        <v>15</v>
      </c>
    </row>
    <row r="47">
      <c r="A47" s="8" t="n">
        <v>46</v>
      </c>
      <c r="B47" s="8" t="inlineStr">
        <is>
          <t>Produto</t>
        </is>
      </c>
      <c r="C47" t="inlineStr">
        <is>
          <t>Raquete de beach tennis ventilado azul</t>
        </is>
      </c>
      <c r="D47" s="10">
        <f>ROUND(D47*(1+(E47/100)),2)</f>
        <v/>
      </c>
      <c r="E47" s="8" t="n">
        <v>15</v>
      </c>
    </row>
    <row r="48">
      <c r="A48" s="8" t="n">
        <v>47</v>
      </c>
      <c r="B48" s="8" t="inlineStr">
        <is>
          <t>Produto</t>
        </is>
      </c>
      <c r="C48" t="inlineStr">
        <is>
          <t>Caneleira de futebol profissional verde</t>
        </is>
      </c>
      <c r="D48" s="10">
        <f>ROUND(D48*(1+(E48/100)),2)</f>
        <v/>
      </c>
      <c r="E48" s="8" t="n">
        <v>15</v>
      </c>
    </row>
    <row r="49">
      <c r="A49" s="8" t="n">
        <v>48</v>
      </c>
      <c r="B49" s="8" t="inlineStr">
        <is>
          <t>Produto</t>
        </is>
      </c>
      <c r="C49" t="inlineStr">
        <is>
          <t>Óculos esportivos reforçado laranja</t>
        </is>
      </c>
      <c r="D49" s="10">
        <f>ROUND(D49*(1+(E49/100)),2)</f>
        <v/>
      </c>
      <c r="E49" s="8" t="n">
        <v>15</v>
      </c>
    </row>
    <row r="50">
      <c r="A50" s="8" t="n">
        <v>49</v>
      </c>
      <c r="B50" s="8" t="inlineStr">
        <is>
          <t>Produto</t>
        </is>
      </c>
      <c r="C50" t="inlineStr">
        <is>
          <t>Camiseta esportiva adulto laranja tam. 34</t>
        </is>
      </c>
      <c r="D50" s="10">
        <f>ROUND(D50*(1+(E50/100)),2)</f>
        <v/>
      </c>
      <c r="E50" s="8" t="n">
        <v>15</v>
      </c>
    </row>
    <row r="51">
      <c r="A51" s="8" t="n">
        <v>50</v>
      </c>
      <c r="B51" s="8" t="inlineStr">
        <is>
          <t>Produto</t>
        </is>
      </c>
      <c r="C51" t="inlineStr">
        <is>
          <t>Capacete de ciclismo alta performance rosa</t>
        </is>
      </c>
      <c r="D51" s="10">
        <f>ROUND(D51*(1+(E51/100)),2)</f>
        <v/>
      </c>
      <c r="E51" s="8" t="n">
        <v>15</v>
      </c>
    </row>
    <row r="52">
      <c r="A52" s="8" t="n">
        <v>51</v>
      </c>
      <c r="B52" s="8" t="inlineStr">
        <is>
          <t>Produto</t>
        </is>
      </c>
      <c r="C52" t="inlineStr">
        <is>
          <t>Garrafa squeeze juvenil preto</t>
        </is>
      </c>
      <c r="D52" s="10">
        <f>ROUND(D52*(1+(E52/100)),2)</f>
        <v/>
      </c>
      <c r="E52" s="8" t="n">
        <v>15</v>
      </c>
    </row>
    <row r="53">
      <c r="A53" s="8" t="n">
        <v>52</v>
      </c>
      <c r="B53" s="8" t="inlineStr">
        <is>
          <t>Produto</t>
        </is>
      </c>
      <c r="C53" t="inlineStr">
        <is>
          <t>Raquete de tênis unissex rosa tam. 42</t>
        </is>
      </c>
      <c r="D53" s="10">
        <f>ROUND(D53*(1+(E53/100)),2)</f>
        <v/>
      </c>
      <c r="E53" s="8" t="n">
        <v>15</v>
      </c>
    </row>
    <row r="54">
      <c r="A54" s="8" t="n">
        <v>53</v>
      </c>
      <c r="B54" s="8" t="inlineStr">
        <is>
          <t>Produto</t>
        </is>
      </c>
      <c r="C54" t="inlineStr">
        <is>
          <t>Monitor cardíaco juvenil azul</t>
        </is>
      </c>
      <c r="D54" s="10">
        <f>ROUND(D54*(1+(E54/100)),2)</f>
        <v/>
      </c>
      <c r="E54" s="8" t="n">
        <v>15</v>
      </c>
    </row>
    <row r="55">
      <c r="A55" s="8" t="n">
        <v>54</v>
      </c>
      <c r="B55" s="8" t="inlineStr">
        <is>
          <t>Produto</t>
        </is>
      </c>
      <c r="C55" t="inlineStr">
        <is>
          <t>Raquete de beach tennis profissional verde</t>
        </is>
      </c>
      <c r="D55" s="10">
        <f>ROUND(D55*(1+(E55/100)),2)</f>
        <v/>
      </c>
      <c r="E55" s="8" t="n">
        <v>15</v>
      </c>
    </row>
    <row r="56">
      <c r="A56" s="8" t="n">
        <v>55</v>
      </c>
      <c r="B56" s="8" t="inlineStr">
        <is>
          <t>Produto</t>
        </is>
      </c>
      <c r="C56" t="inlineStr">
        <is>
          <t>Protetor bucal unissex preto</t>
        </is>
      </c>
      <c r="D56" s="10">
        <f>ROUND(D56*(1+(E56/100)),2)</f>
        <v/>
      </c>
      <c r="E56" s="8" t="n">
        <v>15</v>
      </c>
    </row>
    <row r="57">
      <c r="A57" s="8" t="n">
        <v>56</v>
      </c>
      <c r="B57" s="8" t="inlineStr">
        <is>
          <t>Produto</t>
        </is>
      </c>
      <c r="C57" t="inlineStr">
        <is>
          <t>Corda de pular unissex branco</t>
        </is>
      </c>
      <c r="D57" s="10">
        <f>ROUND(D57*(1+(E57/100)),2)</f>
        <v/>
      </c>
      <c r="E57" s="8" t="n">
        <v>15</v>
      </c>
    </row>
    <row r="58">
      <c r="A58" s="8" t="n">
        <v>57</v>
      </c>
      <c r="B58" s="8" t="inlineStr">
        <is>
          <t>Produto</t>
        </is>
      </c>
      <c r="C58" t="inlineStr">
        <is>
          <t>Calça legging compacto cinza tam. 38</t>
        </is>
      </c>
      <c r="D58" s="10">
        <f>ROUND(D58*(1+(E58/100)),2)</f>
        <v/>
      </c>
      <c r="E58" s="8" t="n">
        <v>15</v>
      </c>
    </row>
    <row r="59">
      <c r="A59" s="8" t="n">
        <v>58</v>
      </c>
      <c r="B59" s="8" t="inlineStr">
        <is>
          <t>Produto</t>
        </is>
      </c>
      <c r="C59" t="inlineStr">
        <is>
          <t>Óculos de natação com ajuste branco</t>
        </is>
      </c>
      <c r="D59" s="10">
        <f>ROUND(D59*(1+(E59/100)),2)</f>
        <v/>
      </c>
      <c r="E59" s="8" t="n">
        <v>15</v>
      </c>
    </row>
    <row r="60">
      <c r="A60" s="8" t="n">
        <v>59</v>
      </c>
      <c r="B60" s="8" t="inlineStr">
        <is>
          <t>Produto</t>
        </is>
      </c>
      <c r="C60" t="inlineStr">
        <is>
          <t>Raquete de beach tennis com ajuste azul</t>
        </is>
      </c>
      <c r="D60" s="10">
        <f>ROUND(D60*(1+(E60/100)),2)</f>
        <v/>
      </c>
      <c r="E60" s="8" t="n">
        <v>15</v>
      </c>
    </row>
    <row r="61">
      <c r="A61" s="8" t="n">
        <v>60</v>
      </c>
      <c r="B61" s="8" t="inlineStr">
        <is>
          <t>Produto</t>
        </is>
      </c>
      <c r="C61" t="inlineStr">
        <is>
          <t>Calça legging premium vermelho tam. 36</t>
        </is>
      </c>
      <c r="D61" s="10">
        <f>ROUND(D61*(1+(E61/100)),2)</f>
        <v/>
      </c>
      <c r="E61" s="8" t="n">
        <v>15</v>
      </c>
    </row>
    <row r="62">
      <c r="A62" s="8" t="n">
        <v>61</v>
      </c>
      <c r="B62" s="8" t="inlineStr">
        <is>
          <t>Produto</t>
        </is>
      </c>
      <c r="C62" t="inlineStr">
        <is>
          <t>Meias esportivas iniciante vermelho tam. 40</t>
        </is>
      </c>
      <c r="D62" s="10">
        <f>ROUND(D62*(1+(E62/100)),2)</f>
        <v/>
      </c>
      <c r="E62" s="8" t="n">
        <v>15</v>
      </c>
    </row>
    <row r="63">
      <c r="A63" s="8" t="n">
        <v>62</v>
      </c>
      <c r="B63" s="8" t="inlineStr">
        <is>
          <t>Produto</t>
        </is>
      </c>
      <c r="C63" t="inlineStr">
        <is>
          <t>Patins versão 2026 preto</t>
        </is>
      </c>
      <c r="D63" s="10">
        <f>ROUND(D63*(1+(E63/100)),2)</f>
        <v/>
      </c>
      <c r="E63" s="8" t="n">
        <v>15</v>
      </c>
    </row>
    <row r="64">
      <c r="A64" s="8" t="n">
        <v>63</v>
      </c>
      <c r="B64" s="8" t="inlineStr">
        <is>
          <t>Produto</t>
        </is>
      </c>
      <c r="C64" t="inlineStr">
        <is>
          <t>Luva de goleiro treino vermelho tam. 34</t>
        </is>
      </c>
      <c r="D64" s="10">
        <f>ROUND(D64*(1+(E64/100)),2)</f>
        <v/>
      </c>
      <c r="E64" s="8" t="n">
        <v>15</v>
      </c>
    </row>
    <row r="65">
      <c r="A65" s="8" t="n">
        <v>64</v>
      </c>
      <c r="B65" s="8" t="inlineStr">
        <is>
          <t>Produto</t>
        </is>
      </c>
      <c r="C65" t="inlineStr">
        <is>
          <t>Tênis de corrida recreativo cinza tam. 34</t>
        </is>
      </c>
      <c r="D65" s="10">
        <f>ROUND(D65*(1+(E65/100)),2)</f>
        <v/>
      </c>
      <c r="E65" s="8" t="n">
        <v>15</v>
      </c>
    </row>
    <row r="66">
      <c r="A66" s="8" t="n">
        <v>65</v>
      </c>
      <c r="B66" s="8" t="inlineStr">
        <is>
          <t>Produto</t>
        </is>
      </c>
      <c r="C66" t="inlineStr">
        <is>
          <t>Patins reforçado cinza</t>
        </is>
      </c>
      <c r="D66" s="10">
        <f>ROUND(D66*(1+(E66/100)),2)</f>
        <v/>
      </c>
      <c r="E66" s="8" t="n">
        <v>15</v>
      </c>
    </row>
    <row r="67">
      <c r="A67" s="8" t="n">
        <v>66</v>
      </c>
      <c r="B67" s="8" t="inlineStr">
        <is>
          <t>Produto</t>
        </is>
      </c>
      <c r="C67" t="inlineStr">
        <is>
          <t>Mochila esportiva profissional laranja</t>
        </is>
      </c>
      <c r="D67" s="10">
        <f>ROUND(D67*(1+(E67/100)),2)</f>
        <v/>
      </c>
      <c r="E67" s="8" t="n">
        <v>15</v>
      </c>
    </row>
    <row r="68">
      <c r="A68" s="8" t="n">
        <v>67</v>
      </c>
      <c r="B68" s="8" t="inlineStr">
        <is>
          <t>Produto</t>
        </is>
      </c>
      <c r="C68" t="inlineStr">
        <is>
          <t>Bola de vôlei modelo básico vermelho</t>
        </is>
      </c>
      <c r="D68" s="10">
        <f>ROUND(D68*(1+(E68/100)),2)</f>
        <v/>
      </c>
      <c r="E68" s="8" t="n">
        <v>15</v>
      </c>
    </row>
    <row r="69">
      <c r="A69" s="8" t="n">
        <v>68</v>
      </c>
      <c r="B69" s="8" t="inlineStr">
        <is>
          <t>Produto</t>
        </is>
      </c>
      <c r="C69" t="inlineStr">
        <is>
          <t>Mochila esportiva com ajuste laranja</t>
        </is>
      </c>
      <c r="D69" s="10">
        <f>ROUND(D69*(1+(E69/100)),2)</f>
        <v/>
      </c>
      <c r="E69" s="8" t="n">
        <v>15</v>
      </c>
    </row>
    <row r="70">
      <c r="A70" s="8" t="n">
        <v>69</v>
      </c>
      <c r="B70" s="8" t="inlineStr">
        <is>
          <t>Produto</t>
        </is>
      </c>
      <c r="C70" t="inlineStr">
        <is>
          <t>Tênis para quadra recreativo preto tam. 36</t>
        </is>
      </c>
      <c r="D70" s="10">
        <f>ROUND(D70*(1+(E70/100)),2)</f>
        <v/>
      </c>
      <c r="E70" s="8" t="n">
        <v>15</v>
      </c>
    </row>
    <row r="71">
      <c r="A71" s="8" t="n">
        <v>70</v>
      </c>
      <c r="B71" s="8" t="inlineStr">
        <is>
          <t>Produto</t>
        </is>
      </c>
      <c r="C71" t="inlineStr">
        <is>
          <t>Chuteira society recreativo preto tam. 34</t>
        </is>
      </c>
      <c r="D71" s="10">
        <f>ROUND(D71*(1+(E71/100)),2)</f>
        <v/>
      </c>
      <c r="E71" s="8" t="n">
        <v>15</v>
      </c>
    </row>
    <row r="72">
      <c r="A72" s="8" t="n">
        <v>71</v>
      </c>
      <c r="B72" s="8" t="inlineStr">
        <is>
          <t>Produto</t>
        </is>
      </c>
      <c r="C72" t="inlineStr">
        <is>
          <t>Bola de vôlei reforçado verde</t>
        </is>
      </c>
      <c r="D72" s="10">
        <f>ROUND(D72*(1+(E72/100)),2)</f>
        <v/>
      </c>
      <c r="E72" s="8" t="n">
        <v>15</v>
      </c>
    </row>
    <row r="73">
      <c r="A73" s="8" t="n">
        <v>72</v>
      </c>
      <c r="B73" s="8" t="inlineStr">
        <is>
          <t>Produto</t>
        </is>
      </c>
      <c r="C73" t="inlineStr">
        <is>
          <t>Colchonete de exercício alta performance vermelho</t>
        </is>
      </c>
      <c r="D73" s="10">
        <f>ROUND(D73*(1+(E73/100)),2)</f>
        <v/>
      </c>
      <c r="E73" s="8" t="n">
        <v>15</v>
      </c>
    </row>
    <row r="74">
      <c r="A74" s="8" t="n">
        <v>73</v>
      </c>
      <c r="B74" s="8" t="inlineStr">
        <is>
          <t>Produto</t>
        </is>
      </c>
      <c r="C74" t="inlineStr">
        <is>
          <t>Meias esportivas leve laranja tam. P</t>
        </is>
      </c>
      <c r="D74" s="10">
        <f>ROUND(D74*(1+(E74/100)),2)</f>
        <v/>
      </c>
      <c r="E74" s="8" t="n">
        <v>15</v>
      </c>
    </row>
    <row r="75">
      <c r="A75" s="8" t="n">
        <v>74</v>
      </c>
      <c r="B75" s="8" t="inlineStr">
        <is>
          <t>Produto</t>
        </is>
      </c>
      <c r="C75" t="inlineStr">
        <is>
          <t>Kettlebell compacto cinza</t>
        </is>
      </c>
      <c r="D75" s="10">
        <f>ROUND(D75*(1+(E75/100)),2)</f>
        <v/>
      </c>
      <c r="E75" s="8" t="n">
        <v>15</v>
      </c>
    </row>
    <row r="76">
      <c r="A76" s="8" t="n">
        <v>75</v>
      </c>
      <c r="B76" s="8" t="inlineStr">
        <is>
          <t>Produto</t>
        </is>
      </c>
      <c r="C76" t="inlineStr">
        <is>
          <t>Skate para uso diário preto</t>
        </is>
      </c>
      <c r="D76" s="10">
        <f>ROUND(D76*(1+(E76/100)),2)</f>
        <v/>
      </c>
      <c r="E76" s="8" t="n">
        <v>15</v>
      </c>
    </row>
    <row r="77">
      <c r="A77" s="8" t="n">
        <v>76</v>
      </c>
      <c r="B77" s="8" t="inlineStr">
        <is>
          <t>Produto</t>
        </is>
      </c>
      <c r="C77" t="inlineStr">
        <is>
          <t>Jaqueta esportiva com ajuste branco tam. 34</t>
        </is>
      </c>
      <c r="D77" s="10">
        <f>ROUND(D77*(1+(E77/100)),2)</f>
        <v/>
      </c>
      <c r="E77" s="8" t="n">
        <v>15</v>
      </c>
    </row>
    <row r="78">
      <c r="A78" s="8" t="n">
        <v>77</v>
      </c>
      <c r="B78" s="8" t="inlineStr">
        <is>
          <t>Produto</t>
        </is>
      </c>
      <c r="C78" t="inlineStr">
        <is>
          <t>Jaqueta esportiva adulto verde tam. 38</t>
        </is>
      </c>
      <c r="D78" s="10">
        <f>ROUND(D78*(1+(E78/100)),2)</f>
        <v/>
      </c>
      <c r="E78" s="8" t="n">
        <v>15</v>
      </c>
    </row>
    <row r="79">
      <c r="A79" s="8" t="n">
        <v>78</v>
      </c>
      <c r="B79" s="8" t="inlineStr">
        <is>
          <t>Produto</t>
        </is>
      </c>
      <c r="C79" t="inlineStr">
        <is>
          <t>Raquete de beach tennis modelo avançado laranja</t>
        </is>
      </c>
      <c r="D79" s="10">
        <f>ROUND(D79*(1+(E79/100)),2)</f>
        <v/>
      </c>
      <c r="E79" s="8" t="n">
        <v>15</v>
      </c>
    </row>
    <row r="80">
      <c r="A80" s="8" t="n">
        <v>79</v>
      </c>
      <c r="B80" s="8" t="inlineStr">
        <is>
          <t>Produto</t>
        </is>
      </c>
      <c r="C80" t="inlineStr">
        <is>
          <t>Caneleira de futebol adulto azul</t>
        </is>
      </c>
      <c r="D80" s="10">
        <f>ROUND(D80*(1+(E80/100)),2)</f>
        <v/>
      </c>
      <c r="E80" s="8" t="n">
        <v>15</v>
      </c>
    </row>
    <row r="81">
      <c r="A81" s="8" t="n">
        <v>80</v>
      </c>
      <c r="B81" s="8" t="inlineStr">
        <is>
          <t>Produto</t>
        </is>
      </c>
      <c r="C81" t="inlineStr">
        <is>
          <t>Mochila esportiva unissex cinza</t>
        </is>
      </c>
      <c r="D81" s="10">
        <f>ROUND(D81*(1+(E81/100)),2)</f>
        <v/>
      </c>
      <c r="E81" s="8" t="n">
        <v>15</v>
      </c>
    </row>
    <row r="82">
      <c r="A82" s="8" t="n">
        <v>81</v>
      </c>
      <c r="B82" s="8" t="inlineStr">
        <is>
          <t>Produto</t>
        </is>
      </c>
      <c r="C82" t="inlineStr">
        <is>
          <t>Saco de pancadas modelo avançado branco</t>
        </is>
      </c>
      <c r="D82" s="10">
        <f>ROUND(D82*(1+(E82/100)),2)</f>
        <v/>
      </c>
      <c r="E82" s="8" t="n">
        <v>15</v>
      </c>
    </row>
    <row r="83">
      <c r="A83" s="8" t="n">
        <v>82</v>
      </c>
      <c r="B83" s="8" t="inlineStr">
        <is>
          <t>Produto</t>
        </is>
      </c>
      <c r="C83" t="inlineStr">
        <is>
          <t>Relógio esportivo para uso diário verde</t>
        </is>
      </c>
      <c r="D83" s="10">
        <f>ROUND(D83*(1+(E83/100)),2)</f>
        <v/>
      </c>
      <c r="E83" s="8" t="n">
        <v>15</v>
      </c>
    </row>
    <row r="84">
      <c r="A84" s="8" t="n">
        <v>83</v>
      </c>
      <c r="B84" s="8" t="inlineStr">
        <is>
          <t>Produto</t>
        </is>
      </c>
      <c r="C84" t="inlineStr">
        <is>
          <t>Patins adulto verde</t>
        </is>
      </c>
      <c r="D84" s="10">
        <f>ROUND(D84*(1+(E84/100)),2)</f>
        <v/>
      </c>
      <c r="E84" s="8" t="n">
        <v>15</v>
      </c>
    </row>
    <row r="85">
      <c r="A85" s="8" t="n">
        <v>84</v>
      </c>
      <c r="B85" s="8" t="inlineStr">
        <is>
          <t>Produto</t>
        </is>
      </c>
      <c r="C85" t="inlineStr">
        <is>
          <t>Raquete de beach tennis versão 2026 branco</t>
        </is>
      </c>
      <c r="D85" s="10">
        <f>ROUND(D85*(1+(E85/100)),2)</f>
        <v/>
      </c>
      <c r="E85" s="8" t="n">
        <v>15</v>
      </c>
    </row>
    <row r="86">
      <c r="A86" s="8" t="n">
        <v>85</v>
      </c>
      <c r="B86" s="8" t="inlineStr">
        <is>
          <t>Produto</t>
        </is>
      </c>
      <c r="C86" t="inlineStr">
        <is>
          <t>Tênis para quadra resistente cinza tam. 38</t>
        </is>
      </c>
      <c r="D86" s="10">
        <f>ROUND(D86*(1+(E86/100)),2)</f>
        <v/>
      </c>
      <c r="E86" s="8" t="n">
        <v>15</v>
      </c>
    </row>
    <row r="87">
      <c r="A87" s="8" t="n">
        <v>86</v>
      </c>
      <c r="B87" s="8" t="inlineStr">
        <is>
          <t>Produto</t>
        </is>
      </c>
      <c r="C87" t="inlineStr">
        <is>
          <t>Skate ventilado vermelho</t>
        </is>
      </c>
      <c r="D87" s="10">
        <f>ROUND(D87*(1+(E87/100)),2)</f>
        <v/>
      </c>
      <c r="E87" s="8" t="n">
        <v>15</v>
      </c>
    </row>
    <row r="88">
      <c r="A88" s="8" t="n">
        <v>87</v>
      </c>
      <c r="B88" s="8" t="inlineStr">
        <is>
          <t>Produto</t>
        </is>
      </c>
      <c r="C88" t="inlineStr">
        <is>
          <t>Prancha de natação leve cinza</t>
        </is>
      </c>
      <c r="D88" s="10">
        <f>ROUND(D88*(1+(E88/100)),2)</f>
        <v/>
      </c>
      <c r="E88" s="8" t="n">
        <v>15</v>
      </c>
    </row>
    <row r="89">
      <c r="A89" s="8" t="n">
        <v>88</v>
      </c>
      <c r="B89" s="8" t="inlineStr">
        <is>
          <t>Produto</t>
        </is>
      </c>
      <c r="C89" t="inlineStr">
        <is>
          <t>Bola de futebol iniciante verde</t>
        </is>
      </c>
      <c r="D89" s="10">
        <f>ROUND(D89*(1+(E89/100)),2)</f>
        <v/>
      </c>
      <c r="E89" s="8" t="n">
        <v>15</v>
      </c>
    </row>
    <row r="90">
      <c r="A90" s="8" t="n">
        <v>89</v>
      </c>
      <c r="B90" s="8" t="inlineStr">
        <is>
          <t>Produto</t>
        </is>
      </c>
      <c r="C90" t="inlineStr">
        <is>
          <t>Luva de boxe modelo básico rosa tam. 40</t>
        </is>
      </c>
      <c r="D90" s="10">
        <f>ROUND(D90*(1+(E90/100)),2)</f>
        <v/>
      </c>
      <c r="E90" s="8" t="n">
        <v>15</v>
      </c>
    </row>
    <row r="91">
      <c r="A91" s="8" t="n">
        <v>90</v>
      </c>
      <c r="B91" s="8" t="inlineStr">
        <is>
          <t>Produto</t>
        </is>
      </c>
      <c r="C91" t="inlineStr">
        <is>
          <t>Calça legging ergonômico vermelho tam. M</t>
        </is>
      </c>
      <c r="D91" s="10">
        <f>ROUND(D91*(1+(E91/100)),2)</f>
        <v/>
      </c>
      <c r="E91" s="8" t="n">
        <v>15</v>
      </c>
    </row>
    <row r="92">
      <c r="A92" s="8" t="n">
        <v>91</v>
      </c>
      <c r="B92" s="8" t="inlineStr">
        <is>
          <t>Produto</t>
        </is>
      </c>
      <c r="C92" t="inlineStr">
        <is>
          <t>Prancha de natação modelo básico azul</t>
        </is>
      </c>
      <c r="D92" s="10">
        <f>ROUND(D92*(1+(E92/100)),2)</f>
        <v/>
      </c>
      <c r="E92" s="8" t="n">
        <v>15</v>
      </c>
    </row>
    <row r="93">
      <c r="A93" s="8" t="n">
        <v>92</v>
      </c>
      <c r="B93" s="8" t="inlineStr">
        <is>
          <t>Produto</t>
        </is>
      </c>
      <c r="C93" t="inlineStr">
        <is>
          <t>Step de ginástica iniciante verde</t>
        </is>
      </c>
      <c r="D93" s="10">
        <f>ROUND(D93*(1+(E93/100)),2)</f>
        <v/>
      </c>
      <c r="E93" s="8" t="n">
        <v>15</v>
      </c>
    </row>
    <row r="94">
      <c r="A94" s="8" t="n">
        <v>93</v>
      </c>
      <c r="B94" s="8" t="inlineStr">
        <is>
          <t>Produto</t>
        </is>
      </c>
      <c r="C94" t="inlineStr">
        <is>
          <t>Chuteira society juvenil verde tam. 40</t>
        </is>
      </c>
      <c r="D94" s="10">
        <f>ROUND(D94*(1+(E94/100)),2)</f>
        <v/>
      </c>
      <c r="E94" s="8" t="n">
        <v>15</v>
      </c>
    </row>
    <row r="95">
      <c r="A95" s="8" t="n">
        <v>94</v>
      </c>
      <c r="B95" s="8" t="inlineStr">
        <is>
          <t>Produto</t>
        </is>
      </c>
      <c r="C95" t="inlineStr">
        <is>
          <t>Banco de musculação com ajuste laranja</t>
        </is>
      </c>
      <c r="D95" s="10">
        <f>ROUND(D95*(1+(E95/100)),2)</f>
        <v/>
      </c>
      <c r="E95" s="8" t="n">
        <v>15</v>
      </c>
    </row>
    <row r="96">
      <c r="A96" s="8" t="n">
        <v>95</v>
      </c>
      <c r="B96" s="8" t="inlineStr">
        <is>
          <t>Produto</t>
        </is>
      </c>
      <c r="C96" t="inlineStr">
        <is>
          <t>Protetor bucal para uso diário rosa</t>
        </is>
      </c>
      <c r="D96" s="10">
        <f>ROUND(D96*(1+(E96/100)),2)</f>
        <v/>
      </c>
      <c r="E96" s="8" t="n">
        <v>15</v>
      </c>
    </row>
    <row r="97">
      <c r="A97" s="8" t="n">
        <v>96</v>
      </c>
      <c r="B97" s="8" t="inlineStr">
        <is>
          <t>Produto</t>
        </is>
      </c>
      <c r="C97" t="inlineStr">
        <is>
          <t>Chuteira society treino laranja tam. GG</t>
        </is>
      </c>
      <c r="D97" s="10">
        <f>ROUND(D97*(1+(E97/100)),2)</f>
        <v/>
      </c>
      <c r="E97" s="8" t="n">
        <v>15</v>
      </c>
    </row>
    <row r="98">
      <c r="A98" s="8" t="n">
        <v>97</v>
      </c>
      <c r="B98" s="8" t="inlineStr">
        <is>
          <t>Produto</t>
        </is>
      </c>
      <c r="C98" t="inlineStr">
        <is>
          <t>Skate com ajuste preto</t>
        </is>
      </c>
      <c r="D98" s="10">
        <f>ROUND(D98*(1+(E98/100)),2)</f>
        <v/>
      </c>
      <c r="E98" s="8" t="n">
        <v>15</v>
      </c>
    </row>
    <row r="99">
      <c r="A99" s="8" t="n">
        <v>98</v>
      </c>
      <c r="B99" s="8" t="inlineStr">
        <is>
          <t>Produto</t>
        </is>
      </c>
      <c r="C99" t="inlineStr">
        <is>
          <t>Tênis para quadra recreativo rosa tam. 42</t>
        </is>
      </c>
      <c r="D99" s="10">
        <f>ROUND(D99*(1+(E99/100)),2)</f>
        <v/>
      </c>
      <c r="E99" s="8" t="n">
        <v>15</v>
      </c>
    </row>
    <row r="100">
      <c r="A100" s="8" t="n">
        <v>99</v>
      </c>
      <c r="B100" s="8" t="inlineStr">
        <is>
          <t>Produto</t>
        </is>
      </c>
      <c r="C100" t="inlineStr">
        <is>
          <t>Saco de pancadas com ajuste laranja</t>
        </is>
      </c>
      <c r="D100" s="10">
        <f>ROUND(D100*(1+(E100/100)),2)</f>
        <v/>
      </c>
      <c r="E100" s="8" t="n">
        <v>15</v>
      </c>
    </row>
    <row r="101">
      <c r="A101" s="8" t="n">
        <v>100</v>
      </c>
      <c r="B101" s="8" t="inlineStr">
        <is>
          <t>Produto</t>
        </is>
      </c>
      <c r="C101" t="inlineStr">
        <is>
          <t>Luva de goleiro leve rosa tam. 40</t>
        </is>
      </c>
      <c r="D101" s="10">
        <f>ROUND(D101*(1+(E101/100)),2)</f>
        <v/>
      </c>
      <c r="E101" s="8" t="n">
        <v>15</v>
      </c>
    </row>
    <row r="102">
      <c r="A102" s="8" t="n">
        <v>101</v>
      </c>
      <c r="B102" s="8" t="inlineStr">
        <is>
          <t>Produto</t>
        </is>
      </c>
      <c r="C102" t="inlineStr">
        <is>
          <t>Meias esportivas resistente rosa tam. GG</t>
        </is>
      </c>
      <c r="D102" s="10">
        <f>ROUND(D102*(1+(E102/100)),2)</f>
        <v/>
      </c>
      <c r="E102" s="8" t="n">
        <v>15</v>
      </c>
    </row>
    <row r="103">
      <c r="A103" s="8" t="n">
        <v>102</v>
      </c>
      <c r="B103" s="8" t="inlineStr">
        <is>
          <t>Produto</t>
        </is>
      </c>
      <c r="C103" t="inlineStr">
        <is>
          <t>Raquete de beach tennis compacto cinza</t>
        </is>
      </c>
      <c r="D103" s="10">
        <f>ROUND(D103*(1+(E103/100)),2)</f>
        <v/>
      </c>
      <c r="E103" s="8" t="n">
        <v>15</v>
      </c>
    </row>
    <row r="104">
      <c r="A104" s="8" t="n">
        <v>103</v>
      </c>
      <c r="B104" s="8" t="inlineStr">
        <is>
          <t>Produto</t>
        </is>
      </c>
      <c r="C104" t="inlineStr">
        <is>
          <t>Caneleira de futebol recreativo vermelho</t>
        </is>
      </c>
      <c r="D104" s="10">
        <f>ROUND(D104*(1+(E104/100)),2)</f>
        <v/>
      </c>
      <c r="E104" s="8" t="n">
        <v>15</v>
      </c>
    </row>
    <row r="105">
      <c r="A105" s="8" t="n">
        <v>104</v>
      </c>
      <c r="B105" s="8" t="inlineStr">
        <is>
          <t>Produto</t>
        </is>
      </c>
      <c r="C105" t="inlineStr">
        <is>
          <t>Skate reforçado azul</t>
        </is>
      </c>
      <c r="D105" s="10">
        <f>ROUND(D105*(1+(E105/100)),2)</f>
        <v/>
      </c>
      <c r="E105" s="8" t="n">
        <v>15</v>
      </c>
    </row>
    <row r="106">
      <c r="A106" s="8" t="n">
        <v>105</v>
      </c>
      <c r="B106" s="8" t="inlineStr">
        <is>
          <t>Produto</t>
        </is>
      </c>
      <c r="C106" t="inlineStr">
        <is>
          <t>Kettlebell com ajuste laranja</t>
        </is>
      </c>
      <c r="D106" s="10">
        <f>ROUND(D106*(1+(E106/100)),2)</f>
        <v/>
      </c>
      <c r="E106" s="8" t="n">
        <v>15</v>
      </c>
    </row>
    <row r="107">
      <c r="A107" s="8" t="n">
        <v>106</v>
      </c>
      <c r="B107" s="8" t="inlineStr">
        <is>
          <t>Produto</t>
        </is>
      </c>
      <c r="C107" t="inlineStr">
        <is>
          <t>Corda de pular unissex preto</t>
        </is>
      </c>
      <c r="D107" s="10">
        <f>ROUND(D107*(1+(E107/100)),2)</f>
        <v/>
      </c>
      <c r="E107" s="8" t="n">
        <v>15</v>
      </c>
    </row>
    <row r="108">
      <c r="A108" s="8" t="n">
        <v>107</v>
      </c>
      <c r="B108" s="8" t="inlineStr">
        <is>
          <t>Produto</t>
        </is>
      </c>
      <c r="C108" t="inlineStr">
        <is>
          <t>Step de ginástica para uso diário rosa</t>
        </is>
      </c>
      <c r="D108" s="10">
        <f>ROUND(D108*(1+(E108/100)),2)</f>
        <v/>
      </c>
      <c r="E108" s="8" t="n">
        <v>15</v>
      </c>
    </row>
    <row r="109">
      <c r="A109" s="8" t="n">
        <v>108</v>
      </c>
      <c r="B109" s="8" t="inlineStr">
        <is>
          <t>Produto</t>
        </is>
      </c>
      <c r="C109" t="inlineStr">
        <is>
          <t>Colchonete de exercício para uso diário laranja</t>
        </is>
      </c>
      <c r="D109" s="10">
        <f>ROUND(D109*(1+(E109/100)),2)</f>
        <v/>
      </c>
      <c r="E109" s="8" t="n">
        <v>15</v>
      </c>
    </row>
    <row r="110">
      <c r="A110" s="8" t="n">
        <v>109</v>
      </c>
      <c r="B110" s="8" t="inlineStr">
        <is>
          <t>Produto</t>
        </is>
      </c>
      <c r="C110" t="inlineStr">
        <is>
          <t>Bola de pilates versão 2026 verde</t>
        </is>
      </c>
      <c r="D110" s="10">
        <f>ROUND(D110*(1+(E110/100)),2)</f>
        <v/>
      </c>
      <c r="E110" s="8" t="n">
        <v>15</v>
      </c>
    </row>
    <row r="111">
      <c r="A111" s="8" t="n">
        <v>110</v>
      </c>
      <c r="B111" s="8" t="inlineStr">
        <is>
          <t>Produto</t>
        </is>
      </c>
      <c r="C111" t="inlineStr">
        <is>
          <t>Bolsa de academia ergonômico preto</t>
        </is>
      </c>
      <c r="D111" s="10">
        <f>ROUND(D111*(1+(E111/100)),2)</f>
        <v/>
      </c>
      <c r="E111" s="8" t="n">
        <v>15</v>
      </c>
    </row>
    <row r="112">
      <c r="A112" s="8" t="n">
        <v>111</v>
      </c>
      <c r="B112" s="8" t="inlineStr">
        <is>
          <t>Produto</t>
        </is>
      </c>
      <c r="C112" t="inlineStr">
        <is>
          <t>Prancha de natação leve rosa</t>
        </is>
      </c>
      <c r="D112" s="10">
        <f>ROUND(D112*(1+(E112/100)),2)</f>
        <v/>
      </c>
      <c r="E112" s="8" t="n">
        <v>15</v>
      </c>
    </row>
    <row r="113">
      <c r="A113" s="8" t="n">
        <v>112</v>
      </c>
      <c r="B113" s="8" t="inlineStr">
        <is>
          <t>Produto</t>
        </is>
      </c>
      <c r="C113" t="inlineStr">
        <is>
          <t>Kimono de judô adulto laranja tam. 44</t>
        </is>
      </c>
      <c r="D113" s="10">
        <f>ROUND(D113*(1+(E113/100)),2)</f>
        <v/>
      </c>
      <c r="E113" s="8" t="n">
        <v>15</v>
      </c>
    </row>
    <row r="114">
      <c r="A114" s="8" t="n">
        <v>113</v>
      </c>
      <c r="B114" s="8" t="inlineStr">
        <is>
          <t>Produto</t>
        </is>
      </c>
      <c r="C114" t="inlineStr">
        <is>
          <t>Bola de basquete alta performance vermelho</t>
        </is>
      </c>
      <c r="D114" s="10">
        <f>ROUND(D114*(1+(E114/100)),2)</f>
        <v/>
      </c>
      <c r="E114" s="8" t="n">
        <v>15</v>
      </c>
    </row>
    <row r="115">
      <c r="A115" s="8" t="n">
        <v>114</v>
      </c>
      <c r="B115" s="8" t="inlineStr">
        <is>
          <t>Produto</t>
        </is>
      </c>
      <c r="C115" t="inlineStr">
        <is>
          <t>Regata esportiva premium laranja tam. 36</t>
        </is>
      </c>
      <c r="D115" s="10">
        <f>ROUND(D115*(1+(E115/100)),2)</f>
        <v/>
      </c>
      <c r="E115" s="8" t="n">
        <v>15</v>
      </c>
    </row>
    <row r="116">
      <c r="A116" s="8" t="n">
        <v>115</v>
      </c>
      <c r="B116" s="8" t="inlineStr">
        <is>
          <t>Produto</t>
        </is>
      </c>
      <c r="C116" t="inlineStr">
        <is>
          <t>Halter para uso diário cinza</t>
        </is>
      </c>
      <c r="D116" s="10">
        <f>ROUND(D116*(1+(E116/100)),2)</f>
        <v/>
      </c>
      <c r="E116" s="8" t="n">
        <v>15</v>
      </c>
    </row>
    <row r="117">
      <c r="A117" s="8" t="n">
        <v>116</v>
      </c>
      <c r="B117" s="8" t="inlineStr">
        <is>
          <t>Produto</t>
        </is>
      </c>
      <c r="C117" t="inlineStr">
        <is>
          <t>Corda de pular profissional rosa</t>
        </is>
      </c>
      <c r="D117" s="10">
        <f>ROUND(D117*(1+(E117/100)),2)</f>
        <v/>
      </c>
      <c r="E117" s="8" t="n">
        <v>15</v>
      </c>
    </row>
    <row r="118">
      <c r="A118" s="8" t="n">
        <v>117</v>
      </c>
      <c r="B118" s="8" t="inlineStr">
        <is>
          <t>Produto</t>
        </is>
      </c>
      <c r="C118" t="inlineStr">
        <is>
          <t>Caneleira de futebol modelo avançado verde</t>
        </is>
      </c>
      <c r="D118" s="10">
        <f>ROUND(D118*(1+(E118/100)),2)</f>
        <v/>
      </c>
      <c r="E118" s="8" t="n">
        <v>15</v>
      </c>
    </row>
    <row r="119">
      <c r="A119" s="8" t="n">
        <v>118</v>
      </c>
      <c r="B119" s="8" t="inlineStr">
        <is>
          <t>Produto</t>
        </is>
      </c>
      <c r="C119" t="inlineStr">
        <is>
          <t>Banco de musculação adulto verde</t>
        </is>
      </c>
      <c r="D119" s="10">
        <f>ROUND(D119*(1+(E119/100)),2)</f>
        <v/>
      </c>
      <c r="E119" s="8" t="n">
        <v>15</v>
      </c>
    </row>
    <row r="120">
      <c r="A120" s="8" t="n">
        <v>119</v>
      </c>
      <c r="B120" s="8" t="inlineStr">
        <is>
          <t>Produto</t>
        </is>
      </c>
      <c r="C120" t="inlineStr">
        <is>
          <t>Bola de basquete recreativo verde</t>
        </is>
      </c>
      <c r="D120" s="10">
        <f>ROUND(D120*(1+(E120/100)),2)</f>
        <v/>
      </c>
      <c r="E120" s="8" t="n">
        <v>15</v>
      </c>
    </row>
    <row r="121">
      <c r="A121" s="8" t="n">
        <v>120</v>
      </c>
      <c r="B121" s="8" t="inlineStr">
        <is>
          <t>Produto</t>
        </is>
      </c>
      <c r="C121" t="inlineStr">
        <is>
          <t>Prancha de natação unissex verde</t>
        </is>
      </c>
      <c r="D121" s="10">
        <f>ROUND(D121*(1+(E121/100)),2)</f>
        <v/>
      </c>
      <c r="E121" s="8" t="n">
        <v>15</v>
      </c>
    </row>
    <row r="122">
      <c r="A122" s="8" t="n">
        <v>121</v>
      </c>
      <c r="B122" s="8" t="inlineStr">
        <is>
          <t>Produto</t>
        </is>
      </c>
      <c r="C122" t="inlineStr">
        <is>
          <t>Mochila esportiva leve azul</t>
        </is>
      </c>
      <c r="D122" s="10">
        <f>ROUND(D122*(1+(E122/100)),2)</f>
        <v/>
      </c>
      <c r="E122" s="8" t="n">
        <v>15</v>
      </c>
    </row>
    <row r="123">
      <c r="A123" s="8" t="n">
        <v>122</v>
      </c>
      <c r="B123" s="8" t="inlineStr">
        <is>
          <t>Produto</t>
        </is>
      </c>
      <c r="C123" t="inlineStr">
        <is>
          <t>Camiseta esportiva treino preto tam. 34</t>
        </is>
      </c>
      <c r="D123" s="10">
        <f>ROUND(D123*(1+(E123/100)),2)</f>
        <v/>
      </c>
      <c r="E123" s="8" t="n">
        <v>15</v>
      </c>
    </row>
    <row r="124">
      <c r="A124" s="8" t="n">
        <v>123</v>
      </c>
      <c r="B124" s="8" t="inlineStr">
        <is>
          <t>Produto</t>
        </is>
      </c>
      <c r="C124" t="inlineStr">
        <is>
          <t>Bloco para yoga reforçado azul</t>
        </is>
      </c>
      <c r="D124" s="10">
        <f>ROUND(D124*(1+(E124/100)),2)</f>
        <v/>
      </c>
      <c r="E124" s="8" t="n">
        <v>15</v>
      </c>
    </row>
    <row r="125">
      <c r="A125" s="8" t="n">
        <v>124</v>
      </c>
      <c r="B125" s="8" t="inlineStr">
        <is>
          <t>Produto</t>
        </is>
      </c>
      <c r="C125" t="inlineStr">
        <is>
          <t>Touca de natação treino cinza tam. 44</t>
        </is>
      </c>
      <c r="D125" s="10">
        <f>ROUND(D125*(1+(E125/100)),2)</f>
        <v/>
      </c>
      <c r="E125" s="8" t="n">
        <v>15</v>
      </c>
    </row>
    <row r="126">
      <c r="A126" s="8" t="n">
        <v>125</v>
      </c>
      <c r="B126" s="8" t="inlineStr">
        <is>
          <t>Produto</t>
        </is>
      </c>
      <c r="C126" t="inlineStr">
        <is>
          <t>Protetor bucal modelo avançado laranja</t>
        </is>
      </c>
      <c r="D126" s="10">
        <f>ROUND(D126*(1+(E126/100)),2)</f>
        <v/>
      </c>
      <c r="E126" s="8" t="n">
        <v>15</v>
      </c>
    </row>
    <row r="127">
      <c r="A127" s="8" t="n">
        <v>126</v>
      </c>
      <c r="B127" s="8" t="inlineStr">
        <is>
          <t>Produto</t>
        </is>
      </c>
      <c r="C127" t="inlineStr">
        <is>
          <t>Raquete de beach tennis modelo básico preto</t>
        </is>
      </c>
      <c r="D127" s="10">
        <f>ROUND(D127*(1+(E127/100)),2)</f>
        <v/>
      </c>
      <c r="E127" s="8" t="n">
        <v>15</v>
      </c>
    </row>
    <row r="128">
      <c r="A128" s="8" t="n">
        <v>127</v>
      </c>
      <c r="B128" s="8" t="inlineStr">
        <is>
          <t>Produto</t>
        </is>
      </c>
      <c r="C128" t="inlineStr">
        <is>
          <t>Óculos esportivos alta performance branco</t>
        </is>
      </c>
      <c r="D128" s="10">
        <f>ROUND(D128*(1+(E128/100)),2)</f>
        <v/>
      </c>
      <c r="E128" s="8" t="n">
        <v>15</v>
      </c>
    </row>
    <row r="129">
      <c r="A129" s="8" t="n">
        <v>128</v>
      </c>
      <c r="B129" s="8" t="inlineStr">
        <is>
          <t>Produto</t>
        </is>
      </c>
      <c r="C129" t="inlineStr">
        <is>
          <t>Capacete de ciclismo alta performance vermelho</t>
        </is>
      </c>
      <c r="D129" s="10">
        <f>ROUND(D129*(1+(E129/100)),2)</f>
        <v/>
      </c>
      <c r="E129" s="8" t="n">
        <v>15</v>
      </c>
    </row>
    <row r="130">
      <c r="A130" s="8" t="n">
        <v>129</v>
      </c>
      <c r="B130" s="8" t="inlineStr">
        <is>
          <t>Produto</t>
        </is>
      </c>
      <c r="C130" t="inlineStr">
        <is>
          <t>Óculos de natação versão 2026 rosa</t>
        </is>
      </c>
      <c r="D130" s="10">
        <f>ROUND(D130*(1+(E130/100)),2)</f>
        <v/>
      </c>
      <c r="E130" s="8" t="n">
        <v>15</v>
      </c>
    </row>
    <row r="131">
      <c r="A131" s="8" t="n">
        <v>130</v>
      </c>
      <c r="B131" s="8" t="inlineStr">
        <is>
          <t>Produto</t>
        </is>
      </c>
      <c r="C131" t="inlineStr">
        <is>
          <t>Bastão de caminhada premium branco</t>
        </is>
      </c>
      <c r="D131" s="10">
        <f>ROUND(D131*(1+(E131/100)),2)</f>
        <v/>
      </c>
      <c r="E131" s="8" t="n">
        <v>15</v>
      </c>
    </row>
    <row r="132">
      <c r="A132" s="8" t="n">
        <v>131</v>
      </c>
      <c r="B132" s="8" t="inlineStr">
        <is>
          <t>Produto</t>
        </is>
      </c>
      <c r="C132" t="inlineStr">
        <is>
          <t>Raquete de badminton com ajuste verde</t>
        </is>
      </c>
      <c r="D132" s="10">
        <f>ROUND(D132*(1+(E132/100)),2)</f>
        <v/>
      </c>
      <c r="E132" s="8" t="n">
        <v>15</v>
      </c>
    </row>
    <row r="133">
      <c r="A133" s="8" t="n">
        <v>132</v>
      </c>
      <c r="B133" s="8" t="inlineStr">
        <is>
          <t>Produto</t>
        </is>
      </c>
      <c r="C133" t="inlineStr">
        <is>
          <t>Protetor bucal para uso diário branco</t>
        </is>
      </c>
      <c r="D133" s="10">
        <f>ROUND(D133*(1+(E133/100)),2)</f>
        <v/>
      </c>
      <c r="E133" s="8" t="n">
        <v>15</v>
      </c>
    </row>
    <row r="134">
      <c r="A134" s="8" t="n">
        <v>133</v>
      </c>
      <c r="B134" s="8" t="inlineStr">
        <is>
          <t>Produto</t>
        </is>
      </c>
      <c r="C134" t="inlineStr">
        <is>
          <t>Halter ergonômico verde</t>
        </is>
      </c>
      <c r="D134" s="10">
        <f>ROUND(D134*(1+(E134/100)),2)</f>
        <v/>
      </c>
      <c r="E134" s="8" t="n">
        <v>15</v>
      </c>
    </row>
    <row r="135">
      <c r="A135" s="8" t="n">
        <v>134</v>
      </c>
      <c r="B135" s="8" t="inlineStr">
        <is>
          <t>Produto</t>
        </is>
      </c>
      <c r="C135" t="inlineStr">
        <is>
          <t>Mochila esportiva premium cinza</t>
        </is>
      </c>
      <c r="D135" s="10">
        <f>ROUND(D135*(1+(E135/100)),2)</f>
        <v/>
      </c>
      <c r="E135" s="8" t="n">
        <v>15</v>
      </c>
    </row>
    <row r="136">
      <c r="A136" s="8" t="n">
        <v>135</v>
      </c>
      <c r="B136" s="8" t="inlineStr">
        <is>
          <t>Produto</t>
        </is>
      </c>
      <c r="C136" t="inlineStr">
        <is>
          <t>Monitor cardíaco profissional verde</t>
        </is>
      </c>
      <c r="D136" s="10">
        <f>ROUND(D136*(1+(E136/100)),2)</f>
        <v/>
      </c>
      <c r="E136" s="8" t="n">
        <v>15</v>
      </c>
    </row>
    <row r="137">
      <c r="A137" s="8" t="n">
        <v>136</v>
      </c>
      <c r="B137" s="8" t="inlineStr">
        <is>
          <t>Produto</t>
        </is>
      </c>
      <c r="C137" t="inlineStr">
        <is>
          <t>Óculos esportivos compacto rosa</t>
        </is>
      </c>
      <c r="D137" s="10">
        <f>ROUND(D137*(1+(E137/100)),2)</f>
        <v/>
      </c>
      <c r="E137" s="8" t="n">
        <v>15</v>
      </c>
    </row>
    <row r="138">
      <c r="A138" s="8" t="n">
        <v>137</v>
      </c>
      <c r="B138" s="8" t="inlineStr">
        <is>
          <t>Produto</t>
        </is>
      </c>
      <c r="C138" t="inlineStr">
        <is>
          <t>Óculos esportivos adulto azul</t>
        </is>
      </c>
      <c r="D138" s="10">
        <f>ROUND(D138*(1+(E138/100)),2)</f>
        <v/>
      </c>
      <c r="E138" s="8" t="n">
        <v>15</v>
      </c>
    </row>
    <row r="139">
      <c r="A139" s="8" t="n">
        <v>138</v>
      </c>
      <c r="B139" s="8" t="inlineStr">
        <is>
          <t>Produto</t>
        </is>
      </c>
      <c r="C139" t="inlineStr">
        <is>
          <t>Elástico de resistência iniciante branco</t>
        </is>
      </c>
      <c r="D139" s="10">
        <f>ROUND(D139*(1+(E139/100)),2)</f>
        <v/>
      </c>
      <c r="E139" s="8" t="n">
        <v>15</v>
      </c>
    </row>
    <row r="140">
      <c r="A140" s="8" t="n">
        <v>139</v>
      </c>
      <c r="B140" s="8" t="inlineStr">
        <is>
          <t>Produto</t>
        </is>
      </c>
      <c r="C140" t="inlineStr">
        <is>
          <t>Monitor cardíaco alta performance branco</t>
        </is>
      </c>
      <c r="D140" s="10">
        <f>ROUND(D140*(1+(E140/100)),2)</f>
        <v/>
      </c>
      <c r="E140" s="8" t="n">
        <v>15</v>
      </c>
    </row>
    <row r="141">
      <c r="A141" s="8" t="n">
        <v>140</v>
      </c>
      <c r="B141" s="8" t="inlineStr">
        <is>
          <t>Produto</t>
        </is>
      </c>
      <c r="C141" t="inlineStr">
        <is>
          <t>Capacete de ciclismo iniciante cinza</t>
        </is>
      </c>
      <c r="D141" s="10">
        <f>ROUND(D141*(1+(E141/100)),2)</f>
        <v/>
      </c>
      <c r="E141" s="8" t="n">
        <v>15</v>
      </c>
    </row>
    <row r="142">
      <c r="A142" s="8" t="n">
        <v>141</v>
      </c>
      <c r="B142" s="8" t="inlineStr">
        <is>
          <t>Produto</t>
        </is>
      </c>
      <c r="C142" t="inlineStr">
        <is>
          <t>Bastão de caminhada modelo básico azul</t>
        </is>
      </c>
      <c r="D142" s="10">
        <f>ROUND(D142*(1+(E142/100)),2)</f>
        <v/>
      </c>
      <c r="E142" s="8" t="n">
        <v>15</v>
      </c>
    </row>
    <row r="143">
      <c r="A143" s="8" t="n">
        <v>142</v>
      </c>
      <c r="B143" s="8" t="inlineStr">
        <is>
          <t>Produto</t>
        </is>
      </c>
      <c r="C143" t="inlineStr">
        <is>
          <t>Step de ginástica reforçado verde</t>
        </is>
      </c>
      <c r="D143" s="10">
        <f>ROUND(D143*(1+(E143/100)),2)</f>
        <v/>
      </c>
      <c r="E143" s="8" t="n">
        <v>15</v>
      </c>
    </row>
    <row r="144">
      <c r="A144" s="8" t="n">
        <v>143</v>
      </c>
      <c r="B144" s="8" t="inlineStr">
        <is>
          <t>Produto</t>
        </is>
      </c>
      <c r="C144" t="inlineStr">
        <is>
          <t>Bolsa de academia resistente cinza</t>
        </is>
      </c>
      <c r="D144" s="10">
        <f>ROUND(D144*(1+(E144/100)),2)</f>
        <v/>
      </c>
      <c r="E144" s="8" t="n">
        <v>15</v>
      </c>
    </row>
    <row r="145">
      <c r="A145" s="8" t="n">
        <v>144</v>
      </c>
      <c r="B145" s="8" t="inlineStr">
        <is>
          <t>Produto</t>
        </is>
      </c>
      <c r="C145" t="inlineStr">
        <is>
          <t>Short esportivo compacto branco tam. G</t>
        </is>
      </c>
      <c r="D145" s="10">
        <f>ROUND(D145*(1+(E145/100)),2)</f>
        <v/>
      </c>
      <c r="E145" s="8" t="n">
        <v>15</v>
      </c>
    </row>
    <row r="146">
      <c r="A146" s="8" t="n">
        <v>145</v>
      </c>
      <c r="B146" s="8" t="inlineStr">
        <is>
          <t>Produto</t>
        </is>
      </c>
      <c r="C146" t="inlineStr">
        <is>
          <t>Patins recreativo cinza</t>
        </is>
      </c>
      <c r="D146" s="10">
        <f>ROUND(D146*(1+(E146/100)),2)</f>
        <v/>
      </c>
      <c r="E146" s="8" t="n">
        <v>15</v>
      </c>
    </row>
    <row r="147">
      <c r="A147" s="8" t="n">
        <v>146</v>
      </c>
      <c r="B147" s="8" t="inlineStr">
        <is>
          <t>Produto</t>
        </is>
      </c>
      <c r="C147" t="inlineStr">
        <is>
          <t>Raquete de tênis iniciante vermelho tam. 40</t>
        </is>
      </c>
      <c r="D147" s="10">
        <f>ROUND(D147*(1+(E147/100)),2)</f>
        <v/>
      </c>
      <c r="E147" s="8" t="n">
        <v>15</v>
      </c>
    </row>
    <row r="148">
      <c r="A148" s="8" t="n">
        <v>147</v>
      </c>
      <c r="B148" s="8" t="inlineStr">
        <is>
          <t>Produto</t>
        </is>
      </c>
      <c r="C148" t="inlineStr">
        <is>
          <t>Bola de futebol iniciante rosa</t>
        </is>
      </c>
      <c r="D148" s="10">
        <f>ROUND(D148*(1+(E148/100)),2)</f>
        <v/>
      </c>
      <c r="E148" s="8" t="n">
        <v>15</v>
      </c>
    </row>
    <row r="149">
      <c r="A149" s="8" t="n">
        <v>148</v>
      </c>
      <c r="B149" s="8" t="inlineStr">
        <is>
          <t>Produto</t>
        </is>
      </c>
      <c r="C149" t="inlineStr">
        <is>
          <t>Kettlebell juvenil cinza</t>
        </is>
      </c>
      <c r="D149" s="10">
        <f>ROUND(D149*(1+(E149/100)),2)</f>
        <v/>
      </c>
      <c r="E149" s="8" t="n">
        <v>15</v>
      </c>
    </row>
    <row r="150">
      <c r="A150" s="8" t="n">
        <v>149</v>
      </c>
      <c r="B150" s="8" t="inlineStr">
        <is>
          <t>Produto</t>
        </is>
      </c>
      <c r="C150" t="inlineStr">
        <is>
          <t>Luva de ciclismo profissional laranja tam. 40</t>
        </is>
      </c>
      <c r="D150" s="10">
        <f>ROUND(D150*(1+(E150/100)),2)</f>
        <v/>
      </c>
      <c r="E150" s="8" t="n">
        <v>15</v>
      </c>
    </row>
    <row r="151">
      <c r="A151" s="8" t="n">
        <v>150</v>
      </c>
      <c r="B151" s="8" t="inlineStr">
        <is>
          <t>Produto</t>
        </is>
      </c>
      <c r="C151" t="inlineStr">
        <is>
          <t>Touca de natação recreativo vermelho tam. 44</t>
        </is>
      </c>
      <c r="D151" s="10">
        <f>ROUND(D151*(1+(E151/100)),2)</f>
        <v/>
      </c>
      <c r="E151" s="8" t="n">
        <v>15</v>
      </c>
    </row>
    <row r="152">
      <c r="A152" s="8" t="n">
        <v>151</v>
      </c>
      <c r="B152" s="8" t="inlineStr">
        <is>
          <t>Produto</t>
        </is>
      </c>
      <c r="C152" t="inlineStr">
        <is>
          <t>Raquete de badminton treino laranja</t>
        </is>
      </c>
      <c r="D152" s="10">
        <f>ROUND(D152*(1+(E152/100)),2)</f>
        <v/>
      </c>
      <c r="E152" s="8" t="n">
        <v>15</v>
      </c>
    </row>
    <row r="153">
      <c r="A153" s="8" t="n">
        <v>152</v>
      </c>
      <c r="B153" s="8" t="inlineStr">
        <is>
          <t>Produto</t>
        </is>
      </c>
      <c r="C153" t="inlineStr">
        <is>
          <t>Kimono de judô resistente laranja tam. 40</t>
        </is>
      </c>
      <c r="D153" s="10">
        <f>ROUND(D153*(1+(E153/100)),2)</f>
        <v/>
      </c>
      <c r="E153" s="8" t="n">
        <v>15</v>
      </c>
    </row>
    <row r="154">
      <c r="A154" s="8" t="n">
        <v>153</v>
      </c>
      <c r="B154" s="8" t="inlineStr">
        <is>
          <t>Produto</t>
        </is>
      </c>
      <c r="C154" t="inlineStr">
        <is>
          <t>Coqueteleira alta performance cinza</t>
        </is>
      </c>
      <c r="D154" s="10">
        <f>ROUND(D154*(1+(E154/100)),2)</f>
        <v/>
      </c>
      <c r="E154" s="8" t="n">
        <v>15</v>
      </c>
    </row>
    <row r="155">
      <c r="A155" s="8" t="n">
        <v>154</v>
      </c>
      <c r="B155" s="8" t="inlineStr">
        <is>
          <t>Produto</t>
        </is>
      </c>
      <c r="C155" t="inlineStr">
        <is>
          <t>Raquete de tênis treino verde tam. GG</t>
        </is>
      </c>
      <c r="D155" s="10">
        <f>ROUND(D155*(1+(E155/100)),2)</f>
        <v/>
      </c>
      <c r="E155" s="8" t="n">
        <v>15</v>
      </c>
    </row>
    <row r="156">
      <c r="A156" s="8" t="n">
        <v>155</v>
      </c>
      <c r="B156" s="8" t="inlineStr">
        <is>
          <t>Produto</t>
        </is>
      </c>
      <c r="C156" t="inlineStr">
        <is>
          <t>Raquete de badminton compacto vermelho</t>
        </is>
      </c>
      <c r="D156" s="10">
        <f>ROUND(D156*(1+(E156/100)),2)</f>
        <v/>
      </c>
      <c r="E156" s="8" t="n">
        <v>15</v>
      </c>
    </row>
    <row r="157">
      <c r="A157" s="8" t="n">
        <v>156</v>
      </c>
      <c r="B157" s="8" t="inlineStr">
        <is>
          <t>Produto</t>
        </is>
      </c>
      <c r="C157" t="inlineStr">
        <is>
          <t>Camiseta esportiva alta performance rosa tam. 44</t>
        </is>
      </c>
      <c r="D157" s="10">
        <f>ROUND(D157*(1+(E157/100)),2)</f>
        <v/>
      </c>
      <c r="E157" s="8" t="n">
        <v>15</v>
      </c>
    </row>
    <row r="158">
      <c r="A158" s="8" t="n">
        <v>157</v>
      </c>
      <c r="B158" s="8" t="inlineStr">
        <is>
          <t>Produto</t>
        </is>
      </c>
      <c r="C158" t="inlineStr">
        <is>
          <t>Bola de vôlei iniciante cinza</t>
        </is>
      </c>
      <c r="D158" s="10">
        <f>ROUND(D158*(1+(E158/100)),2)</f>
        <v/>
      </c>
      <c r="E158" s="8" t="n">
        <v>15</v>
      </c>
    </row>
    <row r="159">
      <c r="A159" s="8" t="n">
        <v>158</v>
      </c>
      <c r="B159" s="8" t="inlineStr">
        <is>
          <t>Produto</t>
        </is>
      </c>
      <c r="C159" t="inlineStr">
        <is>
          <t>Capacete de ciclismo compacto cinza</t>
        </is>
      </c>
      <c r="D159" s="10">
        <f>ROUND(D159*(1+(E159/100)),2)</f>
        <v/>
      </c>
      <c r="E159" s="8" t="n">
        <v>15</v>
      </c>
    </row>
    <row r="160">
      <c r="A160" s="8" t="n">
        <v>159</v>
      </c>
      <c r="B160" s="8" t="inlineStr">
        <is>
          <t>Produto</t>
        </is>
      </c>
      <c r="C160" t="inlineStr">
        <is>
          <t>Touca de natação reforçado laranja tam. M</t>
        </is>
      </c>
      <c r="D160" s="10">
        <f>ROUND(D160*(1+(E160/100)),2)</f>
        <v/>
      </c>
      <c r="E160" s="8" t="n">
        <v>15</v>
      </c>
    </row>
    <row r="161">
      <c r="A161" s="8" t="n">
        <v>160</v>
      </c>
      <c r="B161" s="8" t="inlineStr">
        <is>
          <t>Produto</t>
        </is>
      </c>
      <c r="C161" t="inlineStr">
        <is>
          <t>Óculos de natação premium vermelho</t>
        </is>
      </c>
      <c r="D161" s="10">
        <f>ROUND(D161*(1+(E161/100)),2)</f>
        <v/>
      </c>
      <c r="E161" s="8" t="n">
        <v>15</v>
      </c>
    </row>
    <row r="162">
      <c r="A162" s="8" t="n">
        <v>161</v>
      </c>
      <c r="B162" s="8" t="inlineStr">
        <is>
          <t>Produto</t>
        </is>
      </c>
      <c r="C162" t="inlineStr">
        <is>
          <t>Camiseta esportiva versão 2026 cinza tam. 40</t>
        </is>
      </c>
      <c r="D162" s="10">
        <f>ROUND(D162*(1+(E162/100)),2)</f>
        <v/>
      </c>
      <c r="E162" s="8" t="n">
        <v>15</v>
      </c>
    </row>
    <row r="163">
      <c r="A163" s="8" t="n">
        <v>162</v>
      </c>
      <c r="B163" s="8" t="inlineStr">
        <is>
          <t>Produto</t>
        </is>
      </c>
      <c r="C163" t="inlineStr">
        <is>
          <t>Skate para uso diário cinza</t>
        </is>
      </c>
      <c r="D163" s="10">
        <f>ROUND(D163*(1+(E163/100)),2)</f>
        <v/>
      </c>
      <c r="E163" s="8" t="n">
        <v>15</v>
      </c>
    </row>
    <row r="164">
      <c r="A164" s="8" t="n">
        <v>163</v>
      </c>
      <c r="B164" s="8" t="inlineStr">
        <is>
          <t>Produto</t>
        </is>
      </c>
      <c r="C164" t="inlineStr">
        <is>
          <t>Óculos esportivos profissional preto</t>
        </is>
      </c>
      <c r="D164" s="10">
        <f>ROUND(D164*(1+(E164/100)),2)</f>
        <v/>
      </c>
      <c r="E164" s="8" t="n">
        <v>15</v>
      </c>
    </row>
    <row r="165">
      <c r="A165" s="8" t="n">
        <v>164</v>
      </c>
      <c r="B165" s="8" t="inlineStr">
        <is>
          <t>Produto</t>
        </is>
      </c>
      <c r="C165" t="inlineStr">
        <is>
          <t>Bola de pilates versão 2026 cinza</t>
        </is>
      </c>
      <c r="D165" s="10">
        <f>ROUND(D165*(1+(E165/100)),2)</f>
        <v/>
      </c>
      <c r="E165" s="8" t="n">
        <v>15</v>
      </c>
    </row>
    <row r="166">
      <c r="A166" s="8" t="n">
        <v>165</v>
      </c>
      <c r="B166" s="8" t="inlineStr">
        <is>
          <t>Produto</t>
        </is>
      </c>
      <c r="C166" t="inlineStr">
        <is>
          <t>Jaqueta esportiva unissex preto tam. 34</t>
        </is>
      </c>
      <c r="D166" s="10">
        <f>ROUND(D166*(1+(E166/100)),2)</f>
        <v/>
      </c>
      <c r="E166" s="8" t="n">
        <v>15</v>
      </c>
    </row>
    <row r="167">
      <c r="A167" s="8" t="n">
        <v>166</v>
      </c>
      <c r="B167" s="8" t="inlineStr">
        <is>
          <t>Produto</t>
        </is>
      </c>
      <c r="C167" t="inlineStr">
        <is>
          <t>Step de ginástica ergonômico rosa</t>
        </is>
      </c>
      <c r="D167" s="10">
        <f>ROUND(D167*(1+(E167/100)),2)</f>
        <v/>
      </c>
      <c r="E167" s="8" t="n">
        <v>15</v>
      </c>
    </row>
    <row r="168">
      <c r="A168" s="8" t="n">
        <v>167</v>
      </c>
      <c r="B168" s="8" t="inlineStr">
        <is>
          <t>Produto</t>
        </is>
      </c>
      <c r="C168" t="inlineStr">
        <is>
          <t>Regata esportiva alta performance rosa tam. M</t>
        </is>
      </c>
      <c r="D168" s="10">
        <f>ROUND(D168*(1+(E168/100)),2)</f>
        <v/>
      </c>
      <c r="E168" s="8" t="n">
        <v>15</v>
      </c>
    </row>
    <row r="169">
      <c r="A169" s="8" t="n">
        <v>168</v>
      </c>
      <c r="B169" s="8" t="inlineStr">
        <is>
          <t>Produto</t>
        </is>
      </c>
      <c r="C169" t="inlineStr">
        <is>
          <t>Corda de pular modelo básico azul</t>
        </is>
      </c>
      <c r="D169" s="10">
        <f>ROUND(D169*(1+(E169/100)),2)</f>
        <v/>
      </c>
      <c r="E169" s="8" t="n">
        <v>15</v>
      </c>
    </row>
    <row r="170">
      <c r="A170" s="8" t="n">
        <v>169</v>
      </c>
      <c r="B170" s="8" t="inlineStr">
        <is>
          <t>Produto</t>
        </is>
      </c>
      <c r="C170" t="inlineStr">
        <is>
          <t>Kettlebell ergonômico cinza</t>
        </is>
      </c>
      <c r="D170" s="10">
        <f>ROUND(D170*(1+(E170/100)),2)</f>
        <v/>
      </c>
      <c r="E170" s="8" t="n">
        <v>15</v>
      </c>
    </row>
    <row r="171">
      <c r="A171" s="8" t="n">
        <v>170</v>
      </c>
      <c r="B171" s="8" t="inlineStr">
        <is>
          <t>Produto</t>
        </is>
      </c>
      <c r="C171" t="inlineStr">
        <is>
          <t>Elástico de resistência juvenil rosa</t>
        </is>
      </c>
      <c r="D171" s="10">
        <f>ROUND(D171*(1+(E171/100)),2)</f>
        <v/>
      </c>
      <c r="E171" s="8" t="n">
        <v>15</v>
      </c>
    </row>
    <row r="172">
      <c r="A172" s="8" t="n">
        <v>171</v>
      </c>
      <c r="B172" s="8" t="inlineStr">
        <is>
          <t>Produto</t>
        </is>
      </c>
      <c r="C172" t="inlineStr">
        <is>
          <t>Mochila esportiva treino laranja</t>
        </is>
      </c>
      <c r="D172" s="10">
        <f>ROUND(D172*(1+(E172/100)),2)</f>
        <v/>
      </c>
      <c r="E172" s="8" t="n">
        <v>15</v>
      </c>
    </row>
    <row r="173">
      <c r="A173" s="8" t="n">
        <v>172</v>
      </c>
      <c r="B173" s="8" t="inlineStr">
        <is>
          <t>Produto</t>
        </is>
      </c>
      <c r="C173" t="inlineStr">
        <is>
          <t>Bola de futebol com ajuste laranja</t>
        </is>
      </c>
      <c r="D173" s="10">
        <f>ROUND(D173*(1+(E173/100)),2)</f>
        <v/>
      </c>
      <c r="E173" s="8" t="n">
        <v>15</v>
      </c>
    </row>
    <row r="174">
      <c r="A174" s="8" t="n">
        <v>173</v>
      </c>
      <c r="B174" s="8" t="inlineStr">
        <is>
          <t>Produto</t>
        </is>
      </c>
      <c r="C174" t="inlineStr">
        <is>
          <t>Monitor cardíaco versão 2026 rosa</t>
        </is>
      </c>
      <c r="D174" s="10">
        <f>ROUND(D174*(1+(E174/100)),2)</f>
        <v/>
      </c>
      <c r="E174" s="8" t="n">
        <v>15</v>
      </c>
    </row>
    <row r="175">
      <c r="A175" s="8" t="n">
        <v>174</v>
      </c>
      <c r="B175" s="8" t="inlineStr">
        <is>
          <t>Produto</t>
        </is>
      </c>
      <c r="C175" t="inlineStr">
        <is>
          <t>Step de ginástica reforçado cinza</t>
        </is>
      </c>
      <c r="D175" s="10">
        <f>ROUND(D175*(1+(E175/100)),2)</f>
        <v/>
      </c>
      <c r="E175" s="8" t="n">
        <v>15</v>
      </c>
    </row>
    <row r="176">
      <c r="A176" s="8" t="n">
        <v>175</v>
      </c>
      <c r="B176" s="8" t="inlineStr">
        <is>
          <t>Produto</t>
        </is>
      </c>
      <c r="C176" t="inlineStr">
        <is>
          <t>Garrafa squeeze ergonômico azul</t>
        </is>
      </c>
      <c r="D176" s="10">
        <f>ROUND(D176*(1+(E176/100)),2)</f>
        <v/>
      </c>
      <c r="E176" s="8" t="n">
        <v>15</v>
      </c>
    </row>
    <row r="177">
      <c r="A177" s="8" t="n">
        <v>176</v>
      </c>
      <c r="B177" s="8" t="inlineStr">
        <is>
          <t>Produto</t>
        </is>
      </c>
      <c r="C177" t="inlineStr">
        <is>
          <t>Touca de natação compacto vermelho tam. 34</t>
        </is>
      </c>
      <c r="D177" s="10">
        <f>ROUND(D177*(1+(E177/100)),2)</f>
        <v/>
      </c>
      <c r="E177" s="8" t="n">
        <v>15</v>
      </c>
    </row>
    <row r="178">
      <c r="A178" s="8" t="n">
        <v>177</v>
      </c>
      <c r="B178" s="8" t="inlineStr">
        <is>
          <t>Produto</t>
        </is>
      </c>
      <c r="C178" t="inlineStr">
        <is>
          <t>Luva de goleiro profissional verde tam. M</t>
        </is>
      </c>
      <c r="D178" s="10">
        <f>ROUND(D178*(1+(E178/100)),2)</f>
        <v/>
      </c>
      <c r="E178" s="8" t="n">
        <v>15</v>
      </c>
    </row>
    <row r="179">
      <c r="A179" s="8" t="n">
        <v>178</v>
      </c>
      <c r="B179" s="8" t="inlineStr">
        <is>
          <t>Produto</t>
        </is>
      </c>
      <c r="C179" t="inlineStr">
        <is>
          <t>Tênis para quadra ergonômico cinza tam. 42</t>
        </is>
      </c>
      <c r="D179" s="10">
        <f>ROUND(D179*(1+(E179/100)),2)</f>
        <v/>
      </c>
      <c r="E179" s="8" t="n">
        <v>15</v>
      </c>
    </row>
    <row r="180">
      <c r="A180" s="8" t="n">
        <v>179</v>
      </c>
      <c r="B180" s="8" t="inlineStr">
        <is>
          <t>Produto</t>
        </is>
      </c>
      <c r="C180" t="inlineStr">
        <is>
          <t>Corda de pular ergonômico verde</t>
        </is>
      </c>
      <c r="D180" s="10">
        <f>ROUND(D180*(1+(E180/100)),2)</f>
        <v/>
      </c>
      <c r="E180" s="8" t="n">
        <v>15</v>
      </c>
    </row>
    <row r="181">
      <c r="A181" s="8" t="n">
        <v>180</v>
      </c>
      <c r="B181" s="8" t="inlineStr">
        <is>
          <t>Produto</t>
        </is>
      </c>
      <c r="C181" t="inlineStr">
        <is>
          <t>Chuteira society reforçado vermelho tam. M</t>
        </is>
      </c>
      <c r="D181" s="10">
        <f>ROUND(D181*(1+(E181/100)),2)</f>
        <v/>
      </c>
      <c r="E181" s="8" t="n">
        <v>15</v>
      </c>
    </row>
    <row r="182">
      <c r="A182" s="8" t="n">
        <v>181</v>
      </c>
      <c r="B182" s="8" t="inlineStr">
        <is>
          <t>Produto</t>
        </is>
      </c>
      <c r="C182" t="inlineStr">
        <is>
          <t>Corda de pular resistente cinza</t>
        </is>
      </c>
      <c r="D182" s="10">
        <f>ROUND(D182*(1+(E182/100)),2)</f>
        <v/>
      </c>
      <c r="E182" s="8" t="n">
        <v>15</v>
      </c>
    </row>
    <row r="183">
      <c r="A183" s="8" t="n">
        <v>182</v>
      </c>
      <c r="B183" s="8" t="inlineStr">
        <is>
          <t>Produto</t>
        </is>
      </c>
      <c r="C183" t="inlineStr">
        <is>
          <t>Garrafa squeeze unissex rosa</t>
        </is>
      </c>
      <c r="D183" s="10">
        <f>ROUND(D183*(1+(E183/100)),2)</f>
        <v/>
      </c>
      <c r="E183" s="8" t="n">
        <v>15</v>
      </c>
    </row>
    <row r="184">
      <c r="A184" s="8" t="n">
        <v>183</v>
      </c>
      <c r="B184" s="8" t="inlineStr">
        <is>
          <t>Produto</t>
        </is>
      </c>
      <c r="C184" t="inlineStr">
        <is>
          <t>Bicicleta urbana ergonômico branco</t>
        </is>
      </c>
      <c r="D184" s="10">
        <f>ROUND(D184*(1+(E184/100)),2)</f>
        <v/>
      </c>
      <c r="E184" s="8" t="n">
        <v>15</v>
      </c>
    </row>
    <row r="185">
      <c r="A185" s="8" t="n">
        <v>184</v>
      </c>
      <c r="B185" s="8" t="inlineStr">
        <is>
          <t>Produto</t>
        </is>
      </c>
      <c r="C185" t="inlineStr">
        <is>
          <t>Step de ginástica para uso diário rosa</t>
        </is>
      </c>
      <c r="D185" s="10">
        <f>ROUND(D185*(1+(E185/100)),2)</f>
        <v/>
      </c>
      <c r="E185" s="8" t="n">
        <v>15</v>
      </c>
    </row>
    <row r="186">
      <c r="A186" s="8" t="n">
        <v>185</v>
      </c>
      <c r="B186" s="8" t="inlineStr">
        <is>
          <t>Produto</t>
        </is>
      </c>
      <c r="C186" t="inlineStr">
        <is>
          <t>Short esportivo unissex laranja tam. GG</t>
        </is>
      </c>
      <c r="D186" s="10">
        <f>ROUND(D186*(1+(E186/100)),2)</f>
        <v/>
      </c>
      <c r="E186" s="8" t="n">
        <v>15</v>
      </c>
    </row>
    <row r="187">
      <c r="A187" s="8" t="n">
        <v>186</v>
      </c>
      <c r="B187" s="8" t="inlineStr">
        <is>
          <t>Produto</t>
        </is>
      </c>
      <c r="C187" t="inlineStr">
        <is>
          <t>Corda de pular modelo básico rosa</t>
        </is>
      </c>
      <c r="D187" s="10">
        <f>ROUND(D187*(1+(E187/100)),2)</f>
        <v/>
      </c>
      <c r="E187" s="8" t="n">
        <v>15</v>
      </c>
    </row>
    <row r="188">
      <c r="A188" s="8" t="n">
        <v>187</v>
      </c>
      <c r="B188" s="8" t="inlineStr">
        <is>
          <t>Produto</t>
        </is>
      </c>
      <c r="C188" t="inlineStr">
        <is>
          <t>Bloco para yoga recreativo rosa</t>
        </is>
      </c>
      <c r="D188" s="10">
        <f>ROUND(D188*(1+(E188/100)),2)</f>
        <v/>
      </c>
      <c r="E188" s="8" t="n">
        <v>15</v>
      </c>
    </row>
    <row r="189">
      <c r="A189" s="8" t="n">
        <v>188</v>
      </c>
      <c r="B189" s="8" t="inlineStr">
        <is>
          <t>Produto</t>
        </is>
      </c>
      <c r="C189" t="inlineStr">
        <is>
          <t>Chuteira de campo unissex branco tam. M</t>
        </is>
      </c>
      <c r="D189" s="10">
        <f>ROUND(D189*(1+(E189/100)),2)</f>
        <v/>
      </c>
      <c r="E189" s="8" t="n">
        <v>15</v>
      </c>
    </row>
    <row r="190">
      <c r="A190" s="8" t="n">
        <v>189</v>
      </c>
      <c r="B190" s="8" t="inlineStr">
        <is>
          <t>Produto</t>
        </is>
      </c>
      <c r="C190" t="inlineStr">
        <is>
          <t>Bicicleta urbana resistente rosa</t>
        </is>
      </c>
      <c r="D190" s="10">
        <f>ROUND(D190*(1+(E190/100)),2)</f>
        <v/>
      </c>
      <c r="E190" s="8" t="n">
        <v>15</v>
      </c>
    </row>
    <row r="191">
      <c r="A191" s="8" t="n">
        <v>190</v>
      </c>
      <c r="B191" s="8" t="inlineStr">
        <is>
          <t>Produto</t>
        </is>
      </c>
      <c r="C191" t="inlineStr">
        <is>
          <t>Chuteira society recreativo azul tam. 40</t>
        </is>
      </c>
      <c r="D191" s="10">
        <f>ROUND(D191*(1+(E191/100)),2)</f>
        <v/>
      </c>
      <c r="E191" s="8" t="n">
        <v>15</v>
      </c>
    </row>
    <row r="192">
      <c r="A192" s="8" t="n">
        <v>191</v>
      </c>
      <c r="B192" s="8" t="inlineStr">
        <is>
          <t>Produto</t>
        </is>
      </c>
      <c r="C192" t="inlineStr">
        <is>
          <t>Mochila esportiva versão 2026 laranja</t>
        </is>
      </c>
      <c r="D192" s="10">
        <f>ROUND(D192*(1+(E192/100)),2)</f>
        <v/>
      </c>
      <c r="E192" s="8" t="n">
        <v>15</v>
      </c>
    </row>
    <row r="193">
      <c r="A193" s="8" t="n">
        <v>192</v>
      </c>
      <c r="B193" s="8" t="inlineStr">
        <is>
          <t>Produto</t>
        </is>
      </c>
      <c r="C193" t="inlineStr">
        <is>
          <t>Kettlebell para uso diário branco</t>
        </is>
      </c>
      <c r="D193" s="10">
        <f>ROUND(D193*(1+(E193/100)),2)</f>
        <v/>
      </c>
      <c r="E193" s="8" t="n">
        <v>15</v>
      </c>
    </row>
    <row r="194">
      <c r="A194" s="8" t="n">
        <v>193</v>
      </c>
      <c r="B194" s="8" t="inlineStr">
        <is>
          <t>Produto</t>
        </is>
      </c>
      <c r="C194" t="inlineStr">
        <is>
          <t>Step de ginástica ventilado preto</t>
        </is>
      </c>
      <c r="D194" s="10">
        <f>ROUND(D194*(1+(E194/100)),2)</f>
        <v/>
      </c>
      <c r="E194" s="8" t="n">
        <v>15</v>
      </c>
    </row>
    <row r="195">
      <c r="A195" s="8" t="n">
        <v>194</v>
      </c>
      <c r="B195" s="8" t="inlineStr">
        <is>
          <t>Produto</t>
        </is>
      </c>
      <c r="C195" t="inlineStr">
        <is>
          <t>Meias esportivas compacto azul tam. 38</t>
        </is>
      </c>
      <c r="D195" s="10">
        <f>ROUND(D195*(1+(E195/100)),2)</f>
        <v/>
      </c>
      <c r="E195" s="8" t="n">
        <v>15</v>
      </c>
    </row>
    <row r="196">
      <c r="A196" s="8" t="n">
        <v>195</v>
      </c>
      <c r="B196" s="8" t="inlineStr">
        <is>
          <t>Produto</t>
        </is>
      </c>
      <c r="C196" t="inlineStr">
        <is>
          <t>Step de ginástica com ajuste vermelho</t>
        </is>
      </c>
      <c r="D196" s="10">
        <f>ROUND(D196*(1+(E196/100)),2)</f>
        <v/>
      </c>
      <c r="E196" s="8" t="n">
        <v>15</v>
      </c>
    </row>
    <row r="197">
      <c r="A197" s="8" t="n">
        <v>196</v>
      </c>
      <c r="B197" s="8" t="inlineStr">
        <is>
          <t>Produto</t>
        </is>
      </c>
      <c r="C197" t="inlineStr">
        <is>
          <t>Bola de basquete modelo básico preto</t>
        </is>
      </c>
      <c r="D197" s="10">
        <f>ROUND(D197*(1+(E197/100)),2)</f>
        <v/>
      </c>
      <c r="E197" s="8" t="n">
        <v>15</v>
      </c>
    </row>
    <row r="198">
      <c r="A198" s="8" t="n">
        <v>197</v>
      </c>
      <c r="B198" s="8" t="inlineStr">
        <is>
          <t>Produto</t>
        </is>
      </c>
      <c r="C198" t="inlineStr">
        <is>
          <t>Tapete de yoga recreativo verde</t>
        </is>
      </c>
      <c r="D198" s="10">
        <f>ROUND(D198*(1+(E198/100)),2)</f>
        <v/>
      </c>
      <c r="E198" s="8" t="n">
        <v>15</v>
      </c>
    </row>
    <row r="199">
      <c r="A199" s="8" t="n">
        <v>198</v>
      </c>
      <c r="B199" s="8" t="inlineStr">
        <is>
          <t>Produto</t>
        </is>
      </c>
      <c r="C199" t="inlineStr">
        <is>
          <t>Protetor bucal leve vermelho</t>
        </is>
      </c>
      <c r="D199" s="10">
        <f>ROUND(D199*(1+(E199/100)),2)</f>
        <v/>
      </c>
      <c r="E199" s="8" t="n">
        <v>15</v>
      </c>
    </row>
    <row r="200">
      <c r="A200" s="8" t="n">
        <v>199</v>
      </c>
      <c r="B200" s="8" t="inlineStr">
        <is>
          <t>Produto</t>
        </is>
      </c>
      <c r="C200" t="inlineStr">
        <is>
          <t>Bloco para yoga compacto rosa</t>
        </is>
      </c>
      <c r="D200" s="10">
        <f>ROUND(D200*(1+(E200/100)),2)</f>
        <v/>
      </c>
      <c r="E200" s="8" t="n">
        <v>15</v>
      </c>
    </row>
    <row r="201">
      <c r="A201" s="8" t="n">
        <v>200</v>
      </c>
      <c r="B201" s="8" t="inlineStr">
        <is>
          <t>Produto</t>
        </is>
      </c>
      <c r="C201" t="inlineStr">
        <is>
          <t>Chuteira society com ajuste cinza tam. 40</t>
        </is>
      </c>
      <c r="D201" s="10">
        <f>ROUND(D201*(1+(E201/100)),2)</f>
        <v/>
      </c>
      <c r="E201" s="8" t="n">
        <v>15</v>
      </c>
    </row>
    <row r="202">
      <c r="A202" s="8" t="n">
        <v>201</v>
      </c>
      <c r="B202" s="8" t="inlineStr">
        <is>
          <t>Produto</t>
        </is>
      </c>
      <c r="C202" t="inlineStr">
        <is>
          <t>Bola de futebol iniciante vermelho</t>
        </is>
      </c>
      <c r="D202" s="10">
        <f>ROUND(D202*(1+(E202/100)),2)</f>
        <v/>
      </c>
      <c r="E202" s="8" t="n">
        <v>15</v>
      </c>
    </row>
    <row r="203">
      <c r="A203" s="8" t="n">
        <v>202</v>
      </c>
      <c r="B203" s="8" t="inlineStr">
        <is>
          <t>Produto</t>
        </is>
      </c>
      <c r="C203" t="inlineStr">
        <is>
          <t>Colchonete de exercício iniciante laranja</t>
        </is>
      </c>
      <c r="D203" s="10">
        <f>ROUND(D203*(1+(E203/100)),2)</f>
        <v/>
      </c>
      <c r="E203" s="8" t="n">
        <v>15</v>
      </c>
    </row>
    <row r="204">
      <c r="A204" s="8" t="n">
        <v>203</v>
      </c>
      <c r="B204" s="8" t="inlineStr">
        <is>
          <t>Produto</t>
        </is>
      </c>
      <c r="C204" t="inlineStr">
        <is>
          <t>Capacete de ciclismo reforçado laranja</t>
        </is>
      </c>
      <c r="D204" s="10">
        <f>ROUND(D204*(1+(E204/100)),2)</f>
        <v/>
      </c>
      <c r="E204" s="8" t="n">
        <v>15</v>
      </c>
    </row>
    <row r="205">
      <c r="A205" s="8" t="n">
        <v>204</v>
      </c>
      <c r="B205" s="8" t="inlineStr">
        <is>
          <t>Produto</t>
        </is>
      </c>
      <c r="C205" t="inlineStr">
        <is>
          <t>Tênis de corrida para uso diário branco tam. 44</t>
        </is>
      </c>
      <c r="D205" s="10">
        <f>ROUND(D205*(1+(E205/100)),2)</f>
        <v/>
      </c>
      <c r="E205" s="8" t="n">
        <v>15</v>
      </c>
    </row>
    <row r="206">
      <c r="A206" s="8" t="n">
        <v>205</v>
      </c>
      <c r="B206" s="8" t="inlineStr">
        <is>
          <t>Produto</t>
        </is>
      </c>
      <c r="C206" t="inlineStr">
        <is>
          <t>Skate adulto laranja</t>
        </is>
      </c>
      <c r="D206" s="10">
        <f>ROUND(D206*(1+(E206/100)),2)</f>
        <v/>
      </c>
      <c r="E206" s="8" t="n">
        <v>15</v>
      </c>
    </row>
    <row r="207">
      <c r="A207" s="8" t="n">
        <v>206</v>
      </c>
      <c r="B207" s="8" t="inlineStr">
        <is>
          <t>Produto</t>
        </is>
      </c>
      <c r="C207" t="inlineStr">
        <is>
          <t>Protetor bucal versão 2026 rosa</t>
        </is>
      </c>
      <c r="D207" s="10">
        <f>ROUND(D207*(1+(E207/100)),2)</f>
        <v/>
      </c>
      <c r="E207" s="8" t="n">
        <v>15</v>
      </c>
    </row>
    <row r="208">
      <c r="A208" s="8" t="n">
        <v>207</v>
      </c>
      <c r="B208" s="8" t="inlineStr">
        <is>
          <t>Produto</t>
        </is>
      </c>
      <c r="C208" t="inlineStr">
        <is>
          <t>Garrafa squeeze versão 2026 branco</t>
        </is>
      </c>
      <c r="D208" s="10">
        <f>ROUND(D208*(1+(E208/100)),2)</f>
        <v/>
      </c>
      <c r="E208" s="8" t="n">
        <v>15</v>
      </c>
    </row>
    <row r="209">
      <c r="A209" s="8" t="n">
        <v>208</v>
      </c>
      <c r="B209" s="8" t="inlineStr">
        <is>
          <t>Produto</t>
        </is>
      </c>
      <c r="C209" t="inlineStr">
        <is>
          <t>Short esportivo premium vermelho tam. M</t>
        </is>
      </c>
      <c r="D209" s="10">
        <f>ROUND(D209*(1+(E209/100)),2)</f>
        <v/>
      </c>
      <c r="E209" s="8" t="n">
        <v>15</v>
      </c>
    </row>
    <row r="210">
      <c r="A210" s="8" t="n">
        <v>209</v>
      </c>
      <c r="B210" s="8" t="inlineStr">
        <is>
          <t>Produto</t>
        </is>
      </c>
      <c r="C210" t="inlineStr">
        <is>
          <t>Óculos de natação iniciante rosa</t>
        </is>
      </c>
      <c r="D210" s="10">
        <f>ROUND(D210*(1+(E210/100)),2)</f>
        <v/>
      </c>
      <c r="E210" s="8" t="n">
        <v>15</v>
      </c>
    </row>
    <row r="211">
      <c r="A211" s="8" t="n">
        <v>210</v>
      </c>
      <c r="B211" s="8" t="inlineStr">
        <is>
          <t>Produto</t>
        </is>
      </c>
      <c r="C211" t="inlineStr">
        <is>
          <t>Tapete de yoga profissional cinza</t>
        </is>
      </c>
      <c r="D211" s="10">
        <f>ROUND(D211*(1+(E211/100)),2)</f>
        <v/>
      </c>
      <c r="E211" s="8" t="n">
        <v>15</v>
      </c>
    </row>
    <row r="212">
      <c r="A212" s="8" t="n">
        <v>211</v>
      </c>
      <c r="B212" s="8" t="inlineStr">
        <is>
          <t>Produto</t>
        </is>
      </c>
      <c r="C212" t="inlineStr">
        <is>
          <t>Corda de pular reforçado vermelho</t>
        </is>
      </c>
      <c r="D212" s="10">
        <f>ROUND(D212*(1+(E212/100)),2)</f>
        <v/>
      </c>
      <c r="E212" s="8" t="n">
        <v>15</v>
      </c>
    </row>
    <row r="213">
      <c r="A213" s="8" t="n">
        <v>212</v>
      </c>
      <c r="B213" s="8" t="inlineStr">
        <is>
          <t>Produto</t>
        </is>
      </c>
      <c r="C213" t="inlineStr">
        <is>
          <t>Tapete de yoga resistente cinza</t>
        </is>
      </c>
      <c r="D213" s="10">
        <f>ROUND(D213*(1+(E213/100)),2)</f>
        <v/>
      </c>
      <c r="E213" s="8" t="n">
        <v>15</v>
      </c>
    </row>
    <row r="214">
      <c r="A214" s="8" t="n">
        <v>213</v>
      </c>
      <c r="B214" s="8" t="inlineStr">
        <is>
          <t>Produto</t>
        </is>
      </c>
      <c r="C214" t="inlineStr">
        <is>
          <t>Mochila esportiva iniciante branco</t>
        </is>
      </c>
      <c r="D214" s="10">
        <f>ROUND(D214*(1+(E214/100)),2)</f>
        <v/>
      </c>
      <c r="E214" s="8" t="n">
        <v>15</v>
      </c>
    </row>
    <row r="215">
      <c r="A215" s="8" t="n">
        <v>214</v>
      </c>
      <c r="B215" s="8" t="inlineStr">
        <is>
          <t>Produto</t>
        </is>
      </c>
      <c r="C215" t="inlineStr">
        <is>
          <t>Capacete de ciclismo recreativo verde</t>
        </is>
      </c>
      <c r="D215" s="10">
        <f>ROUND(D215*(1+(E215/100)),2)</f>
        <v/>
      </c>
      <c r="E215" s="8" t="n">
        <v>15</v>
      </c>
    </row>
    <row r="216">
      <c r="A216" s="8" t="n">
        <v>215</v>
      </c>
      <c r="B216" s="8" t="inlineStr">
        <is>
          <t>Produto</t>
        </is>
      </c>
      <c r="C216" t="inlineStr">
        <is>
          <t>Bastão de caminhada ventilado branco</t>
        </is>
      </c>
      <c r="D216" s="10">
        <f>ROUND(D216*(1+(E216/100)),2)</f>
        <v/>
      </c>
      <c r="E216" s="8" t="n">
        <v>15</v>
      </c>
    </row>
    <row r="217">
      <c r="A217" s="8" t="n">
        <v>216</v>
      </c>
      <c r="B217" s="8" t="inlineStr">
        <is>
          <t>Produto</t>
        </is>
      </c>
      <c r="C217" t="inlineStr">
        <is>
          <t>Elástico de resistência premium azul</t>
        </is>
      </c>
      <c r="D217" s="10">
        <f>ROUND(D217*(1+(E217/100)),2)</f>
        <v/>
      </c>
      <c r="E217" s="8" t="n">
        <v>15</v>
      </c>
    </row>
    <row r="218">
      <c r="A218" s="8" t="n">
        <v>217</v>
      </c>
      <c r="B218" s="8" t="inlineStr">
        <is>
          <t>Produto</t>
        </is>
      </c>
      <c r="C218" t="inlineStr">
        <is>
          <t>Nadadeira unissex laranja</t>
        </is>
      </c>
      <c r="D218" s="10">
        <f>ROUND(D218*(1+(E218/100)),2)</f>
        <v/>
      </c>
      <c r="E218" s="8" t="n">
        <v>15</v>
      </c>
    </row>
    <row r="219">
      <c r="A219" s="8" t="n">
        <v>218</v>
      </c>
      <c r="B219" s="8" t="inlineStr">
        <is>
          <t>Produto</t>
        </is>
      </c>
      <c r="C219" t="inlineStr">
        <is>
          <t>Tapete de yoga compacto rosa</t>
        </is>
      </c>
      <c r="D219" s="10">
        <f>ROUND(D219*(1+(E219/100)),2)</f>
        <v/>
      </c>
      <c r="E219" s="8" t="n">
        <v>15</v>
      </c>
    </row>
    <row r="220">
      <c r="A220" s="8" t="n">
        <v>219</v>
      </c>
      <c r="B220" s="8" t="inlineStr">
        <is>
          <t>Produto</t>
        </is>
      </c>
      <c r="C220" t="inlineStr">
        <is>
          <t>Luva de goleiro versão 2026 verde tam. M</t>
        </is>
      </c>
      <c r="D220" s="10">
        <f>ROUND(D220*(1+(E220/100)),2)</f>
        <v/>
      </c>
      <c r="E220" s="8" t="n">
        <v>15</v>
      </c>
    </row>
    <row r="221">
      <c r="A221" s="8" t="n">
        <v>220</v>
      </c>
      <c r="B221" s="8" t="inlineStr">
        <is>
          <t>Produto</t>
        </is>
      </c>
      <c r="C221" t="inlineStr">
        <is>
          <t>Capacete de ciclismo alta performance azul</t>
        </is>
      </c>
      <c r="D221" s="10">
        <f>ROUND(D221*(1+(E221/100)),2)</f>
        <v/>
      </c>
      <c r="E221" s="8" t="n">
        <v>15</v>
      </c>
    </row>
    <row r="222">
      <c r="A222" s="8" t="n">
        <v>221</v>
      </c>
      <c r="B222" s="8" t="inlineStr">
        <is>
          <t>Produto</t>
        </is>
      </c>
      <c r="C222" t="inlineStr">
        <is>
          <t>Bola de vôlei ergonômico azul</t>
        </is>
      </c>
      <c r="D222" s="10">
        <f>ROUND(D222*(1+(E222/100)),2)</f>
        <v/>
      </c>
      <c r="E222" s="8" t="n">
        <v>15</v>
      </c>
    </row>
    <row r="223">
      <c r="A223" s="8" t="n">
        <v>222</v>
      </c>
      <c r="B223" s="8" t="inlineStr">
        <is>
          <t>Produto</t>
        </is>
      </c>
      <c r="C223" t="inlineStr">
        <is>
          <t>Caneleira de futebol para uso diário rosa</t>
        </is>
      </c>
      <c r="D223" s="10">
        <f>ROUND(D223*(1+(E223/100)),2)</f>
        <v/>
      </c>
      <c r="E223" s="8" t="n">
        <v>15</v>
      </c>
    </row>
    <row r="224">
      <c r="A224" s="8" t="n">
        <v>223</v>
      </c>
      <c r="B224" s="8" t="inlineStr">
        <is>
          <t>Produto</t>
        </is>
      </c>
      <c r="C224" t="inlineStr">
        <is>
          <t>Bola de pilates alta performance vermelho</t>
        </is>
      </c>
      <c r="D224" s="10">
        <f>ROUND(D224*(1+(E224/100)),2)</f>
        <v/>
      </c>
      <c r="E224" s="8" t="n">
        <v>15</v>
      </c>
    </row>
    <row r="225">
      <c r="A225" s="8" t="n">
        <v>224</v>
      </c>
      <c r="B225" s="8" t="inlineStr">
        <is>
          <t>Produto</t>
        </is>
      </c>
      <c r="C225" t="inlineStr">
        <is>
          <t>Óculos de natação ergonômico laranja</t>
        </is>
      </c>
      <c r="D225" s="10">
        <f>ROUND(D225*(1+(E225/100)),2)</f>
        <v/>
      </c>
      <c r="E225" s="8" t="n">
        <v>15</v>
      </c>
    </row>
    <row r="226">
      <c r="A226" s="8" t="n">
        <v>225</v>
      </c>
      <c r="B226" s="8" t="inlineStr">
        <is>
          <t>Produto</t>
        </is>
      </c>
      <c r="C226" t="inlineStr">
        <is>
          <t>Bolsa de academia modelo avançado verde</t>
        </is>
      </c>
      <c r="D226" s="10">
        <f>ROUND(D226*(1+(E226/100)),2)</f>
        <v/>
      </c>
      <c r="E226" s="8" t="n">
        <v>15</v>
      </c>
    </row>
    <row r="227">
      <c r="A227" s="8" t="n">
        <v>226</v>
      </c>
      <c r="B227" s="8" t="inlineStr">
        <is>
          <t>Produto</t>
        </is>
      </c>
      <c r="C227" t="inlineStr">
        <is>
          <t>Meias esportivas treino branco tam. 42</t>
        </is>
      </c>
      <c r="D227" s="10">
        <f>ROUND(D227*(1+(E227/100)),2)</f>
        <v/>
      </c>
      <c r="E227" s="8" t="n">
        <v>15</v>
      </c>
    </row>
    <row r="228">
      <c r="A228" s="8" t="n">
        <v>227</v>
      </c>
      <c r="B228" s="8" t="inlineStr">
        <is>
          <t>Produto</t>
        </is>
      </c>
      <c r="C228" t="inlineStr">
        <is>
          <t>Óculos de natação juvenil laranja</t>
        </is>
      </c>
      <c r="D228" s="10">
        <f>ROUND(D228*(1+(E228/100)),2)</f>
        <v/>
      </c>
      <c r="E228" s="8" t="n">
        <v>15</v>
      </c>
    </row>
    <row r="229">
      <c r="A229" s="8" t="n">
        <v>228</v>
      </c>
      <c r="B229" s="8" t="inlineStr">
        <is>
          <t>Produto</t>
        </is>
      </c>
      <c r="C229" t="inlineStr">
        <is>
          <t>Tênis para quadra profissional verde tam. 44</t>
        </is>
      </c>
      <c r="D229" s="10">
        <f>ROUND(D229*(1+(E229/100)),2)</f>
        <v/>
      </c>
      <c r="E229" s="8" t="n">
        <v>15</v>
      </c>
    </row>
    <row r="230">
      <c r="A230" s="8" t="n">
        <v>229</v>
      </c>
      <c r="B230" s="8" t="inlineStr">
        <is>
          <t>Produto</t>
        </is>
      </c>
      <c r="C230" t="inlineStr">
        <is>
          <t>Raquete de tênis compacto vermelho tam. 44</t>
        </is>
      </c>
      <c r="D230" s="10">
        <f>ROUND(D230*(1+(E230/100)),2)</f>
        <v/>
      </c>
      <c r="E230" s="8" t="n">
        <v>15</v>
      </c>
    </row>
    <row r="231">
      <c r="A231" s="8" t="n">
        <v>230</v>
      </c>
      <c r="B231" s="8" t="inlineStr">
        <is>
          <t>Produto</t>
        </is>
      </c>
      <c r="C231" t="inlineStr">
        <is>
          <t>Step de ginástica reforçado verde</t>
        </is>
      </c>
      <c r="D231" s="10">
        <f>ROUND(D231*(1+(E231/100)),2)</f>
        <v/>
      </c>
      <c r="E231" s="8" t="n">
        <v>15</v>
      </c>
    </row>
    <row r="232">
      <c r="A232" s="8" t="n">
        <v>231</v>
      </c>
      <c r="B232" s="8" t="inlineStr">
        <is>
          <t>Produto</t>
        </is>
      </c>
      <c r="C232" t="inlineStr">
        <is>
          <t>Jaqueta esportiva recreativo preto tam. 34</t>
        </is>
      </c>
      <c r="D232" s="10">
        <f>ROUND(D232*(1+(E232/100)),2)</f>
        <v/>
      </c>
      <c r="E232" s="8" t="n">
        <v>15</v>
      </c>
    </row>
    <row r="233">
      <c r="A233" s="8" t="n">
        <v>232</v>
      </c>
      <c r="B233" s="8" t="inlineStr">
        <is>
          <t>Produto</t>
        </is>
      </c>
      <c r="C233" t="inlineStr">
        <is>
          <t>Chuteira society ventilado cinza tam. G</t>
        </is>
      </c>
      <c r="D233" s="10">
        <f>ROUND(D233*(1+(E233/100)),2)</f>
        <v/>
      </c>
      <c r="E233" s="8" t="n">
        <v>15</v>
      </c>
    </row>
    <row r="234">
      <c r="A234" s="8" t="n">
        <v>233</v>
      </c>
      <c r="B234" s="8" t="inlineStr">
        <is>
          <t>Produto</t>
        </is>
      </c>
      <c r="C234" t="inlineStr">
        <is>
          <t>Bola de basquete adulto branco</t>
        </is>
      </c>
      <c r="D234" s="10">
        <f>ROUND(D234*(1+(E234/100)),2)</f>
        <v/>
      </c>
      <c r="E234" s="8" t="n">
        <v>15</v>
      </c>
    </row>
    <row r="235">
      <c r="A235" s="8" t="n">
        <v>234</v>
      </c>
      <c r="B235" s="8" t="inlineStr">
        <is>
          <t>Produto</t>
        </is>
      </c>
      <c r="C235" t="inlineStr">
        <is>
          <t>Meias esportivas modelo básico preto tam. G</t>
        </is>
      </c>
      <c r="D235" s="10">
        <f>ROUND(D235*(1+(E235/100)),2)</f>
        <v/>
      </c>
      <c r="E235" s="8" t="n">
        <v>15</v>
      </c>
    </row>
    <row r="236">
      <c r="A236" s="8" t="n">
        <v>235</v>
      </c>
      <c r="B236" s="8" t="inlineStr">
        <is>
          <t>Produto</t>
        </is>
      </c>
      <c r="C236" t="inlineStr">
        <is>
          <t>Chuteira de campo resistente azul tam. M</t>
        </is>
      </c>
      <c r="D236" s="10">
        <f>ROUND(D236*(1+(E236/100)),2)</f>
        <v/>
      </c>
      <c r="E236" s="8" t="n">
        <v>15</v>
      </c>
    </row>
    <row r="237">
      <c r="A237" s="8" t="n">
        <v>236</v>
      </c>
      <c r="B237" s="8" t="inlineStr">
        <is>
          <t>Produto</t>
        </is>
      </c>
      <c r="C237" t="inlineStr">
        <is>
          <t>Banco de musculação resistente azul</t>
        </is>
      </c>
      <c r="D237" s="10">
        <f>ROUND(D237*(1+(E237/100)),2)</f>
        <v/>
      </c>
      <c r="E237" s="8" t="n">
        <v>15</v>
      </c>
    </row>
    <row r="238">
      <c r="A238" s="8" t="n">
        <v>237</v>
      </c>
      <c r="B238" s="8" t="inlineStr">
        <is>
          <t>Produto</t>
        </is>
      </c>
      <c r="C238" t="inlineStr">
        <is>
          <t>Jaqueta esportiva juvenil cinza tam. 40</t>
        </is>
      </c>
      <c r="D238" s="10">
        <f>ROUND(D238*(1+(E238/100)),2)</f>
        <v/>
      </c>
      <c r="E238" s="8" t="n">
        <v>15</v>
      </c>
    </row>
    <row r="239">
      <c r="A239" s="8" t="n">
        <v>238</v>
      </c>
      <c r="B239" s="8" t="inlineStr">
        <is>
          <t>Produto</t>
        </is>
      </c>
      <c r="C239" t="inlineStr">
        <is>
          <t>Bola de basquete ergonômico laranja</t>
        </is>
      </c>
      <c r="D239" s="10">
        <f>ROUND(D239*(1+(E239/100)),2)</f>
        <v/>
      </c>
      <c r="E239" s="8" t="n">
        <v>15</v>
      </c>
    </row>
    <row r="240">
      <c r="A240" s="8" t="n">
        <v>239</v>
      </c>
      <c r="B240" s="8" t="inlineStr">
        <is>
          <t>Produto</t>
        </is>
      </c>
      <c r="C240" t="inlineStr">
        <is>
          <t>Tênis de corrida com ajuste azul tam. M</t>
        </is>
      </c>
      <c r="D240" s="10">
        <f>ROUND(D240*(1+(E240/100)),2)</f>
        <v/>
      </c>
      <c r="E240" s="8" t="n">
        <v>15</v>
      </c>
    </row>
    <row r="241">
      <c r="A241" s="8" t="n">
        <v>240</v>
      </c>
      <c r="B241" s="8" t="inlineStr">
        <is>
          <t>Produto</t>
        </is>
      </c>
      <c r="C241" t="inlineStr">
        <is>
          <t>Chuteira society recreativo cinza tam. 44</t>
        </is>
      </c>
      <c r="D241" s="10">
        <f>ROUND(D241*(1+(E241/100)),2)</f>
        <v/>
      </c>
      <c r="E241" s="8" t="n">
        <v>15</v>
      </c>
    </row>
    <row r="242">
      <c r="A242" s="8" t="n">
        <v>241</v>
      </c>
      <c r="B242" s="8" t="inlineStr">
        <is>
          <t>Produto</t>
        </is>
      </c>
      <c r="C242" t="inlineStr">
        <is>
          <t>Luva de goleiro para uso diário cinza tam. 40</t>
        </is>
      </c>
      <c r="D242" s="10">
        <f>ROUND(D242*(1+(E242/100)),2)</f>
        <v/>
      </c>
      <c r="E242" s="8" t="n">
        <v>15</v>
      </c>
    </row>
    <row r="243">
      <c r="A243" s="8" t="n">
        <v>242</v>
      </c>
      <c r="B243" s="8" t="inlineStr">
        <is>
          <t>Produto</t>
        </is>
      </c>
      <c r="C243" t="inlineStr">
        <is>
          <t>Bicicleta ergométrica treino verde</t>
        </is>
      </c>
      <c r="D243" s="10">
        <f>ROUND(D243*(1+(E243/100)),2)</f>
        <v/>
      </c>
      <c r="E243" s="8" t="n">
        <v>15</v>
      </c>
    </row>
    <row r="244">
      <c r="A244" s="8" t="n">
        <v>243</v>
      </c>
      <c r="B244" s="8" t="inlineStr">
        <is>
          <t>Produto</t>
        </is>
      </c>
      <c r="C244" t="inlineStr">
        <is>
          <t>Jaqueta esportiva modelo básico rosa tam. 38</t>
        </is>
      </c>
      <c r="D244" s="10">
        <f>ROUND(D244*(1+(E244/100)),2)</f>
        <v/>
      </c>
      <c r="E244" s="8" t="n">
        <v>15</v>
      </c>
    </row>
    <row r="245">
      <c r="A245" s="8" t="n">
        <v>244</v>
      </c>
      <c r="B245" s="8" t="inlineStr">
        <is>
          <t>Produto</t>
        </is>
      </c>
      <c r="C245" t="inlineStr">
        <is>
          <t>Tênis de corrida alta performance branco tam. 34</t>
        </is>
      </c>
      <c r="D245" s="10">
        <f>ROUND(D245*(1+(E245/100)),2)</f>
        <v/>
      </c>
      <c r="E245" s="8" t="n">
        <v>15</v>
      </c>
    </row>
    <row r="246">
      <c r="A246" s="8" t="n">
        <v>245</v>
      </c>
      <c r="B246" s="8" t="inlineStr">
        <is>
          <t>Produto</t>
        </is>
      </c>
      <c r="C246" t="inlineStr">
        <is>
          <t>Chuteira society profissional azul tam. M</t>
        </is>
      </c>
      <c r="D246" s="10">
        <f>ROUND(D246*(1+(E246/100)),2)</f>
        <v/>
      </c>
      <c r="E246" s="8" t="n">
        <v>15</v>
      </c>
    </row>
    <row r="247">
      <c r="A247" s="8" t="n">
        <v>246</v>
      </c>
      <c r="B247" s="8" t="inlineStr">
        <is>
          <t>Produto</t>
        </is>
      </c>
      <c r="C247" t="inlineStr">
        <is>
          <t>Tênis de corrida recreativo preto tam. 44</t>
        </is>
      </c>
      <c r="D247" s="10">
        <f>ROUND(D247*(1+(E247/100)),2)</f>
        <v/>
      </c>
      <c r="E247" s="8" t="n">
        <v>15</v>
      </c>
    </row>
    <row r="248">
      <c r="A248" s="8" t="n">
        <v>247</v>
      </c>
      <c r="B248" s="8" t="inlineStr">
        <is>
          <t>Produto</t>
        </is>
      </c>
      <c r="C248" t="inlineStr">
        <is>
          <t>Luva de goleiro treino laranja tam. 36</t>
        </is>
      </c>
      <c r="D248" s="10">
        <f>ROUND(D248*(1+(E248/100)),2)</f>
        <v/>
      </c>
      <c r="E248" s="8" t="n">
        <v>15</v>
      </c>
    </row>
    <row r="249">
      <c r="A249" s="8" t="n">
        <v>248</v>
      </c>
      <c r="B249" s="8" t="inlineStr">
        <is>
          <t>Produto</t>
        </is>
      </c>
      <c r="C249" t="inlineStr">
        <is>
          <t>Step de ginástica juvenil cinza</t>
        </is>
      </c>
      <c r="D249" s="10">
        <f>ROUND(D249*(1+(E249/100)),2)</f>
        <v/>
      </c>
      <c r="E249" s="8" t="n">
        <v>15</v>
      </c>
    </row>
    <row r="250">
      <c r="A250" s="8" t="n">
        <v>249</v>
      </c>
      <c r="B250" s="8" t="inlineStr">
        <is>
          <t>Produto</t>
        </is>
      </c>
      <c r="C250" t="inlineStr">
        <is>
          <t>Colchonete de exercício unissex verde</t>
        </is>
      </c>
      <c r="D250" s="10">
        <f>ROUND(D250*(1+(E250/100)),2)</f>
        <v/>
      </c>
      <c r="E250" s="8" t="n">
        <v>15</v>
      </c>
    </row>
    <row r="251">
      <c r="A251" s="8" t="n">
        <v>250</v>
      </c>
      <c r="B251" s="8" t="inlineStr">
        <is>
          <t>Produto</t>
        </is>
      </c>
      <c r="C251" t="inlineStr">
        <is>
          <t>Luva de ciclismo treino branco tam. 42</t>
        </is>
      </c>
      <c r="D251" s="10">
        <f>ROUND(D251*(1+(E251/100)),2)</f>
        <v/>
      </c>
      <c r="E251" s="8" t="n">
        <v>15</v>
      </c>
    </row>
    <row r="252">
      <c r="A252" s="8" t="n">
        <v>251</v>
      </c>
      <c r="B252" s="8" t="inlineStr">
        <is>
          <t>Produto</t>
        </is>
      </c>
      <c r="C252" t="inlineStr">
        <is>
          <t>Step de ginástica unissex verde</t>
        </is>
      </c>
      <c r="D252" s="10">
        <f>ROUND(D252*(1+(E252/100)),2)</f>
        <v/>
      </c>
      <c r="E252" s="8" t="n">
        <v>15</v>
      </c>
    </row>
    <row r="253">
      <c r="A253" s="8" t="n">
        <v>252</v>
      </c>
      <c r="B253" s="8" t="inlineStr">
        <is>
          <t>Produto</t>
        </is>
      </c>
      <c r="C253" t="inlineStr">
        <is>
          <t>Luva de goleiro versão 2026 preto tam. 44</t>
        </is>
      </c>
      <c r="D253" s="10">
        <f>ROUND(D253*(1+(E253/100)),2)</f>
        <v/>
      </c>
      <c r="E253" s="8" t="n">
        <v>15</v>
      </c>
    </row>
    <row r="254">
      <c r="A254" s="8" t="n">
        <v>253</v>
      </c>
      <c r="B254" s="8" t="inlineStr">
        <is>
          <t>Produto</t>
        </is>
      </c>
      <c r="C254" t="inlineStr">
        <is>
          <t>Skate adulto vermelho</t>
        </is>
      </c>
      <c r="D254" s="10">
        <f>ROUND(D254*(1+(E254/100)),2)</f>
        <v/>
      </c>
      <c r="E254" s="8" t="n">
        <v>15</v>
      </c>
    </row>
    <row r="255">
      <c r="A255" s="8" t="n">
        <v>254</v>
      </c>
      <c r="B255" s="8" t="inlineStr">
        <is>
          <t>Produto</t>
        </is>
      </c>
      <c r="C255" t="inlineStr">
        <is>
          <t>Step de ginástica modelo básico branco</t>
        </is>
      </c>
      <c r="D255" s="10">
        <f>ROUND(D255*(1+(E255/100)),2)</f>
        <v/>
      </c>
      <c r="E255" s="8" t="n">
        <v>15</v>
      </c>
    </row>
    <row r="256">
      <c r="A256" s="8" t="n">
        <v>255</v>
      </c>
      <c r="B256" s="8" t="inlineStr">
        <is>
          <t>Produto</t>
        </is>
      </c>
      <c r="C256" t="inlineStr">
        <is>
          <t>Chuteira society para uso diário azul tam. G</t>
        </is>
      </c>
      <c r="D256" s="10">
        <f>ROUND(D256*(1+(E256/100)),2)</f>
        <v/>
      </c>
      <c r="E256" s="8" t="n">
        <v>15</v>
      </c>
    </row>
    <row r="257">
      <c r="A257" s="8" t="n">
        <v>256</v>
      </c>
      <c r="B257" s="8" t="inlineStr">
        <is>
          <t>Produto</t>
        </is>
      </c>
      <c r="C257" t="inlineStr">
        <is>
          <t>Bola de basquete resistente verde</t>
        </is>
      </c>
      <c r="D257" s="10">
        <f>ROUND(D257*(1+(E257/100)),2)</f>
        <v/>
      </c>
      <c r="E257" s="8" t="n">
        <v>15</v>
      </c>
    </row>
    <row r="258">
      <c r="A258" s="8" t="n">
        <v>257</v>
      </c>
      <c r="B258" s="8" t="inlineStr">
        <is>
          <t>Produto</t>
        </is>
      </c>
      <c r="C258" t="inlineStr">
        <is>
          <t>Capacete de ciclismo leve branco</t>
        </is>
      </c>
      <c r="D258" s="10">
        <f>ROUND(D258*(1+(E258/100)),2)</f>
        <v/>
      </c>
      <c r="E258" s="8" t="n">
        <v>15</v>
      </c>
    </row>
    <row r="259">
      <c r="A259" s="8" t="n">
        <v>258</v>
      </c>
      <c r="B259" s="8" t="inlineStr">
        <is>
          <t>Produto</t>
        </is>
      </c>
      <c r="C259" t="inlineStr">
        <is>
          <t>Halter versão 2026 azul</t>
        </is>
      </c>
      <c r="D259" s="10">
        <f>ROUND(D259*(1+(E259/100)),2)</f>
        <v/>
      </c>
      <c r="E259" s="8" t="n">
        <v>15</v>
      </c>
    </row>
    <row r="260">
      <c r="A260" s="8" t="n">
        <v>259</v>
      </c>
      <c r="B260" s="8" t="inlineStr">
        <is>
          <t>Produto</t>
        </is>
      </c>
      <c r="C260" t="inlineStr">
        <is>
          <t>Chuteira society versão 2026 preto tam. M</t>
        </is>
      </c>
      <c r="D260" s="10">
        <f>ROUND(D260*(1+(E260/100)),2)</f>
        <v/>
      </c>
      <c r="E260" s="8" t="n">
        <v>15</v>
      </c>
    </row>
    <row r="261">
      <c r="A261" s="8" t="n">
        <v>260</v>
      </c>
      <c r="B261" s="8" t="inlineStr">
        <is>
          <t>Produto</t>
        </is>
      </c>
      <c r="C261" t="inlineStr">
        <is>
          <t>Prancha de natação ergonômico rosa</t>
        </is>
      </c>
      <c r="D261" s="10">
        <f>ROUND(D261*(1+(E261/100)),2)</f>
        <v/>
      </c>
      <c r="E261" s="8" t="n">
        <v>15</v>
      </c>
    </row>
    <row r="262">
      <c r="A262" s="8" t="n">
        <v>261</v>
      </c>
      <c r="B262" s="8" t="inlineStr">
        <is>
          <t>Produto</t>
        </is>
      </c>
      <c r="C262" t="inlineStr">
        <is>
          <t>Calça legging treino branco tam. 38</t>
        </is>
      </c>
      <c r="D262" s="10">
        <f>ROUND(D262*(1+(E262/100)),2)</f>
        <v/>
      </c>
      <c r="E262" s="8" t="n">
        <v>15</v>
      </c>
    </row>
    <row r="263">
      <c r="A263" s="8" t="n">
        <v>262</v>
      </c>
      <c r="B263" s="8" t="inlineStr">
        <is>
          <t>Produto</t>
        </is>
      </c>
      <c r="C263" t="inlineStr">
        <is>
          <t>Nadadeira ergonômico cinza</t>
        </is>
      </c>
      <c r="D263" s="10">
        <f>ROUND(D263*(1+(E263/100)),2)</f>
        <v/>
      </c>
      <c r="E263" s="8" t="n">
        <v>15</v>
      </c>
    </row>
    <row r="264">
      <c r="A264" s="8" t="n">
        <v>263</v>
      </c>
      <c r="B264" s="8" t="inlineStr">
        <is>
          <t>Produto</t>
        </is>
      </c>
      <c r="C264" t="inlineStr">
        <is>
          <t>Elástico de resistência juvenil preto</t>
        </is>
      </c>
      <c r="D264" s="10">
        <f>ROUND(D264*(1+(E264/100)),2)</f>
        <v/>
      </c>
      <c r="E264" s="8" t="n">
        <v>15</v>
      </c>
    </row>
    <row r="265">
      <c r="A265" s="8" t="n">
        <v>264</v>
      </c>
      <c r="B265" s="8" t="inlineStr">
        <is>
          <t>Produto</t>
        </is>
      </c>
      <c r="C265" t="inlineStr">
        <is>
          <t>Calça legging premium cinza tam. 36</t>
        </is>
      </c>
      <c r="D265" s="10">
        <f>ROUND(D265*(1+(E265/100)),2)</f>
        <v/>
      </c>
      <c r="E265" s="8" t="n">
        <v>15</v>
      </c>
    </row>
    <row r="266">
      <c r="A266" s="8" t="n">
        <v>265</v>
      </c>
      <c r="B266" s="8" t="inlineStr">
        <is>
          <t>Produto</t>
        </is>
      </c>
      <c r="C266" t="inlineStr">
        <is>
          <t>Óculos esportivos leve vermelho</t>
        </is>
      </c>
      <c r="D266" s="10">
        <f>ROUND(D266*(1+(E266/100)),2)</f>
        <v/>
      </c>
      <c r="E266" s="8" t="n">
        <v>15</v>
      </c>
    </row>
    <row r="267">
      <c r="A267" s="8" t="n">
        <v>266</v>
      </c>
      <c r="B267" s="8" t="inlineStr">
        <is>
          <t>Produto</t>
        </is>
      </c>
      <c r="C267" t="inlineStr">
        <is>
          <t>Patins resistente branco</t>
        </is>
      </c>
      <c r="D267" s="10">
        <f>ROUND(D267*(1+(E267/100)),2)</f>
        <v/>
      </c>
      <c r="E267" s="8" t="n">
        <v>15</v>
      </c>
    </row>
    <row r="268">
      <c r="A268" s="8" t="n">
        <v>267</v>
      </c>
      <c r="B268" s="8" t="inlineStr">
        <is>
          <t>Produto</t>
        </is>
      </c>
      <c r="C268" t="inlineStr">
        <is>
          <t>Bola de pilates alta performance preto</t>
        </is>
      </c>
      <c r="D268" s="10">
        <f>ROUND(D268*(1+(E268/100)),2)</f>
        <v/>
      </c>
      <c r="E268" s="8" t="n">
        <v>15</v>
      </c>
    </row>
    <row r="269">
      <c r="A269" s="8" t="n">
        <v>268</v>
      </c>
      <c r="B269" s="8" t="inlineStr">
        <is>
          <t>Produto</t>
        </is>
      </c>
      <c r="C269" t="inlineStr">
        <is>
          <t>Raquete de beach tennis unissex laranja</t>
        </is>
      </c>
      <c r="D269" s="10">
        <f>ROUND(D269*(1+(E269/100)),2)</f>
        <v/>
      </c>
      <c r="E269" s="8" t="n">
        <v>15</v>
      </c>
    </row>
    <row r="270">
      <c r="A270" s="8" t="n">
        <v>269</v>
      </c>
      <c r="B270" s="8" t="inlineStr">
        <is>
          <t>Produto</t>
        </is>
      </c>
      <c r="C270" t="inlineStr">
        <is>
          <t>Patins iniciante azul</t>
        </is>
      </c>
      <c r="D270" s="10">
        <f>ROUND(D270*(1+(E270/100)),2)</f>
        <v/>
      </c>
      <c r="E270" s="8" t="n">
        <v>15</v>
      </c>
    </row>
    <row r="271">
      <c r="A271" s="8" t="n">
        <v>270</v>
      </c>
      <c r="B271" s="8" t="inlineStr">
        <is>
          <t>Produto</t>
        </is>
      </c>
      <c r="C271" t="inlineStr">
        <is>
          <t>Halter versão 2026 rosa</t>
        </is>
      </c>
      <c r="D271" s="10">
        <f>ROUND(D271*(1+(E271/100)),2)</f>
        <v/>
      </c>
      <c r="E271" s="8" t="n">
        <v>15</v>
      </c>
    </row>
    <row r="272">
      <c r="A272" s="8" t="n">
        <v>271</v>
      </c>
      <c r="B272" s="8" t="inlineStr">
        <is>
          <t>Produto</t>
        </is>
      </c>
      <c r="C272" t="inlineStr">
        <is>
          <t>Tapete de yoga alta performance azul</t>
        </is>
      </c>
      <c r="D272" s="10">
        <f>ROUND(D272*(1+(E272/100)),2)</f>
        <v/>
      </c>
      <c r="E272" s="8" t="n">
        <v>15</v>
      </c>
    </row>
    <row r="273">
      <c r="A273" s="8" t="n">
        <v>272</v>
      </c>
      <c r="B273" s="8" t="inlineStr">
        <is>
          <t>Produto</t>
        </is>
      </c>
      <c r="C273" t="inlineStr">
        <is>
          <t>Luva de boxe resistente azul tam. 38</t>
        </is>
      </c>
      <c r="D273" s="10">
        <f>ROUND(D273*(1+(E273/100)),2)</f>
        <v/>
      </c>
      <c r="E273" s="8" t="n">
        <v>15</v>
      </c>
    </row>
    <row r="274">
      <c r="A274" s="8" t="n">
        <v>273</v>
      </c>
      <c r="B274" s="8" t="inlineStr">
        <is>
          <t>Produto</t>
        </is>
      </c>
      <c r="C274" t="inlineStr">
        <is>
          <t>Bola de pilates compacto branco</t>
        </is>
      </c>
      <c r="D274" s="10">
        <f>ROUND(D274*(1+(E274/100)),2)</f>
        <v/>
      </c>
      <c r="E274" s="8" t="n">
        <v>15</v>
      </c>
    </row>
    <row r="275">
      <c r="A275" s="8" t="n">
        <v>274</v>
      </c>
      <c r="B275" s="8" t="inlineStr">
        <is>
          <t>Produto</t>
        </is>
      </c>
      <c r="C275" t="inlineStr">
        <is>
          <t>Raquete de beach tennis treino verde</t>
        </is>
      </c>
      <c r="D275" s="10">
        <f>ROUND(D275*(1+(E275/100)),2)</f>
        <v/>
      </c>
      <c r="E275" s="8" t="n">
        <v>15</v>
      </c>
    </row>
    <row r="276">
      <c r="A276" s="8" t="n">
        <v>275</v>
      </c>
      <c r="B276" s="8" t="inlineStr">
        <is>
          <t>Produto</t>
        </is>
      </c>
      <c r="C276" t="inlineStr">
        <is>
          <t>Colchonete de exercício recreativo verde</t>
        </is>
      </c>
      <c r="D276" s="10">
        <f>ROUND(D276*(1+(E276/100)),2)</f>
        <v/>
      </c>
      <c r="E276" s="8" t="n">
        <v>15</v>
      </c>
    </row>
    <row r="277">
      <c r="A277" s="8" t="n">
        <v>276</v>
      </c>
      <c r="B277" s="8" t="inlineStr">
        <is>
          <t>Produto</t>
        </is>
      </c>
      <c r="C277" t="inlineStr">
        <is>
          <t>Mochila esportiva leve vermelho</t>
        </is>
      </c>
      <c r="D277" s="10">
        <f>ROUND(D277*(1+(E277/100)),2)</f>
        <v/>
      </c>
      <c r="E277" s="8" t="n">
        <v>15</v>
      </c>
    </row>
    <row r="278">
      <c r="A278" s="8" t="n">
        <v>277</v>
      </c>
      <c r="B278" s="8" t="inlineStr">
        <is>
          <t>Produto</t>
        </is>
      </c>
      <c r="C278" t="inlineStr">
        <is>
          <t>Óculos de natação leve rosa</t>
        </is>
      </c>
      <c r="D278" s="10">
        <f>ROUND(D278*(1+(E278/100)),2)</f>
        <v/>
      </c>
      <c r="E278" s="8" t="n">
        <v>15</v>
      </c>
    </row>
    <row r="279">
      <c r="A279" s="8" t="n">
        <v>278</v>
      </c>
      <c r="B279" s="8" t="inlineStr">
        <is>
          <t>Produto</t>
        </is>
      </c>
      <c r="C279" t="inlineStr">
        <is>
          <t>Protetor bucal com ajuste branco</t>
        </is>
      </c>
      <c r="D279" s="10">
        <f>ROUND(D279*(1+(E279/100)),2)</f>
        <v/>
      </c>
      <c r="E279" s="8" t="n">
        <v>15</v>
      </c>
    </row>
    <row r="280">
      <c r="A280" s="8" t="n">
        <v>279</v>
      </c>
      <c r="B280" s="8" t="inlineStr">
        <is>
          <t>Produto</t>
        </is>
      </c>
      <c r="C280" t="inlineStr">
        <is>
          <t>Touca de natação recreativo rosa tam. M</t>
        </is>
      </c>
      <c r="D280" s="10">
        <f>ROUND(D280*(1+(E280/100)),2)</f>
        <v/>
      </c>
      <c r="E280" s="8" t="n">
        <v>15</v>
      </c>
    </row>
    <row r="281">
      <c r="A281" s="8" t="n">
        <v>280</v>
      </c>
      <c r="B281" s="8" t="inlineStr">
        <is>
          <t>Produto</t>
        </is>
      </c>
      <c r="C281" t="inlineStr">
        <is>
          <t>Touca de natação premium preto tam. 36</t>
        </is>
      </c>
      <c r="D281" s="10">
        <f>ROUND(D281*(1+(E281/100)),2)</f>
        <v/>
      </c>
      <c r="E281" s="8" t="n">
        <v>15</v>
      </c>
    </row>
    <row r="282">
      <c r="A282" s="8" t="n">
        <v>281</v>
      </c>
      <c r="B282" s="8" t="inlineStr">
        <is>
          <t>Produto</t>
        </is>
      </c>
      <c r="C282" t="inlineStr">
        <is>
          <t>Coqueteleira com ajuste preto</t>
        </is>
      </c>
      <c r="D282" s="10">
        <f>ROUND(D282*(1+(E282/100)),2)</f>
        <v/>
      </c>
      <c r="E282" s="8" t="n">
        <v>15</v>
      </c>
    </row>
    <row r="283">
      <c r="A283" s="8" t="n">
        <v>282</v>
      </c>
      <c r="B283" s="8" t="inlineStr">
        <is>
          <t>Produto</t>
        </is>
      </c>
      <c r="C283" t="inlineStr">
        <is>
          <t>Garrafa squeeze profissional laranja</t>
        </is>
      </c>
      <c r="D283" s="10">
        <f>ROUND(D283*(1+(E283/100)),2)</f>
        <v/>
      </c>
      <c r="E283" s="8" t="n">
        <v>15</v>
      </c>
    </row>
    <row r="284">
      <c r="A284" s="8" t="n">
        <v>283</v>
      </c>
      <c r="B284" s="8" t="inlineStr">
        <is>
          <t>Produto</t>
        </is>
      </c>
      <c r="C284" t="inlineStr">
        <is>
          <t>Luva de goleiro com ajuste verde tam. 36</t>
        </is>
      </c>
      <c r="D284" s="10">
        <f>ROUND(D284*(1+(E284/100)),2)</f>
        <v/>
      </c>
      <c r="E284" s="8" t="n">
        <v>15</v>
      </c>
    </row>
    <row r="285">
      <c r="A285" s="8" t="n">
        <v>284</v>
      </c>
      <c r="B285" s="8" t="inlineStr">
        <is>
          <t>Produto</t>
        </is>
      </c>
      <c r="C285" t="inlineStr">
        <is>
          <t>Relógio esportivo juvenil rosa</t>
        </is>
      </c>
      <c r="D285" s="10">
        <f>ROUND(D285*(1+(E285/100)),2)</f>
        <v/>
      </c>
      <c r="E285" s="8" t="n">
        <v>15</v>
      </c>
    </row>
    <row r="286">
      <c r="A286" s="8" t="n">
        <v>285</v>
      </c>
      <c r="B286" s="8" t="inlineStr">
        <is>
          <t>Produto</t>
        </is>
      </c>
      <c r="C286" t="inlineStr">
        <is>
          <t>Kettlebell resistente vermelho</t>
        </is>
      </c>
      <c r="D286" s="10">
        <f>ROUND(D286*(1+(E286/100)),2)</f>
        <v/>
      </c>
      <c r="E286" s="8" t="n">
        <v>15</v>
      </c>
    </row>
    <row r="287">
      <c r="A287" s="8" t="n">
        <v>286</v>
      </c>
      <c r="B287" s="8" t="inlineStr">
        <is>
          <t>Produto</t>
        </is>
      </c>
      <c r="C287" t="inlineStr">
        <is>
          <t>Patins com ajuste vermelho</t>
        </is>
      </c>
      <c r="D287" s="10">
        <f>ROUND(D287*(1+(E287/100)),2)</f>
        <v/>
      </c>
      <c r="E287" s="8" t="n">
        <v>15</v>
      </c>
    </row>
    <row r="288">
      <c r="A288" s="8" t="n">
        <v>287</v>
      </c>
      <c r="B288" s="8" t="inlineStr">
        <is>
          <t>Produto</t>
        </is>
      </c>
      <c r="C288" t="inlineStr">
        <is>
          <t>Garrafa squeeze alta performance branco</t>
        </is>
      </c>
      <c r="D288" s="10">
        <f>ROUND(D288*(1+(E288/100)),2)</f>
        <v/>
      </c>
      <c r="E288" s="8" t="n">
        <v>15</v>
      </c>
    </row>
    <row r="289">
      <c r="A289" s="8" t="n">
        <v>288</v>
      </c>
      <c r="B289" s="8" t="inlineStr">
        <is>
          <t>Produto</t>
        </is>
      </c>
      <c r="C289" t="inlineStr">
        <is>
          <t>Raquete de tênis profissional branco tam. M</t>
        </is>
      </c>
      <c r="D289" s="10">
        <f>ROUND(D289*(1+(E289/100)),2)</f>
        <v/>
      </c>
      <c r="E289" s="8" t="n">
        <v>15</v>
      </c>
    </row>
    <row r="290">
      <c r="A290" s="8" t="n">
        <v>289</v>
      </c>
      <c r="B290" s="8" t="inlineStr">
        <is>
          <t>Produto</t>
        </is>
      </c>
      <c r="C290" t="inlineStr">
        <is>
          <t>Bloco para yoga premium vermelho</t>
        </is>
      </c>
      <c r="D290" s="10">
        <f>ROUND(D290*(1+(E290/100)),2)</f>
        <v/>
      </c>
      <c r="E290" s="8" t="n">
        <v>15</v>
      </c>
    </row>
    <row r="291">
      <c r="A291" s="8" t="n">
        <v>290</v>
      </c>
      <c r="B291" s="8" t="inlineStr">
        <is>
          <t>Produto</t>
        </is>
      </c>
      <c r="C291" t="inlineStr">
        <is>
          <t>Luva de boxe modelo avançado cinza tam. 38</t>
        </is>
      </c>
      <c r="D291" s="10">
        <f>ROUND(D291*(1+(E291/100)),2)</f>
        <v/>
      </c>
      <c r="E291" s="8" t="n">
        <v>15</v>
      </c>
    </row>
    <row r="292">
      <c r="A292" s="8" t="n">
        <v>291</v>
      </c>
      <c r="B292" s="8" t="inlineStr">
        <is>
          <t>Produto</t>
        </is>
      </c>
      <c r="C292" t="inlineStr">
        <is>
          <t>Patins iniciante laranja</t>
        </is>
      </c>
      <c r="D292" s="10">
        <f>ROUND(D292*(1+(E292/100)),2)</f>
        <v/>
      </c>
      <c r="E292" s="8" t="n">
        <v>15</v>
      </c>
    </row>
    <row r="293">
      <c r="A293" s="8" t="n">
        <v>292</v>
      </c>
      <c r="B293" s="8" t="inlineStr">
        <is>
          <t>Produto</t>
        </is>
      </c>
      <c r="C293" t="inlineStr">
        <is>
          <t>Kettlebell resistente azul</t>
        </is>
      </c>
      <c r="D293" s="10">
        <f>ROUND(D293*(1+(E293/100)),2)</f>
        <v/>
      </c>
      <c r="E293" s="8" t="n">
        <v>15</v>
      </c>
    </row>
    <row r="294">
      <c r="A294" s="8" t="n">
        <v>293</v>
      </c>
      <c r="B294" s="8" t="inlineStr">
        <is>
          <t>Produto</t>
        </is>
      </c>
      <c r="C294" t="inlineStr">
        <is>
          <t>Bicicleta ergométrica modelo avançado preto</t>
        </is>
      </c>
      <c r="D294" s="10">
        <f>ROUND(D294*(1+(E294/100)),2)</f>
        <v/>
      </c>
      <c r="E294" s="8" t="n">
        <v>15</v>
      </c>
    </row>
    <row r="295">
      <c r="A295" s="8" t="n">
        <v>294</v>
      </c>
      <c r="B295" s="8" t="inlineStr">
        <is>
          <t>Produto</t>
        </is>
      </c>
      <c r="C295" t="inlineStr">
        <is>
          <t>Regata esportiva modelo básico rosa tam. GG</t>
        </is>
      </c>
      <c r="D295" s="10">
        <f>ROUND(D295*(1+(E295/100)),2)</f>
        <v/>
      </c>
      <c r="E295" s="8" t="n">
        <v>15</v>
      </c>
    </row>
    <row r="296">
      <c r="A296" s="8" t="n">
        <v>295</v>
      </c>
      <c r="B296" s="8" t="inlineStr">
        <is>
          <t>Produto</t>
        </is>
      </c>
      <c r="C296" t="inlineStr">
        <is>
          <t>Chuteira de campo profissional cinza tam. M</t>
        </is>
      </c>
      <c r="D296" s="10">
        <f>ROUND(D296*(1+(E296/100)),2)</f>
        <v/>
      </c>
      <c r="E296" s="8" t="n">
        <v>15</v>
      </c>
    </row>
    <row r="297">
      <c r="A297" s="8" t="n">
        <v>296</v>
      </c>
      <c r="B297" s="8" t="inlineStr">
        <is>
          <t>Produto</t>
        </is>
      </c>
      <c r="C297" t="inlineStr">
        <is>
          <t>Caneleira de futebol juvenil branco</t>
        </is>
      </c>
      <c r="D297" s="10">
        <f>ROUND(D297*(1+(E297/100)),2)</f>
        <v/>
      </c>
      <c r="E297" s="8" t="n">
        <v>15</v>
      </c>
    </row>
    <row r="298">
      <c r="A298" s="8" t="n">
        <v>297</v>
      </c>
      <c r="B298" s="8" t="inlineStr">
        <is>
          <t>Produto</t>
        </is>
      </c>
      <c r="C298" t="inlineStr">
        <is>
          <t>Kimono de judô versão 2026 laranja tam. G</t>
        </is>
      </c>
      <c r="D298" s="10">
        <f>ROUND(D298*(1+(E298/100)),2)</f>
        <v/>
      </c>
      <c r="E298" s="8" t="n">
        <v>15</v>
      </c>
    </row>
    <row r="299">
      <c r="A299" s="8" t="n">
        <v>298</v>
      </c>
      <c r="B299" s="8" t="inlineStr">
        <is>
          <t>Produto</t>
        </is>
      </c>
      <c r="C299" t="inlineStr">
        <is>
          <t>Skate leve rosa</t>
        </is>
      </c>
      <c r="D299" s="10">
        <f>ROUND(D299*(1+(E299/100)),2)</f>
        <v/>
      </c>
      <c r="E299" s="8" t="n">
        <v>15</v>
      </c>
    </row>
    <row r="300">
      <c r="A300" s="8" t="n">
        <v>299</v>
      </c>
      <c r="B300" s="8" t="inlineStr">
        <is>
          <t>Produto</t>
        </is>
      </c>
      <c r="C300" t="inlineStr">
        <is>
          <t>Tapete de yoga com ajuste cinza</t>
        </is>
      </c>
      <c r="D300" s="10">
        <f>ROUND(D300*(1+(E300/100)),2)</f>
        <v/>
      </c>
      <c r="E300" s="8" t="n">
        <v>15</v>
      </c>
    </row>
    <row r="301">
      <c r="A301" s="8" t="n">
        <v>300</v>
      </c>
      <c r="B301" s="8" t="inlineStr">
        <is>
          <t>Produto</t>
        </is>
      </c>
      <c r="C301" t="inlineStr">
        <is>
          <t>Bicicleta urbana ventilado verde</t>
        </is>
      </c>
      <c r="D301" s="10">
        <f>ROUND(D301*(1+(E301/100)),2)</f>
        <v/>
      </c>
      <c r="E301" s="8" t="n">
        <v>15</v>
      </c>
    </row>
    <row r="302">
      <c r="A302" s="8" t="n">
        <v>301</v>
      </c>
      <c r="B302" s="8" t="inlineStr">
        <is>
          <t>Produto</t>
        </is>
      </c>
      <c r="C302" t="inlineStr">
        <is>
          <t>Luva de ciclismo modelo avançado rosa tam. 40</t>
        </is>
      </c>
      <c r="D302" s="10">
        <f>ROUND(D302*(1+(E302/100)),2)</f>
        <v/>
      </c>
      <c r="E302" s="8" t="n">
        <v>15</v>
      </c>
    </row>
    <row r="303">
      <c r="A303" s="8" t="n">
        <v>302</v>
      </c>
      <c r="B303" s="8" t="inlineStr">
        <is>
          <t>Produto</t>
        </is>
      </c>
      <c r="C303" t="inlineStr">
        <is>
          <t>Banco de musculação resistente laranja</t>
        </is>
      </c>
      <c r="D303" s="10">
        <f>ROUND(D303*(1+(E303/100)),2)</f>
        <v/>
      </c>
      <c r="E303" s="8" t="n">
        <v>15</v>
      </c>
    </row>
    <row r="304">
      <c r="A304" s="8" t="n">
        <v>303</v>
      </c>
      <c r="B304" s="8" t="inlineStr">
        <is>
          <t>Produto</t>
        </is>
      </c>
      <c r="C304" t="inlineStr">
        <is>
          <t>Short esportivo recreativo cinza tam. P</t>
        </is>
      </c>
      <c r="D304" s="10">
        <f>ROUND(D304*(1+(E304/100)),2)</f>
        <v/>
      </c>
      <c r="E304" s="8" t="n">
        <v>15</v>
      </c>
    </row>
    <row r="305">
      <c r="A305" s="8" t="n">
        <v>304</v>
      </c>
      <c r="B305" s="8" t="inlineStr">
        <is>
          <t>Produto</t>
        </is>
      </c>
      <c r="C305" t="inlineStr">
        <is>
          <t>Tapete de yoga treino azul</t>
        </is>
      </c>
      <c r="D305" s="10">
        <f>ROUND(D305*(1+(E305/100)),2)</f>
        <v/>
      </c>
      <c r="E305" s="8" t="n">
        <v>15</v>
      </c>
    </row>
    <row r="306">
      <c r="A306" s="8" t="n">
        <v>305</v>
      </c>
      <c r="B306" s="8" t="inlineStr">
        <is>
          <t>Produto</t>
        </is>
      </c>
      <c r="C306" t="inlineStr">
        <is>
          <t>Step de ginástica premium rosa</t>
        </is>
      </c>
      <c r="D306" s="10">
        <f>ROUND(D306*(1+(E306/100)),2)</f>
        <v/>
      </c>
      <c r="E306" s="8" t="n">
        <v>15</v>
      </c>
    </row>
    <row r="307">
      <c r="A307" s="8" t="n">
        <v>306</v>
      </c>
      <c r="B307" s="8" t="inlineStr">
        <is>
          <t>Produto</t>
        </is>
      </c>
      <c r="C307" t="inlineStr">
        <is>
          <t>Chuteira society profissional verde tam. 40</t>
        </is>
      </c>
      <c r="D307" s="10">
        <f>ROUND(D307*(1+(E307/100)),2)</f>
        <v/>
      </c>
      <c r="E307" s="8" t="n">
        <v>15</v>
      </c>
    </row>
    <row r="308">
      <c r="A308" s="8" t="n">
        <v>307</v>
      </c>
      <c r="B308" s="8" t="inlineStr">
        <is>
          <t>Produto</t>
        </is>
      </c>
      <c r="C308" t="inlineStr">
        <is>
          <t>Bola de basquete juvenil laranja</t>
        </is>
      </c>
      <c r="D308" s="10">
        <f>ROUND(D308*(1+(E308/100)),2)</f>
        <v/>
      </c>
      <c r="E308" s="8" t="n">
        <v>15</v>
      </c>
    </row>
    <row r="309">
      <c r="A309" s="8" t="n">
        <v>308</v>
      </c>
      <c r="B309" s="8" t="inlineStr">
        <is>
          <t>Produto</t>
        </is>
      </c>
      <c r="C309" t="inlineStr">
        <is>
          <t>Meias esportivas profissional branco tam. GG</t>
        </is>
      </c>
      <c r="D309" s="10">
        <f>ROUND(D309*(1+(E309/100)),2)</f>
        <v/>
      </c>
      <c r="E309" s="8" t="n">
        <v>15</v>
      </c>
    </row>
    <row r="310">
      <c r="A310" s="8" t="n">
        <v>309</v>
      </c>
      <c r="B310" s="8" t="inlineStr">
        <is>
          <t>Produto</t>
        </is>
      </c>
      <c r="C310" t="inlineStr">
        <is>
          <t>Tênis de corrida recreativo vermelho tam. P</t>
        </is>
      </c>
      <c r="D310" s="10">
        <f>ROUND(D310*(1+(E310/100)),2)</f>
        <v/>
      </c>
      <c r="E310" s="8" t="n">
        <v>15</v>
      </c>
    </row>
    <row r="311">
      <c r="A311" s="8" t="n">
        <v>310</v>
      </c>
      <c r="B311" s="8" t="inlineStr">
        <is>
          <t>Produto</t>
        </is>
      </c>
      <c r="C311" t="inlineStr">
        <is>
          <t>Luva de ciclismo ergonômico rosa tam. 44</t>
        </is>
      </c>
      <c r="D311" s="10">
        <f>ROUND(D311*(1+(E311/100)),2)</f>
        <v/>
      </c>
      <c r="E311" s="8" t="n">
        <v>15</v>
      </c>
    </row>
    <row r="312">
      <c r="A312" s="8" t="n">
        <v>311</v>
      </c>
      <c r="B312" s="8" t="inlineStr">
        <is>
          <t>Produto</t>
        </is>
      </c>
      <c r="C312" t="inlineStr">
        <is>
          <t>Raquete de badminton premium verde</t>
        </is>
      </c>
      <c r="D312" s="10">
        <f>ROUND(D312*(1+(E312/100)),2)</f>
        <v/>
      </c>
      <c r="E312" s="8" t="n">
        <v>15</v>
      </c>
    </row>
    <row r="313">
      <c r="A313" s="8" t="n">
        <v>312</v>
      </c>
      <c r="B313" s="8" t="inlineStr">
        <is>
          <t>Produto</t>
        </is>
      </c>
      <c r="C313" t="inlineStr">
        <is>
          <t>Luva de goleiro resistente laranja tam. M</t>
        </is>
      </c>
      <c r="D313" s="10">
        <f>ROUND(D313*(1+(E313/100)),2)</f>
        <v/>
      </c>
      <c r="E313" s="8" t="n">
        <v>15</v>
      </c>
    </row>
    <row r="314">
      <c r="A314" s="8" t="n">
        <v>313</v>
      </c>
      <c r="B314" s="8" t="inlineStr">
        <is>
          <t>Produto</t>
        </is>
      </c>
      <c r="C314" t="inlineStr">
        <is>
          <t>Meias esportivas treino preto tam. GG</t>
        </is>
      </c>
      <c r="D314" s="10">
        <f>ROUND(D314*(1+(E314/100)),2)</f>
        <v/>
      </c>
      <c r="E314" s="8" t="n">
        <v>15</v>
      </c>
    </row>
    <row r="315">
      <c r="A315" s="8" t="n">
        <v>314</v>
      </c>
      <c r="B315" s="8" t="inlineStr">
        <is>
          <t>Produto</t>
        </is>
      </c>
      <c r="C315" t="inlineStr">
        <is>
          <t>Kimono de judô profissional azul tam. 40</t>
        </is>
      </c>
      <c r="D315" s="10">
        <f>ROUND(D315*(1+(E315/100)),2)</f>
        <v/>
      </c>
      <c r="E315" s="8" t="n">
        <v>15</v>
      </c>
    </row>
    <row r="316">
      <c r="A316" s="8" t="n">
        <v>315</v>
      </c>
      <c r="B316" s="8" t="inlineStr">
        <is>
          <t>Produto</t>
        </is>
      </c>
      <c r="C316" t="inlineStr">
        <is>
          <t>Bola de basquete unissex verde</t>
        </is>
      </c>
      <c r="D316" s="10">
        <f>ROUND(D316*(1+(E316/100)),2)</f>
        <v/>
      </c>
      <c r="E316" s="8" t="n">
        <v>15</v>
      </c>
    </row>
    <row r="317">
      <c r="A317" s="8" t="n">
        <v>316</v>
      </c>
      <c r="B317" s="8" t="inlineStr">
        <is>
          <t>Produto</t>
        </is>
      </c>
      <c r="C317" t="inlineStr">
        <is>
          <t>Garrafa squeeze adulto branco</t>
        </is>
      </c>
      <c r="D317" s="10">
        <f>ROUND(D317*(1+(E317/100)),2)</f>
        <v/>
      </c>
      <c r="E317" s="8" t="n">
        <v>15</v>
      </c>
    </row>
    <row r="318">
      <c r="A318" s="8" t="n">
        <v>317</v>
      </c>
      <c r="B318" s="8" t="inlineStr">
        <is>
          <t>Produto</t>
        </is>
      </c>
      <c r="C318" t="inlineStr">
        <is>
          <t>Corda de pular profissional branco</t>
        </is>
      </c>
      <c r="D318" s="10">
        <f>ROUND(D318*(1+(E318/100)),2)</f>
        <v/>
      </c>
      <c r="E318" s="8" t="n">
        <v>15</v>
      </c>
    </row>
    <row r="319">
      <c r="A319" s="8" t="n">
        <v>318</v>
      </c>
      <c r="B319" s="8" t="inlineStr">
        <is>
          <t>Produto</t>
        </is>
      </c>
      <c r="C319" t="inlineStr">
        <is>
          <t>Monitor cardíaco resistente preto</t>
        </is>
      </c>
      <c r="D319" s="10">
        <f>ROUND(D319*(1+(E319/100)),2)</f>
        <v/>
      </c>
      <c r="E319" s="8" t="n">
        <v>15</v>
      </c>
    </row>
    <row r="320">
      <c r="A320" s="8" t="n">
        <v>319</v>
      </c>
      <c r="B320" s="8" t="inlineStr">
        <is>
          <t>Produto</t>
        </is>
      </c>
      <c r="C320" t="inlineStr">
        <is>
          <t>Luva de ciclismo para uso diário branco tam. 34</t>
        </is>
      </c>
      <c r="D320" s="10">
        <f>ROUND(D320*(1+(E320/100)),2)</f>
        <v/>
      </c>
      <c r="E320" s="8" t="n">
        <v>15</v>
      </c>
    </row>
    <row r="321">
      <c r="A321" s="8" t="n">
        <v>320</v>
      </c>
      <c r="B321" s="8" t="inlineStr">
        <is>
          <t>Produto</t>
        </is>
      </c>
      <c r="C321" t="inlineStr">
        <is>
          <t>Colchonete de exercício modelo avançado verde</t>
        </is>
      </c>
      <c r="D321" s="10">
        <f>ROUND(D321*(1+(E321/100)),2)</f>
        <v/>
      </c>
      <c r="E321" s="8" t="n">
        <v>15</v>
      </c>
    </row>
    <row r="322">
      <c r="A322" s="8" t="n">
        <v>321</v>
      </c>
      <c r="B322" s="8" t="inlineStr">
        <is>
          <t>Produto</t>
        </is>
      </c>
      <c r="C322" t="inlineStr">
        <is>
          <t>Touca de natação unissex branco tam. G</t>
        </is>
      </c>
      <c r="D322" s="10">
        <f>ROUND(D322*(1+(E322/100)),2)</f>
        <v/>
      </c>
      <c r="E322" s="8" t="n">
        <v>15</v>
      </c>
    </row>
    <row r="323">
      <c r="A323" s="8" t="n">
        <v>322</v>
      </c>
      <c r="B323" s="8" t="inlineStr">
        <is>
          <t>Produto</t>
        </is>
      </c>
      <c r="C323" t="inlineStr">
        <is>
          <t>Caneleira de futebol leve rosa</t>
        </is>
      </c>
      <c r="D323" s="10">
        <f>ROUND(D323*(1+(E323/100)),2)</f>
        <v/>
      </c>
      <c r="E323" s="8" t="n">
        <v>15</v>
      </c>
    </row>
    <row r="324">
      <c r="A324" s="8" t="n">
        <v>323</v>
      </c>
      <c r="B324" s="8" t="inlineStr">
        <is>
          <t>Produto</t>
        </is>
      </c>
      <c r="C324" t="inlineStr">
        <is>
          <t>Luva de ciclismo recreativo azul tam. 40</t>
        </is>
      </c>
      <c r="D324" s="10">
        <f>ROUND(D324*(1+(E324/100)),2)</f>
        <v/>
      </c>
      <c r="E324" s="8" t="n">
        <v>15</v>
      </c>
    </row>
    <row r="325">
      <c r="A325" s="8" t="n">
        <v>324</v>
      </c>
      <c r="B325" s="8" t="inlineStr">
        <is>
          <t>Produto</t>
        </is>
      </c>
      <c r="C325" t="inlineStr">
        <is>
          <t>Short esportivo reforçado preto tam. 36</t>
        </is>
      </c>
      <c r="D325" s="10">
        <f>ROUND(D325*(1+(E325/100)),2)</f>
        <v/>
      </c>
      <c r="E325" s="8" t="n">
        <v>15</v>
      </c>
    </row>
    <row r="326">
      <c r="A326" s="8" t="n">
        <v>325</v>
      </c>
      <c r="B326" s="8" t="inlineStr">
        <is>
          <t>Produto</t>
        </is>
      </c>
      <c r="C326" t="inlineStr">
        <is>
          <t>Relógio esportivo ventilado rosa</t>
        </is>
      </c>
      <c r="D326" s="10">
        <f>ROUND(D326*(1+(E326/100)),2)</f>
        <v/>
      </c>
      <c r="E326" s="8" t="n">
        <v>15</v>
      </c>
    </row>
    <row r="327">
      <c r="A327" s="8" t="n">
        <v>326</v>
      </c>
      <c r="B327" s="8" t="inlineStr">
        <is>
          <t>Produto</t>
        </is>
      </c>
      <c r="C327" t="inlineStr">
        <is>
          <t>Step de ginástica iniciante branco</t>
        </is>
      </c>
      <c r="D327" s="10">
        <f>ROUND(D327*(1+(E327/100)),2)</f>
        <v/>
      </c>
      <c r="E327" s="8" t="n">
        <v>15</v>
      </c>
    </row>
    <row r="328">
      <c r="A328" s="8" t="n">
        <v>327</v>
      </c>
      <c r="B328" s="8" t="inlineStr">
        <is>
          <t>Produto</t>
        </is>
      </c>
      <c r="C328" t="inlineStr">
        <is>
          <t>Raquete de tênis premium azul tam. 36</t>
        </is>
      </c>
      <c r="D328" s="10">
        <f>ROUND(D328*(1+(E328/100)),2)</f>
        <v/>
      </c>
      <c r="E328" s="8" t="n">
        <v>15</v>
      </c>
    </row>
    <row r="329">
      <c r="A329" s="8" t="n">
        <v>328</v>
      </c>
      <c r="B329" s="8" t="inlineStr">
        <is>
          <t>Produto</t>
        </is>
      </c>
      <c r="C329" t="inlineStr">
        <is>
          <t>Elástico de resistência para uso diário branco</t>
        </is>
      </c>
      <c r="D329" s="10">
        <f>ROUND(D329*(1+(E329/100)),2)</f>
        <v/>
      </c>
      <c r="E329" s="8" t="n">
        <v>15</v>
      </c>
    </row>
    <row r="330">
      <c r="A330" s="8" t="n">
        <v>329</v>
      </c>
      <c r="B330" s="8" t="inlineStr">
        <is>
          <t>Produto</t>
        </is>
      </c>
      <c r="C330" t="inlineStr">
        <is>
          <t>Óculos esportivos modelo avançado cinza</t>
        </is>
      </c>
      <c r="D330" s="10">
        <f>ROUND(D330*(1+(E330/100)),2)</f>
        <v/>
      </c>
      <c r="E330" s="8" t="n">
        <v>15</v>
      </c>
    </row>
    <row r="331">
      <c r="A331" s="8" t="n">
        <v>330</v>
      </c>
      <c r="B331" s="8" t="inlineStr">
        <is>
          <t>Produto</t>
        </is>
      </c>
      <c r="C331" t="inlineStr">
        <is>
          <t>Bastão de caminhada profissional laranja</t>
        </is>
      </c>
      <c r="D331" s="10">
        <f>ROUND(D331*(1+(E331/100)),2)</f>
        <v/>
      </c>
      <c r="E331" s="8" t="n">
        <v>15</v>
      </c>
    </row>
    <row r="332">
      <c r="A332" s="8" t="n">
        <v>331</v>
      </c>
      <c r="B332" s="8" t="inlineStr">
        <is>
          <t>Produto</t>
        </is>
      </c>
      <c r="C332" t="inlineStr">
        <is>
          <t>Regata esportiva iniciante branco tam. M</t>
        </is>
      </c>
      <c r="D332" s="10">
        <f>ROUND(D332*(1+(E332/100)),2)</f>
        <v/>
      </c>
      <c r="E332" s="8" t="n">
        <v>15</v>
      </c>
    </row>
    <row r="333">
      <c r="A333" s="8" t="n">
        <v>332</v>
      </c>
      <c r="B333" s="8" t="inlineStr">
        <is>
          <t>Produto</t>
        </is>
      </c>
      <c r="C333" t="inlineStr">
        <is>
          <t>Prancha de natação iniciante rosa</t>
        </is>
      </c>
      <c r="D333" s="10">
        <f>ROUND(D333*(1+(E333/100)),2)</f>
        <v/>
      </c>
      <c r="E333" s="8" t="n">
        <v>15</v>
      </c>
    </row>
    <row r="334">
      <c r="A334" s="8" t="n">
        <v>333</v>
      </c>
      <c r="B334" s="8" t="inlineStr">
        <is>
          <t>Produto</t>
        </is>
      </c>
      <c r="C334" t="inlineStr">
        <is>
          <t>Bicicleta ergométrica com ajuste branco</t>
        </is>
      </c>
      <c r="D334" s="10">
        <f>ROUND(D334*(1+(E334/100)),2)</f>
        <v/>
      </c>
      <c r="E334" s="8" t="n">
        <v>15</v>
      </c>
    </row>
    <row r="335">
      <c r="A335" s="8" t="n">
        <v>334</v>
      </c>
      <c r="B335" s="8" t="inlineStr">
        <is>
          <t>Produto</t>
        </is>
      </c>
      <c r="C335" t="inlineStr">
        <is>
          <t>Bastão de caminhada versão 2026 laranja</t>
        </is>
      </c>
      <c r="D335" s="10">
        <f>ROUND(D335*(1+(E335/100)),2)</f>
        <v/>
      </c>
      <c r="E335" s="8" t="n">
        <v>15</v>
      </c>
    </row>
    <row r="336">
      <c r="A336" s="8" t="n">
        <v>335</v>
      </c>
      <c r="B336" s="8" t="inlineStr">
        <is>
          <t>Produto</t>
        </is>
      </c>
      <c r="C336" t="inlineStr">
        <is>
          <t>Raquete de tênis para uso diário branco tam. 42</t>
        </is>
      </c>
      <c r="D336" s="10">
        <f>ROUND(D336*(1+(E336/100)),2)</f>
        <v/>
      </c>
      <c r="E336" s="8" t="n">
        <v>15</v>
      </c>
    </row>
    <row r="337">
      <c r="A337" s="8" t="n">
        <v>336</v>
      </c>
      <c r="B337" s="8" t="inlineStr">
        <is>
          <t>Produto</t>
        </is>
      </c>
      <c r="C337" t="inlineStr">
        <is>
          <t>Nadadeira adulto vermelho</t>
        </is>
      </c>
      <c r="D337" s="10">
        <f>ROUND(D337*(1+(E337/100)),2)</f>
        <v/>
      </c>
      <c r="E337" s="8" t="n">
        <v>15</v>
      </c>
    </row>
    <row r="338">
      <c r="A338" s="8" t="n">
        <v>337</v>
      </c>
      <c r="B338" s="8" t="inlineStr">
        <is>
          <t>Produto</t>
        </is>
      </c>
      <c r="C338" t="inlineStr">
        <is>
          <t>Nadadeira juvenil vermelho</t>
        </is>
      </c>
      <c r="D338" s="10">
        <f>ROUND(D338*(1+(E338/100)),2)</f>
        <v/>
      </c>
      <c r="E338" s="8" t="n">
        <v>15</v>
      </c>
    </row>
    <row r="339">
      <c r="A339" s="8" t="n">
        <v>338</v>
      </c>
      <c r="B339" s="8" t="inlineStr">
        <is>
          <t>Produto</t>
        </is>
      </c>
      <c r="C339" t="inlineStr">
        <is>
          <t>Banco de musculação modelo avançado laranja</t>
        </is>
      </c>
      <c r="D339" s="10">
        <f>ROUND(D339*(1+(E339/100)),2)</f>
        <v/>
      </c>
      <c r="E339" s="8" t="n">
        <v>15</v>
      </c>
    </row>
    <row r="340">
      <c r="A340" s="8" t="n">
        <v>339</v>
      </c>
      <c r="B340" s="8" t="inlineStr">
        <is>
          <t>Produto</t>
        </is>
      </c>
      <c r="C340" t="inlineStr">
        <is>
          <t>Bola de vôlei recreativo rosa</t>
        </is>
      </c>
      <c r="D340" s="10">
        <f>ROUND(D340*(1+(E340/100)),2)</f>
        <v/>
      </c>
      <c r="E340" s="8" t="n">
        <v>15</v>
      </c>
    </row>
    <row r="341">
      <c r="A341" s="8" t="n">
        <v>340</v>
      </c>
      <c r="B341" s="8" t="inlineStr">
        <is>
          <t>Produto</t>
        </is>
      </c>
      <c r="C341" t="inlineStr">
        <is>
          <t>Tapete de yoga profissional vermelho</t>
        </is>
      </c>
      <c r="D341" s="10">
        <f>ROUND(D341*(1+(E341/100)),2)</f>
        <v/>
      </c>
      <c r="E341" s="8" t="n">
        <v>15</v>
      </c>
    </row>
    <row r="342">
      <c r="A342" s="8" t="n">
        <v>341</v>
      </c>
      <c r="B342" s="8" t="inlineStr">
        <is>
          <t>Produto</t>
        </is>
      </c>
      <c r="C342" t="inlineStr">
        <is>
          <t>Elástico de resistência premium verde</t>
        </is>
      </c>
      <c r="D342" s="10">
        <f>ROUND(D342*(1+(E342/100)),2)</f>
        <v/>
      </c>
      <c r="E342" s="8" t="n">
        <v>15</v>
      </c>
    </row>
    <row r="343">
      <c r="A343" s="8" t="n">
        <v>342</v>
      </c>
      <c r="B343" s="8" t="inlineStr">
        <is>
          <t>Produto</t>
        </is>
      </c>
      <c r="C343" t="inlineStr">
        <is>
          <t>Bola de basquete ergonômico laranja</t>
        </is>
      </c>
      <c r="D343" s="10">
        <f>ROUND(D343*(1+(E343/100)),2)</f>
        <v/>
      </c>
      <c r="E343" s="8" t="n">
        <v>15</v>
      </c>
    </row>
    <row r="344">
      <c r="A344" s="8" t="n">
        <v>343</v>
      </c>
      <c r="B344" s="8" t="inlineStr">
        <is>
          <t>Produto</t>
        </is>
      </c>
      <c r="C344" t="inlineStr">
        <is>
          <t>Tênis para quadra premium rosa tam. GG</t>
        </is>
      </c>
      <c r="D344" s="10">
        <f>ROUND(D344*(1+(E344/100)),2)</f>
        <v/>
      </c>
      <c r="E344" s="8" t="n">
        <v>15</v>
      </c>
    </row>
    <row r="345">
      <c r="A345" s="8" t="n">
        <v>344</v>
      </c>
      <c r="B345" s="8" t="inlineStr">
        <is>
          <t>Produto</t>
        </is>
      </c>
      <c r="C345" t="inlineStr">
        <is>
          <t>Garrafa squeeze reforçado azul</t>
        </is>
      </c>
      <c r="D345" s="10">
        <f>ROUND(D345*(1+(E345/100)),2)</f>
        <v/>
      </c>
      <c r="E345" s="8" t="n">
        <v>15</v>
      </c>
    </row>
    <row r="346">
      <c r="A346" s="8" t="n">
        <v>345</v>
      </c>
      <c r="B346" s="8" t="inlineStr">
        <is>
          <t>Produto</t>
        </is>
      </c>
      <c r="C346" t="inlineStr">
        <is>
          <t>Raquete de beach tennis leve rosa</t>
        </is>
      </c>
      <c r="D346" s="10">
        <f>ROUND(D346*(1+(E346/100)),2)</f>
        <v/>
      </c>
      <c r="E346" s="8" t="n">
        <v>15</v>
      </c>
    </row>
    <row r="347">
      <c r="A347" s="8" t="n">
        <v>346</v>
      </c>
      <c r="B347" s="8" t="inlineStr">
        <is>
          <t>Produto</t>
        </is>
      </c>
      <c r="C347" t="inlineStr">
        <is>
          <t>Nadadeira modelo avançado azul</t>
        </is>
      </c>
      <c r="D347" s="10">
        <f>ROUND(D347*(1+(E347/100)),2)</f>
        <v/>
      </c>
      <c r="E347" s="8" t="n">
        <v>15</v>
      </c>
    </row>
    <row r="348">
      <c r="A348" s="8" t="n">
        <v>347</v>
      </c>
      <c r="B348" s="8" t="inlineStr">
        <is>
          <t>Produto</t>
        </is>
      </c>
      <c r="C348" t="inlineStr">
        <is>
          <t>Garrafa squeeze leve vermelho</t>
        </is>
      </c>
      <c r="D348" s="10">
        <f>ROUND(D348*(1+(E348/100)),2)</f>
        <v/>
      </c>
      <c r="E348" s="8" t="n">
        <v>15</v>
      </c>
    </row>
    <row r="349">
      <c r="A349" s="8" t="n">
        <v>348</v>
      </c>
      <c r="B349" s="8" t="inlineStr">
        <is>
          <t>Produto</t>
        </is>
      </c>
      <c r="C349" t="inlineStr">
        <is>
          <t>Relógio esportivo treino verde</t>
        </is>
      </c>
      <c r="D349" s="10">
        <f>ROUND(D349*(1+(E349/100)),2)</f>
        <v/>
      </c>
      <c r="E349" s="8" t="n">
        <v>15</v>
      </c>
    </row>
    <row r="350">
      <c r="A350" s="8" t="n">
        <v>349</v>
      </c>
      <c r="B350" s="8" t="inlineStr">
        <is>
          <t>Produto</t>
        </is>
      </c>
      <c r="C350" t="inlineStr">
        <is>
          <t>Meias esportivas adulto branco tam. 42</t>
        </is>
      </c>
      <c r="D350" s="10">
        <f>ROUND(D350*(1+(E350/100)),2)</f>
        <v/>
      </c>
      <c r="E350" s="8" t="n">
        <v>15</v>
      </c>
    </row>
    <row r="351">
      <c r="A351" s="8" t="n">
        <v>350</v>
      </c>
      <c r="B351" s="8" t="inlineStr">
        <is>
          <t>Produto</t>
        </is>
      </c>
      <c r="C351" t="inlineStr">
        <is>
          <t>Capacete de ciclismo recreativo azul</t>
        </is>
      </c>
      <c r="D351" s="10">
        <f>ROUND(D351*(1+(E351/100)),2)</f>
        <v/>
      </c>
      <c r="E351" s="8" t="n">
        <v>15</v>
      </c>
    </row>
    <row r="352">
      <c r="A352" s="8" t="n">
        <v>351</v>
      </c>
      <c r="B352" s="8" t="inlineStr">
        <is>
          <t>Produto</t>
        </is>
      </c>
      <c r="C352" t="inlineStr">
        <is>
          <t>Elástico de resistência resistente laranja</t>
        </is>
      </c>
      <c r="D352" s="10">
        <f>ROUND(D352*(1+(E352/100)),2)</f>
        <v/>
      </c>
      <c r="E352" s="8" t="n">
        <v>15</v>
      </c>
    </row>
    <row r="353">
      <c r="A353" s="8" t="n">
        <v>352</v>
      </c>
      <c r="B353" s="8" t="inlineStr">
        <is>
          <t>Produto</t>
        </is>
      </c>
      <c r="C353" t="inlineStr">
        <is>
          <t>Protetor bucal recreativo branco</t>
        </is>
      </c>
      <c r="D353" s="10">
        <f>ROUND(D353*(1+(E353/100)),2)</f>
        <v/>
      </c>
      <c r="E353" s="8" t="n">
        <v>15</v>
      </c>
    </row>
    <row r="354">
      <c r="A354" s="8" t="n">
        <v>353</v>
      </c>
      <c r="B354" s="8" t="inlineStr">
        <is>
          <t>Produto</t>
        </is>
      </c>
      <c r="C354" t="inlineStr">
        <is>
          <t>Bicicleta urbana resistente branco</t>
        </is>
      </c>
      <c r="D354" s="10">
        <f>ROUND(D354*(1+(E354/100)),2)</f>
        <v/>
      </c>
      <c r="E354" s="8" t="n">
        <v>15</v>
      </c>
    </row>
    <row r="355">
      <c r="A355" s="8" t="n">
        <v>354</v>
      </c>
      <c r="B355" s="8" t="inlineStr">
        <is>
          <t>Produto</t>
        </is>
      </c>
      <c r="C355" t="inlineStr">
        <is>
          <t>Banco de musculação unissex vermelho</t>
        </is>
      </c>
      <c r="D355" s="10">
        <f>ROUND(D355*(1+(E355/100)),2)</f>
        <v/>
      </c>
      <c r="E355" s="8" t="n">
        <v>15</v>
      </c>
    </row>
    <row r="356">
      <c r="A356" s="8" t="n">
        <v>355</v>
      </c>
      <c r="B356" s="8" t="inlineStr">
        <is>
          <t>Produto</t>
        </is>
      </c>
      <c r="C356" t="inlineStr">
        <is>
          <t>Chuteira de campo resistente preto tam. M</t>
        </is>
      </c>
      <c r="D356" s="10">
        <f>ROUND(D356*(1+(E356/100)),2)</f>
        <v/>
      </c>
      <c r="E356" s="8" t="n">
        <v>15</v>
      </c>
    </row>
    <row r="357">
      <c r="A357" s="8" t="n">
        <v>356</v>
      </c>
      <c r="B357" s="8" t="inlineStr">
        <is>
          <t>Produto</t>
        </is>
      </c>
      <c r="C357" t="inlineStr">
        <is>
          <t>Coqueteleira leve branco</t>
        </is>
      </c>
      <c r="D357" s="10">
        <f>ROUND(D357*(1+(E357/100)),2)</f>
        <v/>
      </c>
      <c r="E357" s="8" t="n">
        <v>15</v>
      </c>
    </row>
    <row r="358">
      <c r="A358" s="8" t="n">
        <v>357</v>
      </c>
      <c r="B358" s="8" t="inlineStr">
        <is>
          <t>Produto</t>
        </is>
      </c>
      <c r="C358" t="inlineStr">
        <is>
          <t>Jaqueta esportiva resistente cinza tam. M</t>
        </is>
      </c>
      <c r="D358" s="10">
        <f>ROUND(D358*(1+(E358/100)),2)</f>
        <v/>
      </c>
      <c r="E358" s="8" t="n">
        <v>15</v>
      </c>
    </row>
    <row r="359">
      <c r="A359" s="8" t="n">
        <v>358</v>
      </c>
      <c r="B359" s="8" t="inlineStr">
        <is>
          <t>Produto</t>
        </is>
      </c>
      <c r="C359" t="inlineStr">
        <is>
          <t>Touca de natação premium vermelho tam. 34</t>
        </is>
      </c>
      <c r="D359" s="10">
        <f>ROUND(D359*(1+(E359/100)),2)</f>
        <v/>
      </c>
      <c r="E359" s="8" t="n">
        <v>15</v>
      </c>
    </row>
    <row r="360">
      <c r="A360" s="8" t="n">
        <v>359</v>
      </c>
      <c r="B360" s="8" t="inlineStr">
        <is>
          <t>Produto</t>
        </is>
      </c>
      <c r="C360" t="inlineStr">
        <is>
          <t>Raquete de badminton leve vermelho</t>
        </is>
      </c>
      <c r="D360" s="10">
        <f>ROUND(D360*(1+(E360/100)),2)</f>
        <v/>
      </c>
      <c r="E360" s="8" t="n">
        <v>15</v>
      </c>
    </row>
    <row r="361">
      <c r="A361" s="8" t="n">
        <v>360</v>
      </c>
      <c r="B361" s="8" t="inlineStr">
        <is>
          <t>Produto</t>
        </is>
      </c>
      <c r="C361" t="inlineStr">
        <is>
          <t>Kimono de judô modelo básico preto tam. P</t>
        </is>
      </c>
      <c r="D361" s="10">
        <f>ROUND(D361*(1+(E361/100)),2)</f>
        <v/>
      </c>
      <c r="E361" s="8" t="n">
        <v>15</v>
      </c>
    </row>
    <row r="362">
      <c r="A362" s="8" t="n">
        <v>361</v>
      </c>
      <c r="B362" s="8" t="inlineStr">
        <is>
          <t>Produto</t>
        </is>
      </c>
      <c r="C362" t="inlineStr">
        <is>
          <t>Óculos de natação premium verde</t>
        </is>
      </c>
      <c r="D362" s="10">
        <f>ROUND(D362*(1+(E362/100)),2)</f>
        <v/>
      </c>
      <c r="E362" s="8" t="n">
        <v>15</v>
      </c>
    </row>
    <row r="363">
      <c r="A363" s="8" t="n">
        <v>362</v>
      </c>
      <c r="B363" s="8" t="inlineStr">
        <is>
          <t>Produto</t>
        </is>
      </c>
      <c r="C363" t="inlineStr">
        <is>
          <t>Corda de pular adulto rosa</t>
        </is>
      </c>
      <c r="D363" s="10">
        <f>ROUND(D363*(1+(E363/100)),2)</f>
        <v/>
      </c>
      <c r="E363" s="8" t="n">
        <v>15</v>
      </c>
    </row>
    <row r="364">
      <c r="A364" s="8" t="n">
        <v>363</v>
      </c>
      <c r="B364" s="8" t="inlineStr">
        <is>
          <t>Produto</t>
        </is>
      </c>
      <c r="C364" t="inlineStr">
        <is>
          <t>Caneleira de futebol iniciante rosa</t>
        </is>
      </c>
      <c r="D364" s="10">
        <f>ROUND(D364*(1+(E364/100)),2)</f>
        <v/>
      </c>
      <c r="E364" s="8" t="n">
        <v>15</v>
      </c>
    </row>
    <row r="365">
      <c r="A365" s="8" t="n">
        <v>364</v>
      </c>
      <c r="B365" s="8" t="inlineStr">
        <is>
          <t>Produto</t>
        </is>
      </c>
      <c r="C365" t="inlineStr">
        <is>
          <t>Nadadeira iniciante rosa</t>
        </is>
      </c>
      <c r="D365" s="10">
        <f>ROUND(D365*(1+(E365/100)),2)</f>
        <v/>
      </c>
      <c r="E365" s="8" t="n">
        <v>15</v>
      </c>
    </row>
    <row r="366">
      <c r="A366" s="8" t="n">
        <v>365</v>
      </c>
      <c r="B366" s="8" t="inlineStr">
        <is>
          <t>Produto</t>
        </is>
      </c>
      <c r="C366" t="inlineStr">
        <is>
          <t>Raquete de tênis com ajuste laranja tam. 40</t>
        </is>
      </c>
      <c r="D366" s="10">
        <f>ROUND(D366*(1+(E366/100)),2)</f>
        <v/>
      </c>
      <c r="E366" s="8" t="n">
        <v>15</v>
      </c>
    </row>
    <row r="367">
      <c r="A367" s="8" t="n">
        <v>366</v>
      </c>
      <c r="B367" s="8" t="inlineStr">
        <is>
          <t>Produto</t>
        </is>
      </c>
      <c r="C367" t="inlineStr">
        <is>
          <t>Kettlebell recreativo branco</t>
        </is>
      </c>
      <c r="D367" s="10">
        <f>ROUND(D367*(1+(E367/100)),2)</f>
        <v/>
      </c>
      <c r="E367" s="8" t="n">
        <v>15</v>
      </c>
    </row>
    <row r="368">
      <c r="A368" s="8" t="n">
        <v>367</v>
      </c>
      <c r="B368" s="8" t="inlineStr">
        <is>
          <t>Produto</t>
        </is>
      </c>
      <c r="C368" t="inlineStr">
        <is>
          <t>Halter para uso diário vermelho</t>
        </is>
      </c>
      <c r="D368" s="10">
        <f>ROUND(D368*(1+(E368/100)),2)</f>
        <v/>
      </c>
      <c r="E368" s="8" t="n">
        <v>15</v>
      </c>
    </row>
    <row r="369">
      <c r="A369" s="8" t="n">
        <v>368</v>
      </c>
      <c r="B369" s="8" t="inlineStr">
        <is>
          <t>Produto</t>
        </is>
      </c>
      <c r="C369" t="inlineStr">
        <is>
          <t>Relógio esportivo treino branco</t>
        </is>
      </c>
      <c r="D369" s="10">
        <f>ROUND(D369*(1+(E369/100)),2)</f>
        <v/>
      </c>
      <c r="E369" s="8" t="n">
        <v>15</v>
      </c>
    </row>
    <row r="370">
      <c r="A370" s="8" t="n">
        <v>369</v>
      </c>
      <c r="B370" s="8" t="inlineStr">
        <is>
          <t>Produto</t>
        </is>
      </c>
      <c r="C370" t="inlineStr">
        <is>
          <t>Tênis para quadra com ajuste verde tam. G</t>
        </is>
      </c>
      <c r="D370" s="10">
        <f>ROUND(D370*(1+(E370/100)),2)</f>
        <v/>
      </c>
      <c r="E370" s="8" t="n">
        <v>15</v>
      </c>
    </row>
    <row r="371">
      <c r="A371" s="8" t="n">
        <v>370</v>
      </c>
      <c r="B371" s="8" t="inlineStr">
        <is>
          <t>Produto</t>
        </is>
      </c>
      <c r="C371" t="inlineStr">
        <is>
          <t>Garrafa squeeze versão 2026 laranja</t>
        </is>
      </c>
      <c r="D371" s="10">
        <f>ROUND(D371*(1+(E371/100)),2)</f>
        <v/>
      </c>
      <c r="E371" s="8" t="n">
        <v>15</v>
      </c>
    </row>
    <row r="372">
      <c r="A372" s="8" t="n">
        <v>371</v>
      </c>
      <c r="B372" s="8" t="inlineStr">
        <is>
          <t>Produto</t>
        </is>
      </c>
      <c r="C372" t="inlineStr">
        <is>
          <t>Camiseta esportiva unissex branco tam. GG</t>
        </is>
      </c>
      <c r="D372" s="10">
        <f>ROUND(D372*(1+(E372/100)),2)</f>
        <v/>
      </c>
      <c r="E372" s="8" t="n">
        <v>15</v>
      </c>
    </row>
    <row r="373">
      <c r="A373" s="8" t="n">
        <v>372</v>
      </c>
      <c r="B373" s="8" t="inlineStr">
        <is>
          <t>Produto</t>
        </is>
      </c>
      <c r="C373" t="inlineStr">
        <is>
          <t>Óculos esportivos com ajuste rosa</t>
        </is>
      </c>
      <c r="D373" s="10">
        <f>ROUND(D373*(1+(E373/100)),2)</f>
        <v/>
      </c>
      <c r="E373" s="8" t="n">
        <v>15</v>
      </c>
    </row>
    <row r="374">
      <c r="A374" s="8" t="n">
        <v>373</v>
      </c>
      <c r="B374" s="8" t="inlineStr">
        <is>
          <t>Produto</t>
        </is>
      </c>
      <c r="C374" t="inlineStr">
        <is>
          <t>Óculos esportivos profissional laranja</t>
        </is>
      </c>
      <c r="D374" s="10">
        <f>ROUND(D374*(1+(E374/100)),2)</f>
        <v/>
      </c>
      <c r="E374" s="8" t="n">
        <v>15</v>
      </c>
    </row>
    <row r="375">
      <c r="A375" s="8" t="n">
        <v>374</v>
      </c>
      <c r="B375" s="8" t="inlineStr">
        <is>
          <t>Produto</t>
        </is>
      </c>
      <c r="C375" t="inlineStr">
        <is>
          <t>Meias esportivas unissex branco tam. P</t>
        </is>
      </c>
      <c r="D375" s="10">
        <f>ROUND(D375*(1+(E375/100)),2)</f>
        <v/>
      </c>
      <c r="E375" s="8" t="n">
        <v>15</v>
      </c>
    </row>
    <row r="376">
      <c r="A376" s="8" t="n">
        <v>375</v>
      </c>
      <c r="B376" s="8" t="inlineStr">
        <is>
          <t>Produto</t>
        </is>
      </c>
      <c r="C376" t="inlineStr">
        <is>
          <t>Óculos esportivos ergonômico cinza</t>
        </is>
      </c>
      <c r="D376" s="10">
        <f>ROUND(D376*(1+(E376/100)),2)</f>
        <v/>
      </c>
      <c r="E376" s="8" t="n">
        <v>15</v>
      </c>
    </row>
    <row r="377">
      <c r="A377" s="8" t="n">
        <v>376</v>
      </c>
      <c r="B377" s="8" t="inlineStr">
        <is>
          <t>Produto</t>
        </is>
      </c>
      <c r="C377" t="inlineStr">
        <is>
          <t>Tênis de corrida recreativo cinza tam. 36</t>
        </is>
      </c>
      <c r="D377" s="10">
        <f>ROUND(D377*(1+(E377/100)),2)</f>
        <v/>
      </c>
      <c r="E377" s="8" t="n">
        <v>15</v>
      </c>
    </row>
    <row r="378">
      <c r="A378" s="8" t="n">
        <v>377</v>
      </c>
      <c r="B378" s="8" t="inlineStr">
        <is>
          <t>Produto</t>
        </is>
      </c>
      <c r="C378" t="inlineStr">
        <is>
          <t>Tapete de yoga para uso diário preto</t>
        </is>
      </c>
      <c r="D378" s="10">
        <f>ROUND(D378*(1+(E378/100)),2)</f>
        <v/>
      </c>
      <c r="E378" s="8" t="n">
        <v>15</v>
      </c>
    </row>
    <row r="379">
      <c r="A379" s="8" t="n">
        <v>378</v>
      </c>
      <c r="B379" s="8" t="inlineStr">
        <is>
          <t>Produto</t>
        </is>
      </c>
      <c r="C379" t="inlineStr">
        <is>
          <t>Short esportivo ventilado cinza tam. M</t>
        </is>
      </c>
      <c r="D379" s="10">
        <f>ROUND(D379*(1+(E379/100)),2)</f>
        <v/>
      </c>
      <c r="E379" s="8" t="n">
        <v>15</v>
      </c>
    </row>
    <row r="380">
      <c r="A380" s="8" t="n">
        <v>379</v>
      </c>
      <c r="B380" s="8" t="inlineStr">
        <is>
          <t>Produto</t>
        </is>
      </c>
      <c r="C380" t="inlineStr">
        <is>
          <t>Bicicleta urbana premium azul</t>
        </is>
      </c>
      <c r="D380" s="10">
        <f>ROUND(D380*(1+(E380/100)),2)</f>
        <v/>
      </c>
      <c r="E380" s="8" t="n">
        <v>15</v>
      </c>
    </row>
    <row r="381">
      <c r="A381" s="8" t="n">
        <v>380</v>
      </c>
      <c r="B381" s="8" t="inlineStr">
        <is>
          <t>Produto</t>
        </is>
      </c>
      <c r="C381" t="inlineStr">
        <is>
          <t>Tênis de corrida modelo avançado branco tam. 42</t>
        </is>
      </c>
      <c r="D381" s="10">
        <f>ROUND(D381*(1+(E381/100)),2)</f>
        <v/>
      </c>
      <c r="E381" s="8" t="n">
        <v>15</v>
      </c>
    </row>
    <row r="382">
      <c r="A382" s="8" t="n">
        <v>381</v>
      </c>
      <c r="B382" s="8" t="inlineStr">
        <is>
          <t>Produto</t>
        </is>
      </c>
      <c r="C382" t="inlineStr">
        <is>
          <t>Step de ginástica reforçado laranja</t>
        </is>
      </c>
      <c r="D382" s="10">
        <f>ROUND(D382*(1+(E382/100)),2)</f>
        <v/>
      </c>
      <c r="E382" s="8" t="n">
        <v>15</v>
      </c>
    </row>
    <row r="383">
      <c r="A383" s="8" t="n">
        <v>382</v>
      </c>
      <c r="B383" s="8" t="inlineStr">
        <is>
          <t>Produto</t>
        </is>
      </c>
      <c r="C383" t="inlineStr">
        <is>
          <t>Bola de vôlei recreativo branco</t>
        </is>
      </c>
      <c r="D383" s="10">
        <f>ROUND(D383*(1+(E383/100)),2)</f>
        <v/>
      </c>
      <c r="E383" s="8" t="n">
        <v>15</v>
      </c>
    </row>
    <row r="384">
      <c r="A384" s="8" t="n">
        <v>383</v>
      </c>
      <c r="B384" s="8" t="inlineStr">
        <is>
          <t>Produto</t>
        </is>
      </c>
      <c r="C384" t="inlineStr">
        <is>
          <t>Monitor cardíaco recreativo vermelho</t>
        </is>
      </c>
      <c r="D384" s="10">
        <f>ROUND(D384*(1+(E384/100)),2)</f>
        <v/>
      </c>
      <c r="E384" s="8" t="n">
        <v>15</v>
      </c>
    </row>
    <row r="385">
      <c r="A385" s="8" t="n">
        <v>384</v>
      </c>
      <c r="B385" s="8" t="inlineStr">
        <is>
          <t>Produto</t>
        </is>
      </c>
      <c r="C385" t="inlineStr">
        <is>
          <t>Kimono de judô leve laranja tam. 44</t>
        </is>
      </c>
      <c r="D385" s="10">
        <f>ROUND(D385*(1+(E385/100)),2)</f>
        <v/>
      </c>
      <c r="E385" s="8" t="n">
        <v>15</v>
      </c>
    </row>
    <row r="386">
      <c r="A386" s="8" t="n">
        <v>385</v>
      </c>
      <c r="B386" s="8" t="inlineStr">
        <is>
          <t>Produto</t>
        </is>
      </c>
      <c r="C386" t="inlineStr">
        <is>
          <t>Coqueteleira modelo básico rosa</t>
        </is>
      </c>
      <c r="D386" s="10">
        <f>ROUND(D386*(1+(E386/100)),2)</f>
        <v/>
      </c>
      <c r="E386" s="8" t="n">
        <v>15</v>
      </c>
    </row>
    <row r="387">
      <c r="A387" s="8" t="n">
        <v>386</v>
      </c>
      <c r="B387" s="8" t="inlineStr">
        <is>
          <t>Produto</t>
        </is>
      </c>
      <c r="C387" t="inlineStr">
        <is>
          <t>Coqueteleira adulto branco</t>
        </is>
      </c>
      <c r="D387" s="10">
        <f>ROUND(D387*(1+(E387/100)),2)</f>
        <v/>
      </c>
      <c r="E387" s="8" t="n">
        <v>15</v>
      </c>
    </row>
    <row r="388">
      <c r="A388" s="8" t="n">
        <v>387</v>
      </c>
      <c r="B388" s="8" t="inlineStr">
        <is>
          <t>Produto</t>
        </is>
      </c>
      <c r="C388" t="inlineStr">
        <is>
          <t>Tênis para quadra unissex cinza tam. P</t>
        </is>
      </c>
      <c r="D388" s="10">
        <f>ROUND(D388*(1+(E388/100)),2)</f>
        <v/>
      </c>
      <c r="E388" s="8" t="n">
        <v>15</v>
      </c>
    </row>
    <row r="389">
      <c r="A389" s="8" t="n">
        <v>388</v>
      </c>
      <c r="B389" s="8" t="inlineStr">
        <is>
          <t>Produto</t>
        </is>
      </c>
      <c r="C389" t="inlineStr">
        <is>
          <t>Mochila esportiva unissex verde</t>
        </is>
      </c>
      <c r="D389" s="10">
        <f>ROUND(D389*(1+(E389/100)),2)</f>
        <v/>
      </c>
      <c r="E389" s="8" t="n">
        <v>15</v>
      </c>
    </row>
    <row r="390">
      <c r="A390" s="8" t="n">
        <v>389</v>
      </c>
      <c r="B390" s="8" t="inlineStr">
        <is>
          <t>Produto</t>
        </is>
      </c>
      <c r="C390" t="inlineStr">
        <is>
          <t>Luva de boxe leve laranja tam. G</t>
        </is>
      </c>
      <c r="D390" s="10">
        <f>ROUND(D390*(1+(E390/100)),2)</f>
        <v/>
      </c>
      <c r="E390" s="8" t="n">
        <v>15</v>
      </c>
    </row>
    <row r="391">
      <c r="A391" s="8" t="n">
        <v>390</v>
      </c>
      <c r="B391" s="8" t="inlineStr">
        <is>
          <t>Produto</t>
        </is>
      </c>
      <c r="C391" t="inlineStr">
        <is>
          <t>Meias esportivas unissex azul tam. GG</t>
        </is>
      </c>
      <c r="D391" s="10">
        <f>ROUND(D391*(1+(E391/100)),2)</f>
        <v/>
      </c>
      <c r="E391" s="8" t="n">
        <v>15</v>
      </c>
    </row>
    <row r="392">
      <c r="A392" s="8" t="n">
        <v>391</v>
      </c>
      <c r="B392" s="8" t="inlineStr">
        <is>
          <t>Produto</t>
        </is>
      </c>
      <c r="C392" t="inlineStr">
        <is>
          <t>Halter recreativo laranja</t>
        </is>
      </c>
      <c r="D392" s="10">
        <f>ROUND(D392*(1+(E392/100)),2)</f>
        <v/>
      </c>
      <c r="E392" s="8" t="n">
        <v>15</v>
      </c>
    </row>
    <row r="393">
      <c r="A393" s="8" t="n">
        <v>392</v>
      </c>
      <c r="B393" s="8" t="inlineStr">
        <is>
          <t>Produto</t>
        </is>
      </c>
      <c r="C393" t="inlineStr">
        <is>
          <t>Corda de pular versão 2026 rosa</t>
        </is>
      </c>
      <c r="D393" s="10">
        <f>ROUND(D393*(1+(E393/100)),2)</f>
        <v/>
      </c>
      <c r="E393" s="8" t="n">
        <v>15</v>
      </c>
    </row>
    <row r="394">
      <c r="A394" s="8" t="n">
        <v>393</v>
      </c>
      <c r="B394" s="8" t="inlineStr">
        <is>
          <t>Produto</t>
        </is>
      </c>
      <c r="C394" t="inlineStr">
        <is>
          <t>Bola de pilates recreativo verde</t>
        </is>
      </c>
      <c r="D394" s="10">
        <f>ROUND(D394*(1+(E394/100)),2)</f>
        <v/>
      </c>
      <c r="E394" s="8" t="n">
        <v>15</v>
      </c>
    </row>
    <row r="395">
      <c r="A395" s="8" t="n">
        <v>394</v>
      </c>
      <c r="B395" s="8" t="inlineStr">
        <is>
          <t>Produto</t>
        </is>
      </c>
      <c r="C395" t="inlineStr">
        <is>
          <t>Prancha de natação resistente laranja</t>
        </is>
      </c>
      <c r="D395" s="10">
        <f>ROUND(D395*(1+(E395/100)),2)</f>
        <v/>
      </c>
      <c r="E395" s="8" t="n">
        <v>15</v>
      </c>
    </row>
    <row r="396">
      <c r="A396" s="8" t="n">
        <v>395</v>
      </c>
      <c r="B396" s="8" t="inlineStr">
        <is>
          <t>Produto</t>
        </is>
      </c>
      <c r="C396" t="inlineStr">
        <is>
          <t>Regata esportiva ventilado branco tam. 42</t>
        </is>
      </c>
      <c r="D396" s="10">
        <f>ROUND(D396*(1+(E396/100)),2)</f>
        <v/>
      </c>
      <c r="E396" s="8" t="n">
        <v>15</v>
      </c>
    </row>
    <row r="397">
      <c r="A397" s="8" t="n">
        <v>396</v>
      </c>
      <c r="B397" s="8" t="inlineStr">
        <is>
          <t>Produto</t>
        </is>
      </c>
      <c r="C397" t="inlineStr">
        <is>
          <t>Banco de musculação versão 2026 rosa</t>
        </is>
      </c>
      <c r="D397" s="10">
        <f>ROUND(D397*(1+(E397/100)),2)</f>
        <v/>
      </c>
      <c r="E397" s="8" t="n">
        <v>15</v>
      </c>
    </row>
    <row r="398">
      <c r="A398" s="8" t="n">
        <v>397</v>
      </c>
      <c r="B398" s="8" t="inlineStr">
        <is>
          <t>Produto</t>
        </is>
      </c>
      <c r="C398" t="inlineStr">
        <is>
          <t>Meias esportivas ventilado cinza tam. GG</t>
        </is>
      </c>
      <c r="D398" s="10">
        <f>ROUND(D398*(1+(E398/100)),2)</f>
        <v/>
      </c>
      <c r="E398" s="8" t="n">
        <v>15</v>
      </c>
    </row>
    <row r="399">
      <c r="A399" s="8" t="n">
        <v>398</v>
      </c>
      <c r="B399" s="8" t="inlineStr">
        <is>
          <t>Produto</t>
        </is>
      </c>
      <c r="C399" t="inlineStr">
        <is>
          <t>Coqueteleira reforçado rosa</t>
        </is>
      </c>
      <c r="D399" s="10">
        <f>ROUND(D399*(1+(E399/100)),2)</f>
        <v/>
      </c>
      <c r="E399" s="8" t="n">
        <v>15</v>
      </c>
    </row>
    <row r="400">
      <c r="A400" s="8" t="n">
        <v>399</v>
      </c>
      <c r="B400" s="8" t="inlineStr">
        <is>
          <t>Produto</t>
        </is>
      </c>
      <c r="C400" t="inlineStr">
        <is>
          <t>Colchonete de exercício premium cinza</t>
        </is>
      </c>
      <c r="D400" s="10">
        <f>ROUND(D400*(1+(E400/100)),2)</f>
        <v/>
      </c>
      <c r="E400" s="8" t="n">
        <v>15</v>
      </c>
    </row>
    <row r="401">
      <c r="A401" s="8" t="n">
        <v>400</v>
      </c>
      <c r="B401" s="8" t="inlineStr">
        <is>
          <t>Produto</t>
        </is>
      </c>
      <c r="C401" t="inlineStr">
        <is>
          <t>Nadadeira para uso diário laranja</t>
        </is>
      </c>
      <c r="D401" s="10">
        <f>ROUND(D401*(1+(E401/100)),2)</f>
        <v/>
      </c>
      <c r="E401" s="8" t="n">
        <v>15</v>
      </c>
    </row>
    <row r="402">
      <c r="A402" s="8" t="n">
        <v>401</v>
      </c>
      <c r="B402" s="8" t="inlineStr">
        <is>
          <t>Produto</t>
        </is>
      </c>
      <c r="C402" t="inlineStr">
        <is>
          <t>Banco de musculação iniciante preto</t>
        </is>
      </c>
      <c r="D402" s="10">
        <f>ROUND(D402*(1+(E402/100)),2)</f>
        <v/>
      </c>
      <c r="E402" s="8" t="n">
        <v>15</v>
      </c>
    </row>
    <row r="403">
      <c r="A403" s="8" t="n">
        <v>402</v>
      </c>
      <c r="B403" s="8" t="inlineStr">
        <is>
          <t>Produto</t>
        </is>
      </c>
      <c r="C403" t="inlineStr">
        <is>
          <t>Patins modelo avançado rosa</t>
        </is>
      </c>
      <c r="D403" s="10">
        <f>ROUND(D403*(1+(E403/100)),2)</f>
        <v/>
      </c>
      <c r="E403" s="8" t="n">
        <v>15</v>
      </c>
    </row>
    <row r="404">
      <c r="A404" s="8" t="n">
        <v>403</v>
      </c>
      <c r="B404" s="8" t="inlineStr">
        <is>
          <t>Produto</t>
        </is>
      </c>
      <c r="C404" t="inlineStr">
        <is>
          <t>Bola de pilates reforçado verde</t>
        </is>
      </c>
      <c r="D404" s="10">
        <f>ROUND(D404*(1+(E404/100)),2)</f>
        <v/>
      </c>
      <c r="E404" s="8" t="n">
        <v>15</v>
      </c>
    </row>
    <row r="405">
      <c r="A405" s="8" t="n">
        <v>404</v>
      </c>
      <c r="B405" s="8" t="inlineStr">
        <is>
          <t>Produto</t>
        </is>
      </c>
      <c r="C405" t="inlineStr">
        <is>
          <t>Bolsa de academia premium vermelho</t>
        </is>
      </c>
      <c r="D405" s="10">
        <f>ROUND(D405*(1+(E405/100)),2)</f>
        <v/>
      </c>
      <c r="E405" s="8" t="n">
        <v>15</v>
      </c>
    </row>
    <row r="406">
      <c r="A406" s="8" t="n">
        <v>405</v>
      </c>
      <c r="B406" s="8" t="inlineStr">
        <is>
          <t>Produto</t>
        </is>
      </c>
      <c r="C406" t="inlineStr">
        <is>
          <t>Bola de pilates compacto verde</t>
        </is>
      </c>
      <c r="D406" s="10">
        <f>ROUND(D406*(1+(E406/100)),2)</f>
        <v/>
      </c>
      <c r="E406" s="8" t="n">
        <v>15</v>
      </c>
    </row>
    <row r="407">
      <c r="A407" s="8" t="n">
        <v>406</v>
      </c>
      <c r="B407" s="8" t="inlineStr">
        <is>
          <t>Produto</t>
        </is>
      </c>
      <c r="C407" t="inlineStr">
        <is>
          <t>Monitor cardíaco compacto preto</t>
        </is>
      </c>
      <c r="D407" s="10">
        <f>ROUND(D407*(1+(E407/100)),2)</f>
        <v/>
      </c>
      <c r="E407" s="8" t="n">
        <v>15</v>
      </c>
    </row>
    <row r="408">
      <c r="A408" s="8" t="n">
        <v>407</v>
      </c>
      <c r="B408" s="8" t="inlineStr">
        <is>
          <t>Produto</t>
        </is>
      </c>
      <c r="C408" t="inlineStr">
        <is>
          <t>Kettlebell treino vermelho</t>
        </is>
      </c>
      <c r="D408" s="10">
        <f>ROUND(D408*(1+(E408/100)),2)</f>
        <v/>
      </c>
      <c r="E408" s="8" t="n">
        <v>15</v>
      </c>
    </row>
    <row r="409">
      <c r="A409" s="8" t="n">
        <v>408</v>
      </c>
      <c r="B409" s="8" t="inlineStr">
        <is>
          <t>Produto</t>
        </is>
      </c>
      <c r="C409" t="inlineStr">
        <is>
          <t>Luva de goleiro alta performance rosa tam. 40</t>
        </is>
      </c>
      <c r="D409" s="10">
        <f>ROUND(D409*(1+(E409/100)),2)</f>
        <v/>
      </c>
      <c r="E409" s="8" t="n">
        <v>15</v>
      </c>
    </row>
    <row r="410">
      <c r="A410" s="8" t="n">
        <v>409</v>
      </c>
      <c r="B410" s="8" t="inlineStr">
        <is>
          <t>Produto</t>
        </is>
      </c>
      <c r="C410" t="inlineStr">
        <is>
          <t>Step de ginástica modelo básico cinza</t>
        </is>
      </c>
      <c r="D410" s="10">
        <f>ROUND(D410*(1+(E410/100)),2)</f>
        <v/>
      </c>
      <c r="E410" s="8" t="n">
        <v>15</v>
      </c>
    </row>
    <row r="411">
      <c r="A411" s="8" t="n">
        <v>410</v>
      </c>
      <c r="B411" s="8" t="inlineStr">
        <is>
          <t>Produto</t>
        </is>
      </c>
      <c r="C411" t="inlineStr">
        <is>
          <t>Banco de musculação unissex verde</t>
        </is>
      </c>
      <c r="D411" s="10">
        <f>ROUND(D411*(1+(E411/100)),2)</f>
        <v/>
      </c>
      <c r="E411" s="8" t="n">
        <v>15</v>
      </c>
    </row>
    <row r="412">
      <c r="A412" s="8" t="n">
        <v>411</v>
      </c>
      <c r="B412" s="8" t="inlineStr">
        <is>
          <t>Produto</t>
        </is>
      </c>
      <c r="C412" t="inlineStr">
        <is>
          <t>Bastão de caminhada leve laranja</t>
        </is>
      </c>
      <c r="D412" s="10">
        <f>ROUND(D412*(1+(E412/100)),2)</f>
        <v/>
      </c>
      <c r="E412" s="8" t="n">
        <v>15</v>
      </c>
    </row>
    <row r="413">
      <c r="A413" s="8" t="n">
        <v>412</v>
      </c>
      <c r="B413" s="8" t="inlineStr">
        <is>
          <t>Produto</t>
        </is>
      </c>
      <c r="C413" t="inlineStr">
        <is>
          <t>Regata esportiva para uso diário rosa tam. G</t>
        </is>
      </c>
      <c r="D413" s="10">
        <f>ROUND(D413*(1+(E413/100)),2)</f>
        <v/>
      </c>
      <c r="E413" s="8" t="n">
        <v>15</v>
      </c>
    </row>
    <row r="414">
      <c r="A414" s="8" t="n">
        <v>413</v>
      </c>
      <c r="B414" s="8" t="inlineStr">
        <is>
          <t>Produto</t>
        </is>
      </c>
      <c r="C414" t="inlineStr">
        <is>
          <t>Garrafa squeeze adulto cinza</t>
        </is>
      </c>
      <c r="D414" s="10">
        <f>ROUND(D414*(1+(E414/100)),2)</f>
        <v/>
      </c>
      <c r="E414" s="8" t="n">
        <v>15</v>
      </c>
    </row>
    <row r="415">
      <c r="A415" s="8" t="n">
        <v>414</v>
      </c>
      <c r="B415" s="8" t="inlineStr">
        <is>
          <t>Produto</t>
        </is>
      </c>
      <c r="C415" t="inlineStr">
        <is>
          <t>Tênis de corrida iniciante rosa tam. 42</t>
        </is>
      </c>
      <c r="D415" s="10">
        <f>ROUND(D415*(1+(E415/100)),2)</f>
        <v/>
      </c>
      <c r="E415" s="8" t="n">
        <v>15</v>
      </c>
    </row>
    <row r="416">
      <c r="A416" s="8" t="n">
        <v>415</v>
      </c>
      <c r="B416" s="8" t="inlineStr">
        <is>
          <t>Produto</t>
        </is>
      </c>
      <c r="C416" t="inlineStr">
        <is>
          <t>Chuteira de campo com ajuste cinza tam. GG</t>
        </is>
      </c>
      <c r="D416" s="10">
        <f>ROUND(D416*(1+(E416/100)),2)</f>
        <v/>
      </c>
      <c r="E416" s="8" t="n">
        <v>15</v>
      </c>
    </row>
    <row r="417">
      <c r="A417" s="8" t="n">
        <v>416</v>
      </c>
      <c r="B417" s="8" t="inlineStr">
        <is>
          <t>Produto</t>
        </is>
      </c>
      <c r="C417" t="inlineStr">
        <is>
          <t>Kettlebell com ajuste cinza</t>
        </is>
      </c>
      <c r="D417" s="10">
        <f>ROUND(D417*(1+(E417/100)),2)</f>
        <v/>
      </c>
      <c r="E417" s="8" t="n">
        <v>15</v>
      </c>
    </row>
    <row r="418">
      <c r="A418" s="8" t="n">
        <v>417</v>
      </c>
      <c r="B418" s="8" t="inlineStr">
        <is>
          <t>Produto</t>
        </is>
      </c>
      <c r="C418" t="inlineStr">
        <is>
          <t>Bola de futebol iniciante verde</t>
        </is>
      </c>
      <c r="D418" s="10">
        <f>ROUND(D418*(1+(E418/100)),2)</f>
        <v/>
      </c>
      <c r="E418" s="8" t="n">
        <v>15</v>
      </c>
    </row>
    <row r="419">
      <c r="A419" s="8" t="n">
        <v>418</v>
      </c>
      <c r="B419" s="8" t="inlineStr">
        <is>
          <t>Produto</t>
        </is>
      </c>
      <c r="C419" t="inlineStr">
        <is>
          <t>Touca de natação alta performance branco tam. M</t>
        </is>
      </c>
      <c r="D419" s="10">
        <f>ROUND(D419*(1+(E419/100)),2)</f>
        <v/>
      </c>
      <c r="E419" s="8" t="n">
        <v>15</v>
      </c>
    </row>
    <row r="420">
      <c r="A420" s="8" t="n">
        <v>419</v>
      </c>
      <c r="B420" s="8" t="inlineStr">
        <is>
          <t>Produto</t>
        </is>
      </c>
      <c r="C420" t="inlineStr">
        <is>
          <t>Tênis de corrida recreativo rosa tam. 36</t>
        </is>
      </c>
      <c r="D420" s="10">
        <f>ROUND(D420*(1+(E420/100)),2)</f>
        <v/>
      </c>
      <c r="E420" s="8" t="n">
        <v>15</v>
      </c>
    </row>
    <row r="421">
      <c r="A421" s="8" t="n">
        <v>420</v>
      </c>
      <c r="B421" s="8" t="inlineStr">
        <is>
          <t>Produto</t>
        </is>
      </c>
      <c r="C421" t="inlineStr">
        <is>
          <t>Bola de futebol para uso diário verde</t>
        </is>
      </c>
      <c r="D421" s="10">
        <f>ROUND(D421*(1+(E421/100)),2)</f>
        <v/>
      </c>
      <c r="E421" s="8" t="n">
        <v>15</v>
      </c>
    </row>
    <row r="422">
      <c r="A422" s="8" t="n">
        <v>421</v>
      </c>
      <c r="B422" s="8" t="inlineStr">
        <is>
          <t>Produto</t>
        </is>
      </c>
      <c r="C422" t="inlineStr">
        <is>
          <t>Bolsa de academia iniciante preto</t>
        </is>
      </c>
      <c r="D422" s="10">
        <f>ROUND(D422*(1+(E422/100)),2)</f>
        <v/>
      </c>
      <c r="E422" s="8" t="n">
        <v>15</v>
      </c>
    </row>
    <row r="423">
      <c r="A423" s="8" t="n">
        <v>422</v>
      </c>
      <c r="B423" s="8" t="inlineStr">
        <is>
          <t>Produto</t>
        </is>
      </c>
      <c r="C423" t="inlineStr">
        <is>
          <t>Tapete de yoga juvenil azul</t>
        </is>
      </c>
      <c r="D423" s="10">
        <f>ROUND(D423*(1+(E423/100)),2)</f>
        <v/>
      </c>
      <c r="E423" s="8" t="n">
        <v>15</v>
      </c>
    </row>
    <row r="424">
      <c r="A424" s="8" t="n">
        <v>423</v>
      </c>
      <c r="B424" s="8" t="inlineStr">
        <is>
          <t>Produto</t>
        </is>
      </c>
      <c r="C424" t="inlineStr">
        <is>
          <t>Camiseta esportiva resistente cinza tam. M</t>
        </is>
      </c>
      <c r="D424" s="10">
        <f>ROUND(D424*(1+(E424/100)),2)</f>
        <v/>
      </c>
      <c r="E424" s="8" t="n">
        <v>15</v>
      </c>
    </row>
    <row r="425">
      <c r="A425" s="8" t="n">
        <v>424</v>
      </c>
      <c r="B425" s="8" t="inlineStr">
        <is>
          <t>Produto</t>
        </is>
      </c>
      <c r="C425" t="inlineStr">
        <is>
          <t>Garrafa squeeze versão 2026 verde</t>
        </is>
      </c>
      <c r="D425" s="10">
        <f>ROUND(D425*(1+(E425/100)),2)</f>
        <v/>
      </c>
      <c r="E425" s="8" t="n">
        <v>15</v>
      </c>
    </row>
    <row r="426">
      <c r="A426" s="8" t="n">
        <v>425</v>
      </c>
      <c r="B426" s="8" t="inlineStr">
        <is>
          <t>Produto</t>
        </is>
      </c>
      <c r="C426" t="inlineStr">
        <is>
          <t>Chuteira de campo recreativo rosa tam. 44</t>
        </is>
      </c>
      <c r="D426" s="10">
        <f>ROUND(D426*(1+(E426/100)),2)</f>
        <v/>
      </c>
      <c r="E426" s="8" t="n">
        <v>15</v>
      </c>
    </row>
    <row r="427">
      <c r="A427" s="8" t="n">
        <v>426</v>
      </c>
      <c r="B427" s="8" t="inlineStr">
        <is>
          <t>Produto</t>
        </is>
      </c>
      <c r="C427" t="inlineStr">
        <is>
          <t>Skate ergonômico verde</t>
        </is>
      </c>
      <c r="D427" s="10">
        <f>ROUND(D427*(1+(E427/100)),2)</f>
        <v/>
      </c>
      <c r="E427" s="8" t="n">
        <v>15</v>
      </c>
    </row>
    <row r="428">
      <c r="A428" s="8" t="n">
        <v>427</v>
      </c>
      <c r="B428" s="8" t="inlineStr">
        <is>
          <t>Produto</t>
        </is>
      </c>
      <c r="C428" t="inlineStr">
        <is>
          <t>Nadadeira profissional rosa</t>
        </is>
      </c>
      <c r="D428" s="10">
        <f>ROUND(D428*(1+(E428/100)),2)</f>
        <v/>
      </c>
      <c r="E428" s="8" t="n">
        <v>15</v>
      </c>
    </row>
    <row r="429">
      <c r="A429" s="8" t="n">
        <v>428</v>
      </c>
      <c r="B429" s="8" t="inlineStr">
        <is>
          <t>Produto</t>
        </is>
      </c>
      <c r="C429" t="inlineStr">
        <is>
          <t>Tapete de yoga unissex azul</t>
        </is>
      </c>
      <c r="D429" s="10">
        <f>ROUND(D429*(1+(E429/100)),2)</f>
        <v/>
      </c>
      <c r="E429" s="8" t="n">
        <v>15</v>
      </c>
    </row>
    <row r="430">
      <c r="A430" s="8" t="n">
        <v>429</v>
      </c>
      <c r="B430" s="8" t="inlineStr">
        <is>
          <t>Produto</t>
        </is>
      </c>
      <c r="C430" t="inlineStr">
        <is>
          <t>Luva de goleiro reforçado vermelho tam. G</t>
        </is>
      </c>
      <c r="D430" s="10">
        <f>ROUND(D430*(1+(E430/100)),2)</f>
        <v/>
      </c>
      <c r="E430" s="8" t="n">
        <v>15</v>
      </c>
    </row>
    <row r="431">
      <c r="A431" s="8" t="n">
        <v>430</v>
      </c>
      <c r="B431" s="8" t="inlineStr">
        <is>
          <t>Produto</t>
        </is>
      </c>
      <c r="C431" t="inlineStr">
        <is>
          <t>Monitor cardíaco treino verde</t>
        </is>
      </c>
      <c r="D431" s="10">
        <f>ROUND(D431*(1+(E431/100)),2)</f>
        <v/>
      </c>
      <c r="E431" s="8" t="n">
        <v>15</v>
      </c>
    </row>
    <row r="432">
      <c r="A432" s="8" t="n">
        <v>431</v>
      </c>
      <c r="B432" s="8" t="inlineStr">
        <is>
          <t>Produto</t>
        </is>
      </c>
      <c r="C432" t="inlineStr">
        <is>
          <t>Óculos esportivos resistente rosa</t>
        </is>
      </c>
      <c r="D432" s="10">
        <f>ROUND(D432*(1+(E432/100)),2)</f>
        <v/>
      </c>
      <c r="E432" s="8" t="n">
        <v>15</v>
      </c>
    </row>
    <row r="433">
      <c r="A433" s="8" t="n">
        <v>432</v>
      </c>
      <c r="B433" s="8" t="inlineStr">
        <is>
          <t>Produto</t>
        </is>
      </c>
      <c r="C433" t="inlineStr">
        <is>
          <t>Capacete de ciclismo resistente laranja</t>
        </is>
      </c>
      <c r="D433" s="10">
        <f>ROUND(D433*(1+(E433/100)),2)</f>
        <v/>
      </c>
      <c r="E433" s="8" t="n">
        <v>15</v>
      </c>
    </row>
    <row r="434">
      <c r="A434" s="8" t="n">
        <v>433</v>
      </c>
      <c r="B434" s="8" t="inlineStr">
        <is>
          <t>Produto</t>
        </is>
      </c>
      <c r="C434" t="inlineStr">
        <is>
          <t>Raquete de tênis com ajuste cinza tam. P</t>
        </is>
      </c>
      <c r="D434" s="10">
        <f>ROUND(D434*(1+(E434/100)),2)</f>
        <v/>
      </c>
      <c r="E434" s="8" t="n">
        <v>15</v>
      </c>
    </row>
    <row r="435">
      <c r="A435" s="8" t="n">
        <v>434</v>
      </c>
      <c r="B435" s="8" t="inlineStr">
        <is>
          <t>Produto</t>
        </is>
      </c>
      <c r="C435" t="inlineStr">
        <is>
          <t>Bola de futebol unissex azul</t>
        </is>
      </c>
      <c r="D435" s="10">
        <f>ROUND(D435*(1+(E435/100)),2)</f>
        <v/>
      </c>
      <c r="E435" s="8" t="n">
        <v>15</v>
      </c>
    </row>
    <row r="436">
      <c r="A436" s="8" t="n">
        <v>435</v>
      </c>
      <c r="B436" s="8" t="inlineStr">
        <is>
          <t>Produto</t>
        </is>
      </c>
      <c r="C436" t="inlineStr">
        <is>
          <t>Colchonete de exercício ventilado preto</t>
        </is>
      </c>
      <c r="D436" s="10">
        <f>ROUND(D436*(1+(E436/100)),2)</f>
        <v/>
      </c>
      <c r="E436" s="8" t="n">
        <v>15</v>
      </c>
    </row>
    <row r="437">
      <c r="A437" s="8" t="n">
        <v>436</v>
      </c>
      <c r="B437" s="8" t="inlineStr">
        <is>
          <t>Produto</t>
        </is>
      </c>
      <c r="C437" t="inlineStr">
        <is>
          <t>Raquete de beach tennis juvenil cinza</t>
        </is>
      </c>
      <c r="D437" s="10">
        <f>ROUND(D437*(1+(E437/100)),2)</f>
        <v/>
      </c>
      <c r="E437" s="8" t="n">
        <v>15</v>
      </c>
    </row>
    <row r="438">
      <c r="A438" s="8" t="n">
        <v>437</v>
      </c>
      <c r="B438" s="8" t="inlineStr">
        <is>
          <t>Produto</t>
        </is>
      </c>
      <c r="C438" t="inlineStr">
        <is>
          <t>Banco de musculação alta performance branco</t>
        </is>
      </c>
      <c r="D438" s="10">
        <f>ROUND(D438*(1+(E438/100)),2)</f>
        <v/>
      </c>
      <c r="E438" s="8" t="n">
        <v>15</v>
      </c>
    </row>
    <row r="439">
      <c r="A439" s="8" t="n">
        <v>438</v>
      </c>
      <c r="B439" s="8" t="inlineStr">
        <is>
          <t>Produto</t>
        </is>
      </c>
      <c r="C439" t="inlineStr">
        <is>
          <t>Bloco para yoga para uso diário laranja</t>
        </is>
      </c>
      <c r="D439" s="10">
        <f>ROUND(D439*(1+(E439/100)),2)</f>
        <v/>
      </c>
      <c r="E439" s="8" t="n">
        <v>15</v>
      </c>
    </row>
    <row r="440">
      <c r="A440" s="8" t="n">
        <v>439</v>
      </c>
      <c r="B440" s="8" t="inlineStr">
        <is>
          <t>Produto</t>
        </is>
      </c>
      <c r="C440" t="inlineStr">
        <is>
          <t>Prancha de natação recreativo branco</t>
        </is>
      </c>
      <c r="D440" s="10">
        <f>ROUND(D440*(1+(E440/100)),2)</f>
        <v/>
      </c>
      <c r="E440" s="8" t="n">
        <v>15</v>
      </c>
    </row>
    <row r="441">
      <c r="A441" s="8" t="n">
        <v>440</v>
      </c>
      <c r="B441" s="8" t="inlineStr">
        <is>
          <t>Produto</t>
        </is>
      </c>
      <c r="C441" t="inlineStr">
        <is>
          <t>Caneleira de futebol resistente vermelho</t>
        </is>
      </c>
      <c r="D441" s="10">
        <f>ROUND(D441*(1+(E441/100)),2)</f>
        <v/>
      </c>
      <c r="E441" s="8" t="n">
        <v>15</v>
      </c>
    </row>
    <row r="442">
      <c r="A442" s="8" t="n">
        <v>441</v>
      </c>
      <c r="B442" s="8" t="inlineStr">
        <is>
          <t>Produto</t>
        </is>
      </c>
      <c r="C442" t="inlineStr">
        <is>
          <t>Jaqueta esportiva adulto cinza tam. 40</t>
        </is>
      </c>
      <c r="D442" s="10">
        <f>ROUND(D442*(1+(E442/100)),2)</f>
        <v/>
      </c>
      <c r="E442" s="8" t="n">
        <v>15</v>
      </c>
    </row>
    <row r="443">
      <c r="A443" s="8" t="n">
        <v>442</v>
      </c>
      <c r="B443" s="8" t="inlineStr">
        <is>
          <t>Produto</t>
        </is>
      </c>
      <c r="C443" t="inlineStr">
        <is>
          <t>Caneleira de futebol ventilado laranja</t>
        </is>
      </c>
      <c r="D443" s="10">
        <f>ROUND(D443*(1+(E443/100)),2)</f>
        <v/>
      </c>
      <c r="E443" s="8" t="n">
        <v>15</v>
      </c>
    </row>
    <row r="444">
      <c r="A444" s="8" t="n">
        <v>443</v>
      </c>
      <c r="B444" s="8" t="inlineStr">
        <is>
          <t>Produto</t>
        </is>
      </c>
      <c r="C444" t="inlineStr">
        <is>
          <t>Meias esportivas modelo avançado vermelho tam. 34</t>
        </is>
      </c>
      <c r="D444" s="10">
        <f>ROUND(D444*(1+(E444/100)),2)</f>
        <v/>
      </c>
      <c r="E444" s="8" t="n">
        <v>15</v>
      </c>
    </row>
    <row r="445">
      <c r="A445" s="8" t="n">
        <v>444</v>
      </c>
      <c r="B445" s="8" t="inlineStr">
        <is>
          <t>Produto</t>
        </is>
      </c>
      <c r="C445" t="inlineStr">
        <is>
          <t>Bastão de caminhada juvenil laranja</t>
        </is>
      </c>
      <c r="D445" s="10">
        <f>ROUND(D445*(1+(E445/100)),2)</f>
        <v/>
      </c>
      <c r="E445" s="8" t="n">
        <v>15</v>
      </c>
    </row>
    <row r="446">
      <c r="A446" s="8" t="n">
        <v>445</v>
      </c>
      <c r="B446" s="8" t="inlineStr">
        <is>
          <t>Produto</t>
        </is>
      </c>
      <c r="C446" t="inlineStr">
        <is>
          <t>Bola de basquete reforçado azul</t>
        </is>
      </c>
      <c r="D446" s="10">
        <f>ROUND(D446*(1+(E446/100)),2)</f>
        <v/>
      </c>
      <c r="E446" s="8" t="n">
        <v>15</v>
      </c>
    </row>
    <row r="447">
      <c r="A447" s="8" t="n">
        <v>446</v>
      </c>
      <c r="B447" s="8" t="inlineStr">
        <is>
          <t>Produto</t>
        </is>
      </c>
      <c r="C447" t="inlineStr">
        <is>
          <t>Bola de vôlei versão 2026 preto</t>
        </is>
      </c>
      <c r="D447" s="10">
        <f>ROUND(D447*(1+(E447/100)),2)</f>
        <v/>
      </c>
      <c r="E447" s="8" t="n">
        <v>15</v>
      </c>
    </row>
    <row r="448">
      <c r="A448" s="8" t="n">
        <v>447</v>
      </c>
      <c r="B448" s="8" t="inlineStr">
        <is>
          <t>Produto</t>
        </is>
      </c>
      <c r="C448" t="inlineStr">
        <is>
          <t>Bola de vôlei com ajuste verde</t>
        </is>
      </c>
      <c r="D448" s="10">
        <f>ROUND(D448*(1+(E448/100)),2)</f>
        <v/>
      </c>
      <c r="E448" s="8" t="n">
        <v>15</v>
      </c>
    </row>
    <row r="449">
      <c r="A449" s="8" t="n">
        <v>448</v>
      </c>
      <c r="B449" s="8" t="inlineStr">
        <is>
          <t>Produto</t>
        </is>
      </c>
      <c r="C449" t="inlineStr">
        <is>
          <t>Step de ginástica recreativo cinza</t>
        </is>
      </c>
      <c r="D449" s="10">
        <f>ROUND(D449*(1+(E449/100)),2)</f>
        <v/>
      </c>
      <c r="E449" s="8" t="n">
        <v>15</v>
      </c>
    </row>
    <row r="450">
      <c r="A450" s="8" t="n">
        <v>449</v>
      </c>
      <c r="B450" s="8" t="inlineStr">
        <is>
          <t>Produto</t>
        </is>
      </c>
      <c r="C450" t="inlineStr">
        <is>
          <t>Bastão de caminhada modelo básico branco</t>
        </is>
      </c>
      <c r="D450" s="10">
        <f>ROUND(D450*(1+(E450/100)),2)</f>
        <v/>
      </c>
      <c r="E450" s="8" t="n">
        <v>15</v>
      </c>
    </row>
    <row r="451">
      <c r="A451" s="8" t="n">
        <v>450</v>
      </c>
      <c r="B451" s="8" t="inlineStr">
        <is>
          <t>Produto</t>
        </is>
      </c>
      <c r="C451" t="inlineStr">
        <is>
          <t>Chuteira society compacto laranja tam. 34</t>
        </is>
      </c>
      <c r="D451" s="10">
        <f>ROUND(D451*(1+(E451/100)),2)</f>
        <v/>
      </c>
      <c r="E451" s="8" t="n">
        <v>15</v>
      </c>
    </row>
    <row r="452">
      <c r="A452" s="8" t="n">
        <v>451</v>
      </c>
      <c r="B452" s="8" t="inlineStr">
        <is>
          <t>Produto</t>
        </is>
      </c>
      <c r="C452" t="inlineStr">
        <is>
          <t>Luva de goleiro leve laranja tam. 42</t>
        </is>
      </c>
      <c r="D452" s="10">
        <f>ROUND(D452*(1+(E452/100)),2)</f>
        <v/>
      </c>
      <c r="E452" s="8" t="n">
        <v>15</v>
      </c>
    </row>
    <row r="453">
      <c r="A453" s="8" t="n">
        <v>452</v>
      </c>
      <c r="B453" s="8" t="inlineStr">
        <is>
          <t>Produto</t>
        </is>
      </c>
      <c r="C453" t="inlineStr">
        <is>
          <t>Colchonete de exercício resistente branco</t>
        </is>
      </c>
      <c r="D453" s="10">
        <f>ROUND(D453*(1+(E453/100)),2)</f>
        <v/>
      </c>
      <c r="E453" s="8" t="n">
        <v>15</v>
      </c>
    </row>
    <row r="454">
      <c r="A454" s="8" t="n">
        <v>453</v>
      </c>
      <c r="B454" s="8" t="inlineStr">
        <is>
          <t>Produto</t>
        </is>
      </c>
      <c r="C454" t="inlineStr">
        <is>
          <t>Corda de pular iniciante laranja</t>
        </is>
      </c>
      <c r="D454" s="10">
        <f>ROUND(D454*(1+(E454/100)),2)</f>
        <v/>
      </c>
      <c r="E454" s="8" t="n">
        <v>15</v>
      </c>
    </row>
    <row r="455">
      <c r="A455" s="8" t="n">
        <v>454</v>
      </c>
      <c r="B455" s="8" t="inlineStr">
        <is>
          <t>Produto</t>
        </is>
      </c>
      <c r="C455" t="inlineStr">
        <is>
          <t>Caneleira de futebol compacto verde</t>
        </is>
      </c>
      <c r="D455" s="10">
        <f>ROUND(D455*(1+(E455/100)),2)</f>
        <v/>
      </c>
      <c r="E455" s="8" t="n">
        <v>15</v>
      </c>
    </row>
    <row r="456">
      <c r="A456" s="8" t="n">
        <v>455</v>
      </c>
      <c r="B456" s="8" t="inlineStr">
        <is>
          <t>Produto</t>
        </is>
      </c>
      <c r="C456" t="inlineStr">
        <is>
          <t>Patins com ajuste preto</t>
        </is>
      </c>
      <c r="D456" s="10">
        <f>ROUND(D456*(1+(E456/100)),2)</f>
        <v/>
      </c>
      <c r="E456" s="8" t="n">
        <v>15</v>
      </c>
    </row>
    <row r="457">
      <c r="A457" s="8" t="n">
        <v>456</v>
      </c>
      <c r="B457" s="8" t="inlineStr">
        <is>
          <t>Produto</t>
        </is>
      </c>
      <c r="C457" t="inlineStr">
        <is>
          <t>Corda de pular resistente vermelho</t>
        </is>
      </c>
      <c r="D457" s="10">
        <f>ROUND(D457*(1+(E457/100)),2)</f>
        <v/>
      </c>
      <c r="E457" s="8" t="n">
        <v>15</v>
      </c>
    </row>
    <row r="458">
      <c r="A458" s="8" t="n">
        <v>457</v>
      </c>
      <c r="B458" s="8" t="inlineStr">
        <is>
          <t>Produto</t>
        </is>
      </c>
      <c r="C458" t="inlineStr">
        <is>
          <t>Mochila esportiva modelo básico azul</t>
        </is>
      </c>
      <c r="D458" s="10">
        <f>ROUND(D458*(1+(E458/100)),2)</f>
        <v/>
      </c>
      <c r="E458" s="8" t="n">
        <v>15</v>
      </c>
    </row>
    <row r="459">
      <c r="A459" s="8" t="n">
        <v>458</v>
      </c>
      <c r="B459" s="8" t="inlineStr">
        <is>
          <t>Produto</t>
        </is>
      </c>
      <c r="C459" t="inlineStr">
        <is>
          <t>Tapete de yoga ventilado verde</t>
        </is>
      </c>
      <c r="D459" s="10">
        <f>ROUND(D459*(1+(E459/100)),2)</f>
        <v/>
      </c>
      <c r="E459" s="8" t="n">
        <v>15</v>
      </c>
    </row>
    <row r="460">
      <c r="A460" s="8" t="n">
        <v>459</v>
      </c>
      <c r="B460" s="8" t="inlineStr">
        <is>
          <t>Produto</t>
        </is>
      </c>
      <c r="C460" t="inlineStr">
        <is>
          <t>Bloco para yoga versão 2026 preto</t>
        </is>
      </c>
      <c r="D460" s="10">
        <f>ROUND(D460*(1+(E460/100)),2)</f>
        <v/>
      </c>
      <c r="E460" s="8" t="n">
        <v>15</v>
      </c>
    </row>
    <row r="461">
      <c r="A461" s="8" t="n">
        <v>460</v>
      </c>
      <c r="B461" s="8" t="inlineStr">
        <is>
          <t>Produto</t>
        </is>
      </c>
      <c r="C461" t="inlineStr">
        <is>
          <t>Short esportivo ventilado verde tam. 40</t>
        </is>
      </c>
      <c r="D461" s="10">
        <f>ROUND(D461*(1+(E461/100)),2)</f>
        <v/>
      </c>
      <c r="E461" s="8" t="n">
        <v>15</v>
      </c>
    </row>
    <row r="462">
      <c r="A462" s="8" t="n">
        <v>461</v>
      </c>
      <c r="B462" s="8" t="inlineStr">
        <is>
          <t>Produto</t>
        </is>
      </c>
      <c r="C462" t="inlineStr">
        <is>
          <t>Kettlebell adulto verde</t>
        </is>
      </c>
      <c r="D462" s="10">
        <f>ROUND(D462*(1+(E462/100)),2)</f>
        <v/>
      </c>
      <c r="E462" s="8" t="n">
        <v>15</v>
      </c>
    </row>
    <row r="463">
      <c r="A463" s="8" t="n">
        <v>462</v>
      </c>
      <c r="B463" s="8" t="inlineStr">
        <is>
          <t>Produto</t>
        </is>
      </c>
      <c r="C463" t="inlineStr">
        <is>
          <t>Bola de pilates ergonômico verde</t>
        </is>
      </c>
      <c r="D463" s="10">
        <f>ROUND(D463*(1+(E463/100)),2)</f>
        <v/>
      </c>
      <c r="E463" s="8" t="n">
        <v>15</v>
      </c>
    </row>
    <row r="464">
      <c r="A464" s="8" t="n">
        <v>463</v>
      </c>
      <c r="B464" s="8" t="inlineStr">
        <is>
          <t>Produto</t>
        </is>
      </c>
      <c r="C464" t="inlineStr">
        <is>
          <t>Patins para uso diário verde</t>
        </is>
      </c>
      <c r="D464" s="10">
        <f>ROUND(D464*(1+(E464/100)),2)</f>
        <v/>
      </c>
      <c r="E464" s="8" t="n">
        <v>15</v>
      </c>
    </row>
    <row r="465">
      <c r="A465" s="8" t="n">
        <v>464</v>
      </c>
      <c r="B465" s="8" t="inlineStr">
        <is>
          <t>Produto</t>
        </is>
      </c>
      <c r="C465" t="inlineStr">
        <is>
          <t>Banco de musculação para uso diário rosa</t>
        </is>
      </c>
      <c r="D465" s="10">
        <f>ROUND(D465*(1+(E465/100)),2)</f>
        <v/>
      </c>
      <c r="E465" s="8" t="n">
        <v>15</v>
      </c>
    </row>
    <row r="466">
      <c r="A466" s="8" t="n">
        <v>465</v>
      </c>
      <c r="B466" s="8" t="inlineStr">
        <is>
          <t>Produto</t>
        </is>
      </c>
      <c r="C466" t="inlineStr">
        <is>
          <t>Colchonete de exercício premium branco</t>
        </is>
      </c>
      <c r="D466" s="10">
        <f>ROUND(D466*(1+(E466/100)),2)</f>
        <v/>
      </c>
      <c r="E466" s="8" t="n">
        <v>15</v>
      </c>
    </row>
    <row r="467">
      <c r="A467" s="8" t="n">
        <v>466</v>
      </c>
      <c r="B467" s="8" t="inlineStr">
        <is>
          <t>Produto</t>
        </is>
      </c>
      <c r="C467" t="inlineStr">
        <is>
          <t>Óculos esportivos treino rosa</t>
        </is>
      </c>
      <c r="D467" s="10">
        <f>ROUND(D467*(1+(E467/100)),2)</f>
        <v/>
      </c>
      <c r="E467" s="8" t="n">
        <v>15</v>
      </c>
    </row>
    <row r="468">
      <c r="A468" s="8" t="n">
        <v>467</v>
      </c>
      <c r="B468" s="8" t="inlineStr">
        <is>
          <t>Produto</t>
        </is>
      </c>
      <c r="C468" t="inlineStr">
        <is>
          <t>Halter modelo avançado branco</t>
        </is>
      </c>
      <c r="D468" s="10">
        <f>ROUND(D468*(1+(E468/100)),2)</f>
        <v/>
      </c>
      <c r="E468" s="8" t="n">
        <v>15</v>
      </c>
    </row>
    <row r="469">
      <c r="A469" s="8" t="n">
        <v>468</v>
      </c>
      <c r="B469" s="8" t="inlineStr">
        <is>
          <t>Produto</t>
        </is>
      </c>
      <c r="C469" t="inlineStr">
        <is>
          <t>Protetor bucal recreativo preto</t>
        </is>
      </c>
      <c r="D469" s="10">
        <f>ROUND(D469*(1+(E469/100)),2)</f>
        <v/>
      </c>
      <c r="E469" s="8" t="n">
        <v>15</v>
      </c>
    </row>
    <row r="470">
      <c r="A470" s="8" t="n">
        <v>469</v>
      </c>
      <c r="B470" s="8" t="inlineStr">
        <is>
          <t>Produto</t>
        </is>
      </c>
      <c r="C470" t="inlineStr">
        <is>
          <t>Luva de boxe alta performance cinza tam. G</t>
        </is>
      </c>
      <c r="D470" s="10">
        <f>ROUND(D470*(1+(E470/100)),2)</f>
        <v/>
      </c>
      <c r="E470" s="8" t="n">
        <v>15</v>
      </c>
    </row>
    <row r="471">
      <c r="A471" s="8" t="n">
        <v>470</v>
      </c>
      <c r="B471" s="8" t="inlineStr">
        <is>
          <t>Produto</t>
        </is>
      </c>
      <c r="C471" t="inlineStr">
        <is>
          <t>Jaqueta esportiva unissex verde tam. 40</t>
        </is>
      </c>
      <c r="D471" s="10">
        <f>ROUND(D471*(1+(E471/100)),2)</f>
        <v/>
      </c>
      <c r="E471" s="8" t="n">
        <v>15</v>
      </c>
    </row>
    <row r="472">
      <c r="A472" s="8" t="n">
        <v>471</v>
      </c>
      <c r="B472" s="8" t="inlineStr">
        <is>
          <t>Produto</t>
        </is>
      </c>
      <c r="C472" t="inlineStr">
        <is>
          <t>Nadadeira premium rosa</t>
        </is>
      </c>
      <c r="D472" s="10">
        <f>ROUND(D472*(1+(E472/100)),2)</f>
        <v/>
      </c>
      <c r="E472" s="8" t="n">
        <v>15</v>
      </c>
    </row>
    <row r="473">
      <c r="A473" s="8" t="n">
        <v>472</v>
      </c>
      <c r="B473" s="8" t="inlineStr">
        <is>
          <t>Produto</t>
        </is>
      </c>
      <c r="C473" t="inlineStr">
        <is>
          <t>Óculos de natação com ajuste vermelho</t>
        </is>
      </c>
      <c r="D473" s="10">
        <f>ROUND(D473*(1+(E473/100)),2)</f>
        <v/>
      </c>
      <c r="E473" s="8" t="n">
        <v>15</v>
      </c>
    </row>
    <row r="474">
      <c r="A474" s="8" t="n">
        <v>473</v>
      </c>
      <c r="B474" s="8" t="inlineStr">
        <is>
          <t>Produto</t>
        </is>
      </c>
      <c r="C474" t="inlineStr">
        <is>
          <t>Colchonete de exercício recreativo rosa</t>
        </is>
      </c>
      <c r="D474" s="10">
        <f>ROUND(D474*(1+(E474/100)),2)</f>
        <v/>
      </c>
      <c r="E474" s="8" t="n">
        <v>15</v>
      </c>
    </row>
    <row r="475">
      <c r="A475" s="8" t="n">
        <v>474</v>
      </c>
      <c r="B475" s="8" t="inlineStr">
        <is>
          <t>Produto</t>
        </is>
      </c>
      <c r="C475" t="inlineStr">
        <is>
          <t>Caneleira de futebol resistente preto</t>
        </is>
      </c>
      <c r="D475" s="10">
        <f>ROUND(D475*(1+(E475/100)),2)</f>
        <v/>
      </c>
      <c r="E475" s="8" t="n">
        <v>15</v>
      </c>
    </row>
    <row r="476">
      <c r="A476" s="8" t="n">
        <v>475</v>
      </c>
      <c r="B476" s="8" t="inlineStr">
        <is>
          <t>Produto</t>
        </is>
      </c>
      <c r="C476" t="inlineStr">
        <is>
          <t>Raquete de beach tennis adulto laranja</t>
        </is>
      </c>
      <c r="D476" s="10">
        <f>ROUND(D476*(1+(E476/100)),2)</f>
        <v/>
      </c>
      <c r="E476" s="8" t="n">
        <v>15</v>
      </c>
    </row>
    <row r="477">
      <c r="A477" s="8" t="n">
        <v>476</v>
      </c>
      <c r="B477" s="8" t="inlineStr">
        <is>
          <t>Produto</t>
        </is>
      </c>
      <c r="C477" t="inlineStr">
        <is>
          <t>Touca de natação profissional vermelho tam. P</t>
        </is>
      </c>
      <c r="D477" s="10">
        <f>ROUND(D477*(1+(E477/100)),2)</f>
        <v/>
      </c>
      <c r="E477" s="8" t="n">
        <v>15</v>
      </c>
    </row>
    <row r="478">
      <c r="A478" s="8" t="n">
        <v>477</v>
      </c>
      <c r="B478" s="8" t="inlineStr">
        <is>
          <t>Produto</t>
        </is>
      </c>
      <c r="C478" t="inlineStr">
        <is>
          <t>Capacete de ciclismo juvenil rosa</t>
        </is>
      </c>
      <c r="D478" s="10">
        <f>ROUND(D478*(1+(E478/100)),2)</f>
        <v/>
      </c>
      <c r="E478" s="8" t="n">
        <v>15</v>
      </c>
    </row>
    <row r="479">
      <c r="A479" s="8" t="n">
        <v>478</v>
      </c>
      <c r="B479" s="8" t="inlineStr">
        <is>
          <t>Produto</t>
        </is>
      </c>
      <c r="C479" t="inlineStr">
        <is>
          <t>Bola de basquete ventilado laranja</t>
        </is>
      </c>
      <c r="D479" s="10">
        <f>ROUND(D479*(1+(E479/100)),2)</f>
        <v/>
      </c>
      <c r="E479" s="8" t="n">
        <v>15</v>
      </c>
    </row>
    <row r="480">
      <c r="A480" s="8" t="n">
        <v>479</v>
      </c>
      <c r="B480" s="8" t="inlineStr">
        <is>
          <t>Produto</t>
        </is>
      </c>
      <c r="C480" t="inlineStr">
        <is>
          <t>Monitor cardíaco ventilado cinza</t>
        </is>
      </c>
      <c r="D480" s="10">
        <f>ROUND(D480*(1+(E480/100)),2)</f>
        <v/>
      </c>
      <c r="E480" s="8" t="n">
        <v>15</v>
      </c>
    </row>
    <row r="481">
      <c r="A481" s="8" t="n">
        <v>480</v>
      </c>
      <c r="B481" s="8" t="inlineStr">
        <is>
          <t>Produto</t>
        </is>
      </c>
      <c r="C481" t="inlineStr">
        <is>
          <t>Skate leve azul</t>
        </is>
      </c>
      <c r="D481" s="10">
        <f>ROUND(D481*(1+(E481/100)),2)</f>
        <v/>
      </c>
      <c r="E481" s="8" t="n">
        <v>15</v>
      </c>
    </row>
    <row r="482">
      <c r="A482" s="8" t="n">
        <v>481</v>
      </c>
      <c r="B482" s="8" t="inlineStr">
        <is>
          <t>Produto</t>
        </is>
      </c>
      <c r="C482" t="inlineStr">
        <is>
          <t>Monitor cardíaco compacto verde</t>
        </is>
      </c>
      <c r="D482" s="10">
        <f>ROUND(D482*(1+(E482/100)),2)</f>
        <v/>
      </c>
      <c r="E482" s="8" t="n">
        <v>15</v>
      </c>
    </row>
    <row r="483">
      <c r="A483" s="8" t="n">
        <v>482</v>
      </c>
      <c r="B483" s="8" t="inlineStr">
        <is>
          <t>Produto</t>
        </is>
      </c>
      <c r="C483" t="inlineStr">
        <is>
          <t>Mochila esportiva premium laranja</t>
        </is>
      </c>
      <c r="D483" s="10">
        <f>ROUND(D483*(1+(E483/100)),2)</f>
        <v/>
      </c>
      <c r="E483" s="8" t="n">
        <v>15</v>
      </c>
    </row>
    <row r="484">
      <c r="A484" s="8" t="n">
        <v>483</v>
      </c>
      <c r="B484" s="8" t="inlineStr">
        <is>
          <t>Produto</t>
        </is>
      </c>
      <c r="C484" t="inlineStr">
        <is>
          <t>Elástico de resistência unissex verde</t>
        </is>
      </c>
      <c r="D484" s="10">
        <f>ROUND(D484*(1+(E484/100)),2)</f>
        <v/>
      </c>
      <c r="E484" s="8" t="n">
        <v>15</v>
      </c>
    </row>
    <row r="485">
      <c r="A485" s="8" t="n">
        <v>484</v>
      </c>
      <c r="B485" s="8" t="inlineStr">
        <is>
          <t>Produto</t>
        </is>
      </c>
      <c r="C485" t="inlineStr">
        <is>
          <t>Jaqueta esportiva profissional preto tam. M</t>
        </is>
      </c>
      <c r="D485" s="10">
        <f>ROUND(D485*(1+(E485/100)),2)</f>
        <v/>
      </c>
      <c r="E485" s="8" t="n">
        <v>15</v>
      </c>
    </row>
    <row r="486">
      <c r="A486" s="8" t="n">
        <v>485</v>
      </c>
      <c r="B486" s="8" t="inlineStr">
        <is>
          <t>Produto</t>
        </is>
      </c>
      <c r="C486" t="inlineStr">
        <is>
          <t>Bloco para yoga ergonômico preto</t>
        </is>
      </c>
      <c r="D486" s="10">
        <f>ROUND(D486*(1+(E486/100)),2)</f>
        <v/>
      </c>
      <c r="E486" s="8" t="n">
        <v>15</v>
      </c>
    </row>
    <row r="487">
      <c r="A487" s="8" t="n">
        <v>486</v>
      </c>
      <c r="B487" s="8" t="inlineStr">
        <is>
          <t>Produto</t>
        </is>
      </c>
      <c r="C487" t="inlineStr">
        <is>
          <t>Skate profissional rosa</t>
        </is>
      </c>
      <c r="D487" s="10">
        <f>ROUND(D487*(1+(E487/100)),2)</f>
        <v/>
      </c>
      <c r="E487" s="8" t="n">
        <v>15</v>
      </c>
    </row>
    <row r="488">
      <c r="A488" s="8" t="n">
        <v>487</v>
      </c>
      <c r="B488" s="8" t="inlineStr">
        <is>
          <t>Produto</t>
        </is>
      </c>
      <c r="C488" t="inlineStr">
        <is>
          <t>Óculos de natação unissex azul</t>
        </is>
      </c>
      <c r="D488" s="10">
        <f>ROUND(D488*(1+(E488/100)),2)</f>
        <v/>
      </c>
      <c r="E488" s="8" t="n">
        <v>15</v>
      </c>
    </row>
    <row r="489">
      <c r="A489" s="8" t="n">
        <v>488</v>
      </c>
      <c r="B489" s="8" t="inlineStr">
        <is>
          <t>Produto</t>
        </is>
      </c>
      <c r="C489" t="inlineStr">
        <is>
          <t>Bola de vôlei reforçado rosa</t>
        </is>
      </c>
      <c r="D489" s="10">
        <f>ROUND(D489*(1+(E489/100)),2)</f>
        <v/>
      </c>
      <c r="E489" s="8" t="n">
        <v>15</v>
      </c>
    </row>
    <row r="490">
      <c r="A490" s="8" t="n">
        <v>489</v>
      </c>
      <c r="B490" s="8" t="inlineStr">
        <is>
          <t>Produto</t>
        </is>
      </c>
      <c r="C490" t="inlineStr">
        <is>
          <t>Raquete de beach tennis ventilado preto</t>
        </is>
      </c>
      <c r="D490" s="10">
        <f>ROUND(D490*(1+(E490/100)),2)</f>
        <v/>
      </c>
      <c r="E490" s="8" t="n">
        <v>15</v>
      </c>
    </row>
    <row r="491">
      <c r="A491" s="8" t="n">
        <v>490</v>
      </c>
      <c r="B491" s="8" t="inlineStr">
        <is>
          <t>Produto</t>
        </is>
      </c>
      <c r="C491" t="inlineStr">
        <is>
          <t>Halter reforçado vermelho</t>
        </is>
      </c>
      <c r="D491" s="10">
        <f>ROUND(D491*(1+(E491/100)),2)</f>
        <v/>
      </c>
      <c r="E491" s="8" t="n">
        <v>15</v>
      </c>
    </row>
    <row r="492">
      <c r="A492" s="8" t="n">
        <v>491</v>
      </c>
      <c r="B492" s="8" t="inlineStr">
        <is>
          <t>Produto</t>
        </is>
      </c>
      <c r="C492" t="inlineStr">
        <is>
          <t>Patins profissional cinza</t>
        </is>
      </c>
      <c r="D492" s="10">
        <f>ROUND(D492*(1+(E492/100)),2)</f>
        <v/>
      </c>
      <c r="E492" s="8" t="n">
        <v>15</v>
      </c>
    </row>
    <row r="493">
      <c r="A493" s="8" t="n">
        <v>492</v>
      </c>
      <c r="B493" s="8" t="inlineStr">
        <is>
          <t>Produto</t>
        </is>
      </c>
      <c r="C493" t="inlineStr">
        <is>
          <t>Meias esportivas para uso diário branco tam. 38</t>
        </is>
      </c>
      <c r="D493" s="10">
        <f>ROUND(D493*(1+(E493/100)),2)</f>
        <v/>
      </c>
      <c r="E493" s="8" t="n">
        <v>15</v>
      </c>
    </row>
    <row r="494">
      <c r="A494" s="8" t="n">
        <v>493</v>
      </c>
      <c r="B494" s="8" t="inlineStr">
        <is>
          <t>Produto</t>
        </is>
      </c>
      <c r="C494" t="inlineStr">
        <is>
          <t>Chuteira de campo resistente branco tam. P</t>
        </is>
      </c>
      <c r="D494" s="10">
        <f>ROUND(D494*(1+(E494/100)),2)</f>
        <v/>
      </c>
      <c r="E494" s="8" t="n">
        <v>15</v>
      </c>
    </row>
    <row r="495">
      <c r="A495" s="8" t="n">
        <v>494</v>
      </c>
      <c r="B495" s="8" t="inlineStr">
        <is>
          <t>Produto</t>
        </is>
      </c>
      <c r="C495" t="inlineStr">
        <is>
          <t>Jaqueta esportiva modelo básico laranja tam. 36</t>
        </is>
      </c>
      <c r="D495" s="10">
        <f>ROUND(D495*(1+(E495/100)),2)</f>
        <v/>
      </c>
      <c r="E495" s="8" t="n">
        <v>15</v>
      </c>
    </row>
    <row r="496">
      <c r="A496" s="8" t="n">
        <v>495</v>
      </c>
      <c r="B496" s="8" t="inlineStr">
        <is>
          <t>Produto</t>
        </is>
      </c>
      <c r="C496" t="inlineStr">
        <is>
          <t>Bolsa de academia ergonômico verde</t>
        </is>
      </c>
      <c r="D496" s="10">
        <f>ROUND(D496*(1+(E496/100)),2)</f>
        <v/>
      </c>
      <c r="E496" s="8" t="n">
        <v>15</v>
      </c>
    </row>
    <row r="497">
      <c r="A497" s="8" t="n">
        <v>496</v>
      </c>
      <c r="B497" s="8" t="inlineStr">
        <is>
          <t>Produto</t>
        </is>
      </c>
      <c r="C497" t="inlineStr">
        <is>
          <t>Bloco para yoga leve laranja</t>
        </is>
      </c>
      <c r="D497" s="10">
        <f>ROUND(D497*(1+(E497/100)),2)</f>
        <v/>
      </c>
      <c r="E497" s="8" t="n">
        <v>15</v>
      </c>
    </row>
    <row r="498">
      <c r="A498" s="8" t="n">
        <v>497</v>
      </c>
      <c r="B498" s="8" t="inlineStr">
        <is>
          <t>Produto</t>
        </is>
      </c>
      <c r="C498" t="inlineStr">
        <is>
          <t>Kimono de judô compacto azul tam. M</t>
        </is>
      </c>
      <c r="D498" s="10">
        <f>ROUND(D498*(1+(E498/100)),2)</f>
        <v/>
      </c>
      <c r="E498" s="8" t="n">
        <v>15</v>
      </c>
    </row>
    <row r="499">
      <c r="A499" s="8" t="n">
        <v>498</v>
      </c>
      <c r="B499" s="8" t="inlineStr">
        <is>
          <t>Produto</t>
        </is>
      </c>
      <c r="C499" t="inlineStr">
        <is>
          <t>Bloco para yoga para uso diário branco</t>
        </is>
      </c>
      <c r="D499" s="10">
        <f>ROUND(D499*(1+(E499/100)),2)</f>
        <v/>
      </c>
      <c r="E499" s="8" t="n">
        <v>15</v>
      </c>
    </row>
    <row r="500">
      <c r="A500" s="8" t="n">
        <v>499</v>
      </c>
      <c r="B500" s="8" t="inlineStr">
        <is>
          <t>Produto</t>
        </is>
      </c>
      <c r="C500" t="inlineStr">
        <is>
          <t>Raquete de badminton iniciante rosa</t>
        </is>
      </c>
      <c r="D500" s="10">
        <f>ROUND(D500*(1+(E500/100)),2)</f>
        <v/>
      </c>
      <c r="E500" s="8" t="n">
        <v>15</v>
      </c>
    </row>
    <row r="501">
      <c r="A501" s="8" t="n">
        <v>500</v>
      </c>
      <c r="B501" s="8" t="inlineStr">
        <is>
          <t>Produto</t>
        </is>
      </c>
      <c r="C501" t="inlineStr">
        <is>
          <t>Bolsa de academia recreativo azul</t>
        </is>
      </c>
      <c r="D501" s="10">
        <f>ROUND(D501*(1+(E501/100)),2)</f>
        <v/>
      </c>
      <c r="E501" s="8" t="n">
        <v>15</v>
      </c>
    </row>
    <row r="502">
      <c r="A502" s="8" t="n">
        <v>501</v>
      </c>
      <c r="B502" s="8" t="inlineStr">
        <is>
          <t>Produto</t>
        </is>
      </c>
      <c r="C502" t="inlineStr">
        <is>
          <t>Bicicleta urbana ventilado laranja</t>
        </is>
      </c>
      <c r="D502" s="10">
        <f>ROUND(D502*(1+(E502/100)),2)</f>
        <v/>
      </c>
      <c r="E502" s="8" t="n">
        <v>15</v>
      </c>
    </row>
    <row r="503">
      <c r="A503" s="8" t="n">
        <v>502</v>
      </c>
      <c r="B503" s="8" t="inlineStr">
        <is>
          <t>Produto</t>
        </is>
      </c>
      <c r="C503" t="inlineStr">
        <is>
          <t>Raquete de badminton ventilado azul</t>
        </is>
      </c>
      <c r="D503" s="10">
        <f>ROUND(D503*(1+(E503/100)),2)</f>
        <v/>
      </c>
      <c r="E503" s="8" t="n">
        <v>15</v>
      </c>
    </row>
    <row r="504">
      <c r="A504" s="8" t="n">
        <v>503</v>
      </c>
      <c r="B504" s="8" t="inlineStr">
        <is>
          <t>Produto</t>
        </is>
      </c>
      <c r="C504" t="inlineStr">
        <is>
          <t>Halter adulto cinza</t>
        </is>
      </c>
      <c r="D504" s="10">
        <f>ROUND(D504*(1+(E504/100)),2)</f>
        <v/>
      </c>
      <c r="E504" s="8" t="n">
        <v>15</v>
      </c>
    </row>
    <row r="505">
      <c r="A505" s="8" t="n">
        <v>504</v>
      </c>
      <c r="B505" s="8" t="inlineStr">
        <is>
          <t>Produto</t>
        </is>
      </c>
      <c r="C505" t="inlineStr">
        <is>
          <t>Banco de musculação ventilado verde</t>
        </is>
      </c>
      <c r="D505" s="10">
        <f>ROUND(D505*(1+(E505/100)),2)</f>
        <v/>
      </c>
      <c r="E505" s="8" t="n">
        <v>15</v>
      </c>
    </row>
    <row r="506">
      <c r="A506" s="8" t="n">
        <v>505</v>
      </c>
      <c r="B506" s="8" t="inlineStr">
        <is>
          <t>Produto</t>
        </is>
      </c>
      <c r="C506" t="inlineStr">
        <is>
          <t>Camiseta esportiva leve vermelho tam. 34</t>
        </is>
      </c>
      <c r="D506" s="10">
        <f>ROUND(D506*(1+(E506/100)),2)</f>
        <v/>
      </c>
      <c r="E506" s="8" t="n">
        <v>15</v>
      </c>
    </row>
    <row r="507">
      <c r="A507" s="8" t="n">
        <v>506</v>
      </c>
      <c r="B507" s="8" t="inlineStr">
        <is>
          <t>Produto</t>
        </is>
      </c>
      <c r="C507" t="inlineStr">
        <is>
          <t>Óculos esportivos profissional vermelho</t>
        </is>
      </c>
      <c r="D507" s="10">
        <f>ROUND(D507*(1+(E507/100)),2)</f>
        <v/>
      </c>
      <c r="E507" s="8" t="n">
        <v>15</v>
      </c>
    </row>
    <row r="508">
      <c r="A508" s="8" t="n">
        <v>507</v>
      </c>
      <c r="B508" s="8" t="inlineStr">
        <is>
          <t>Produto</t>
        </is>
      </c>
      <c r="C508" t="inlineStr">
        <is>
          <t>Corda de pular ergonômico azul</t>
        </is>
      </c>
      <c r="D508" s="10">
        <f>ROUND(D508*(1+(E508/100)),2)</f>
        <v/>
      </c>
      <c r="E508" s="8" t="n">
        <v>15</v>
      </c>
    </row>
    <row r="509">
      <c r="A509" s="8" t="n">
        <v>508</v>
      </c>
      <c r="B509" s="8" t="inlineStr">
        <is>
          <t>Produto</t>
        </is>
      </c>
      <c r="C509" t="inlineStr">
        <is>
          <t>Meias esportivas versão 2026 verde tam. 40</t>
        </is>
      </c>
      <c r="D509" s="10">
        <f>ROUND(D509*(1+(E509/100)),2)</f>
        <v/>
      </c>
      <c r="E509" s="8" t="n">
        <v>15</v>
      </c>
    </row>
    <row r="510">
      <c r="A510" s="8" t="n">
        <v>509</v>
      </c>
      <c r="B510" s="8" t="inlineStr">
        <is>
          <t>Produto</t>
        </is>
      </c>
      <c r="C510" t="inlineStr">
        <is>
          <t>Coqueteleira para uso diário branco</t>
        </is>
      </c>
      <c r="D510" s="10">
        <f>ROUND(D510*(1+(E510/100)),2)</f>
        <v/>
      </c>
      <c r="E510" s="8" t="n">
        <v>15</v>
      </c>
    </row>
    <row r="511">
      <c r="A511" s="8" t="n">
        <v>510</v>
      </c>
      <c r="B511" s="8" t="inlineStr">
        <is>
          <t>Produto</t>
        </is>
      </c>
      <c r="C511" t="inlineStr">
        <is>
          <t>Bloco para yoga com ajuste branco</t>
        </is>
      </c>
      <c r="D511" s="10">
        <f>ROUND(D511*(1+(E511/100)),2)</f>
        <v/>
      </c>
      <c r="E511" s="8" t="n">
        <v>15</v>
      </c>
    </row>
    <row r="512">
      <c r="A512" s="8" t="n">
        <v>511</v>
      </c>
      <c r="B512" s="8" t="inlineStr">
        <is>
          <t>Produto</t>
        </is>
      </c>
      <c r="C512" t="inlineStr">
        <is>
          <t>Óculos de natação recreativo cinza</t>
        </is>
      </c>
      <c r="D512" s="10">
        <f>ROUND(D512*(1+(E512/100)),2)</f>
        <v/>
      </c>
      <c r="E512" s="8" t="n">
        <v>15</v>
      </c>
    </row>
    <row r="513">
      <c r="A513" s="8" t="n">
        <v>512</v>
      </c>
      <c r="B513" s="8" t="inlineStr">
        <is>
          <t>Produto</t>
        </is>
      </c>
      <c r="C513" t="inlineStr">
        <is>
          <t>Skate ergonômico branco</t>
        </is>
      </c>
      <c r="D513" s="10">
        <f>ROUND(D513*(1+(E513/100)),2)</f>
        <v/>
      </c>
      <c r="E513" s="8" t="n">
        <v>15</v>
      </c>
    </row>
    <row r="514">
      <c r="A514" s="8" t="n">
        <v>513</v>
      </c>
      <c r="B514" s="8" t="inlineStr">
        <is>
          <t>Produto</t>
        </is>
      </c>
      <c r="C514" t="inlineStr">
        <is>
          <t>Elástico de resistência iniciante rosa</t>
        </is>
      </c>
      <c r="D514" s="10">
        <f>ROUND(D514*(1+(E514/100)),2)</f>
        <v/>
      </c>
      <c r="E514" s="8" t="n">
        <v>15</v>
      </c>
    </row>
    <row r="515">
      <c r="A515" s="8" t="n">
        <v>514</v>
      </c>
      <c r="B515" s="8" t="inlineStr">
        <is>
          <t>Produto</t>
        </is>
      </c>
      <c r="C515" t="inlineStr">
        <is>
          <t>Meias esportivas para uso diário cinza tam. 38</t>
        </is>
      </c>
      <c r="D515" s="10">
        <f>ROUND(D515*(1+(E515/100)),2)</f>
        <v/>
      </c>
      <c r="E515" s="8" t="n">
        <v>15</v>
      </c>
    </row>
    <row r="516">
      <c r="A516" s="8" t="n">
        <v>515</v>
      </c>
      <c r="B516" s="8" t="inlineStr">
        <is>
          <t>Produto</t>
        </is>
      </c>
      <c r="C516" t="inlineStr">
        <is>
          <t>Protetor bucal unissex vermelho</t>
        </is>
      </c>
      <c r="D516" s="10">
        <f>ROUND(D516*(1+(E516/100)),2)</f>
        <v/>
      </c>
      <c r="E516" s="8" t="n">
        <v>15</v>
      </c>
    </row>
    <row r="517">
      <c r="A517" s="8" t="n">
        <v>516</v>
      </c>
      <c r="B517" s="8" t="inlineStr">
        <is>
          <t>Produto</t>
        </is>
      </c>
      <c r="C517" t="inlineStr">
        <is>
          <t>Luva de goleiro com ajuste verde tam. 40</t>
        </is>
      </c>
      <c r="D517" s="10">
        <f>ROUND(D517*(1+(E517/100)),2)</f>
        <v/>
      </c>
      <c r="E517" s="8" t="n">
        <v>15</v>
      </c>
    </row>
    <row r="518">
      <c r="A518" s="8" t="n">
        <v>517</v>
      </c>
      <c r="B518" s="8" t="inlineStr">
        <is>
          <t>Produto</t>
        </is>
      </c>
      <c r="C518" t="inlineStr">
        <is>
          <t>Skate alta performance rosa</t>
        </is>
      </c>
      <c r="D518" s="10">
        <f>ROUND(D518*(1+(E518/100)),2)</f>
        <v/>
      </c>
      <c r="E518" s="8" t="n">
        <v>15</v>
      </c>
    </row>
    <row r="519">
      <c r="A519" s="8" t="n">
        <v>518</v>
      </c>
      <c r="B519" s="8" t="inlineStr">
        <is>
          <t>Produto</t>
        </is>
      </c>
      <c r="C519" t="inlineStr">
        <is>
          <t>Coqueteleira premium vermelho</t>
        </is>
      </c>
      <c r="D519" s="10">
        <f>ROUND(D519*(1+(E519/100)),2)</f>
        <v/>
      </c>
      <c r="E519" s="8" t="n">
        <v>15</v>
      </c>
    </row>
    <row r="520">
      <c r="A520" s="8" t="n">
        <v>519</v>
      </c>
      <c r="B520" s="8" t="inlineStr">
        <is>
          <t>Produto</t>
        </is>
      </c>
      <c r="C520" t="inlineStr">
        <is>
          <t>Bloco para yoga com ajuste rosa</t>
        </is>
      </c>
      <c r="D520" s="10">
        <f>ROUND(D520*(1+(E520/100)),2)</f>
        <v/>
      </c>
      <c r="E520" s="8" t="n">
        <v>15</v>
      </c>
    </row>
    <row r="521">
      <c r="A521" s="8" t="n">
        <v>520</v>
      </c>
      <c r="B521" s="8" t="inlineStr">
        <is>
          <t>Produto</t>
        </is>
      </c>
      <c r="C521" t="inlineStr">
        <is>
          <t>Caneleira de futebol alta performance preto</t>
        </is>
      </c>
      <c r="D521" s="10">
        <f>ROUND(D521*(1+(E521/100)),2)</f>
        <v/>
      </c>
      <c r="E521" s="8" t="n">
        <v>15</v>
      </c>
    </row>
    <row r="522">
      <c r="A522" s="8" t="n">
        <v>521</v>
      </c>
      <c r="B522" s="8" t="inlineStr">
        <is>
          <t>Produto</t>
        </is>
      </c>
      <c r="C522" t="inlineStr">
        <is>
          <t>Tapete de yoga versão 2026 azul</t>
        </is>
      </c>
      <c r="D522" s="10">
        <f>ROUND(D522*(1+(E522/100)),2)</f>
        <v/>
      </c>
      <c r="E522" s="8" t="n">
        <v>15</v>
      </c>
    </row>
    <row r="523">
      <c r="A523" s="8" t="n">
        <v>522</v>
      </c>
      <c r="B523" s="8" t="inlineStr">
        <is>
          <t>Produto</t>
        </is>
      </c>
      <c r="C523" t="inlineStr">
        <is>
          <t>Meias esportivas leve preto tam. 44</t>
        </is>
      </c>
      <c r="D523" s="10">
        <f>ROUND(D523*(1+(E523/100)),2)</f>
        <v/>
      </c>
      <c r="E523" s="8" t="n">
        <v>15</v>
      </c>
    </row>
    <row r="524">
      <c r="A524" s="8" t="n">
        <v>523</v>
      </c>
      <c r="B524" s="8" t="inlineStr">
        <is>
          <t>Produto</t>
        </is>
      </c>
      <c r="C524" t="inlineStr">
        <is>
          <t>Nadadeira modelo básico laranja</t>
        </is>
      </c>
      <c r="D524" s="10">
        <f>ROUND(D524*(1+(E524/100)),2)</f>
        <v/>
      </c>
      <c r="E524" s="8" t="n">
        <v>15</v>
      </c>
    </row>
    <row r="525">
      <c r="A525" s="8" t="n">
        <v>524</v>
      </c>
      <c r="B525" s="8" t="inlineStr">
        <is>
          <t>Produto</t>
        </is>
      </c>
      <c r="C525" t="inlineStr">
        <is>
          <t>Tênis de corrida compacto verde tam. 40</t>
        </is>
      </c>
      <c r="D525" s="10">
        <f>ROUND(D525*(1+(E525/100)),2)</f>
        <v/>
      </c>
      <c r="E525" s="8" t="n">
        <v>15</v>
      </c>
    </row>
    <row r="526">
      <c r="A526" s="8" t="n">
        <v>525</v>
      </c>
      <c r="B526" s="8" t="inlineStr">
        <is>
          <t>Produto</t>
        </is>
      </c>
      <c r="C526" t="inlineStr">
        <is>
          <t>Capacete de ciclismo resistente vermelho</t>
        </is>
      </c>
      <c r="D526" s="10">
        <f>ROUND(D526*(1+(E526/100)),2)</f>
        <v/>
      </c>
      <c r="E526" s="8" t="n">
        <v>15</v>
      </c>
    </row>
    <row r="527">
      <c r="A527" s="8" t="n">
        <v>526</v>
      </c>
      <c r="B527" s="8" t="inlineStr">
        <is>
          <t>Produto</t>
        </is>
      </c>
      <c r="C527" t="inlineStr">
        <is>
          <t>Bola de basquete treino cinza</t>
        </is>
      </c>
      <c r="D527" s="10">
        <f>ROUND(D527*(1+(E527/100)),2)</f>
        <v/>
      </c>
      <c r="E527" s="8" t="n">
        <v>15</v>
      </c>
    </row>
    <row r="528">
      <c r="A528" s="8" t="n">
        <v>527</v>
      </c>
      <c r="B528" s="8" t="inlineStr">
        <is>
          <t>Produto</t>
        </is>
      </c>
      <c r="C528" t="inlineStr">
        <is>
          <t>Raquete de badminton recreativo branco</t>
        </is>
      </c>
      <c r="D528" s="10">
        <f>ROUND(D528*(1+(E528/100)),2)</f>
        <v/>
      </c>
      <c r="E528" s="8" t="n">
        <v>15</v>
      </c>
    </row>
    <row r="529">
      <c r="A529" s="8" t="n">
        <v>528</v>
      </c>
      <c r="B529" s="8" t="inlineStr">
        <is>
          <t>Produto</t>
        </is>
      </c>
      <c r="C529" t="inlineStr">
        <is>
          <t>Capacete de ciclismo resistente rosa</t>
        </is>
      </c>
      <c r="D529" s="10">
        <f>ROUND(D529*(1+(E529/100)),2)</f>
        <v/>
      </c>
      <c r="E529" s="8" t="n">
        <v>15</v>
      </c>
    </row>
    <row r="530">
      <c r="A530" s="8" t="n">
        <v>529</v>
      </c>
      <c r="B530" s="8" t="inlineStr">
        <is>
          <t>Produto</t>
        </is>
      </c>
      <c r="C530" t="inlineStr">
        <is>
          <t>Tênis de corrida com ajuste branco tam. M</t>
        </is>
      </c>
      <c r="D530" s="10">
        <f>ROUND(D530*(1+(E530/100)),2)</f>
        <v/>
      </c>
      <c r="E530" s="8" t="n">
        <v>15</v>
      </c>
    </row>
    <row r="531">
      <c r="A531" s="8" t="n">
        <v>530</v>
      </c>
      <c r="B531" s="8" t="inlineStr">
        <is>
          <t>Produto</t>
        </is>
      </c>
      <c r="C531" t="inlineStr">
        <is>
          <t>Patins adulto branco</t>
        </is>
      </c>
      <c r="D531" s="10">
        <f>ROUND(D531*(1+(E531/100)),2)</f>
        <v/>
      </c>
      <c r="E531" s="8" t="n">
        <v>15</v>
      </c>
    </row>
    <row r="532">
      <c r="A532" s="8" t="n">
        <v>531</v>
      </c>
      <c r="B532" s="8" t="inlineStr">
        <is>
          <t>Produto</t>
        </is>
      </c>
      <c r="C532" t="inlineStr">
        <is>
          <t>Nadadeira compacto vermelho</t>
        </is>
      </c>
      <c r="D532" s="10">
        <f>ROUND(D532*(1+(E532/100)),2)</f>
        <v/>
      </c>
      <c r="E532" s="8" t="n">
        <v>15</v>
      </c>
    </row>
    <row r="533">
      <c r="A533" s="8" t="n">
        <v>532</v>
      </c>
      <c r="B533" s="8" t="inlineStr">
        <is>
          <t>Produto</t>
        </is>
      </c>
      <c r="C533" t="inlineStr">
        <is>
          <t>Kettlebell alta performance rosa</t>
        </is>
      </c>
      <c r="D533" s="10">
        <f>ROUND(D533*(1+(E533/100)),2)</f>
        <v/>
      </c>
      <c r="E533" s="8" t="n">
        <v>15</v>
      </c>
    </row>
    <row r="534">
      <c r="A534" s="8" t="n">
        <v>533</v>
      </c>
      <c r="B534" s="8" t="inlineStr">
        <is>
          <t>Produto</t>
        </is>
      </c>
      <c r="C534" t="inlineStr">
        <is>
          <t>Elástico de resistência leve laranja</t>
        </is>
      </c>
      <c r="D534" s="10">
        <f>ROUND(D534*(1+(E534/100)),2)</f>
        <v/>
      </c>
      <c r="E534" s="8" t="n">
        <v>15</v>
      </c>
    </row>
    <row r="535">
      <c r="A535" s="8" t="n">
        <v>534</v>
      </c>
      <c r="B535" s="8" t="inlineStr">
        <is>
          <t>Produto</t>
        </is>
      </c>
      <c r="C535" t="inlineStr">
        <is>
          <t>Bola de pilates reforçado rosa</t>
        </is>
      </c>
      <c r="D535" s="10">
        <f>ROUND(D535*(1+(E535/100)),2)</f>
        <v/>
      </c>
      <c r="E535" s="8" t="n">
        <v>15</v>
      </c>
    </row>
    <row r="536">
      <c r="A536" s="8" t="n">
        <v>535</v>
      </c>
      <c r="B536" s="8" t="inlineStr">
        <is>
          <t>Produto</t>
        </is>
      </c>
      <c r="C536" t="inlineStr">
        <is>
          <t>Bloco para yoga reforçado verde</t>
        </is>
      </c>
      <c r="D536" s="10">
        <f>ROUND(D536*(1+(E536/100)),2)</f>
        <v/>
      </c>
      <c r="E536" s="8" t="n">
        <v>15</v>
      </c>
    </row>
    <row r="537">
      <c r="A537" s="8" t="n">
        <v>536</v>
      </c>
      <c r="B537" s="8" t="inlineStr">
        <is>
          <t>Produto</t>
        </is>
      </c>
      <c r="C537" t="inlineStr">
        <is>
          <t>Patins unissex azul</t>
        </is>
      </c>
      <c r="D537" s="10">
        <f>ROUND(D537*(1+(E537/100)),2)</f>
        <v/>
      </c>
      <c r="E537" s="8" t="n">
        <v>15</v>
      </c>
    </row>
    <row r="538">
      <c r="A538" s="8" t="n">
        <v>537</v>
      </c>
      <c r="B538" s="8" t="inlineStr">
        <is>
          <t>Produto</t>
        </is>
      </c>
      <c r="C538" t="inlineStr">
        <is>
          <t>Caneleira de futebol modelo avançado branco</t>
        </is>
      </c>
      <c r="D538" s="10">
        <f>ROUND(D538*(1+(E538/100)),2)</f>
        <v/>
      </c>
      <c r="E538" s="8" t="n">
        <v>15</v>
      </c>
    </row>
    <row r="539">
      <c r="A539" s="8" t="n">
        <v>538</v>
      </c>
      <c r="B539" s="8" t="inlineStr">
        <is>
          <t>Produto</t>
        </is>
      </c>
      <c r="C539" t="inlineStr">
        <is>
          <t>Tênis para quadra ergonômico branco tam. 44</t>
        </is>
      </c>
      <c r="D539" s="10">
        <f>ROUND(D539*(1+(E539/100)),2)</f>
        <v/>
      </c>
      <c r="E539" s="8" t="n">
        <v>15</v>
      </c>
    </row>
    <row r="540">
      <c r="A540" s="8" t="n">
        <v>539</v>
      </c>
      <c r="B540" s="8" t="inlineStr">
        <is>
          <t>Produto</t>
        </is>
      </c>
      <c r="C540" t="inlineStr">
        <is>
          <t>Elástico de resistência treino branco</t>
        </is>
      </c>
      <c r="D540" s="10">
        <f>ROUND(D540*(1+(E540/100)),2)</f>
        <v/>
      </c>
      <c r="E540" s="8" t="n">
        <v>15</v>
      </c>
    </row>
    <row r="541">
      <c r="A541" s="8" t="n">
        <v>540</v>
      </c>
      <c r="B541" s="8" t="inlineStr">
        <is>
          <t>Produto</t>
        </is>
      </c>
      <c r="C541" t="inlineStr">
        <is>
          <t>Capacete de ciclismo leve cinza</t>
        </is>
      </c>
      <c r="D541" s="10">
        <f>ROUND(D541*(1+(E541/100)),2)</f>
        <v/>
      </c>
      <c r="E541" s="8" t="n">
        <v>15</v>
      </c>
    </row>
    <row r="542">
      <c r="A542" s="8" t="n">
        <v>541</v>
      </c>
      <c r="B542" s="8" t="inlineStr">
        <is>
          <t>Produto</t>
        </is>
      </c>
      <c r="C542" t="inlineStr">
        <is>
          <t>Luva de boxe recreativo branco tam. M</t>
        </is>
      </c>
      <c r="D542" s="10">
        <f>ROUND(D542*(1+(E542/100)),2)</f>
        <v/>
      </c>
      <c r="E542" s="8" t="n">
        <v>15</v>
      </c>
    </row>
    <row r="543">
      <c r="A543" s="8" t="n">
        <v>542</v>
      </c>
      <c r="B543" s="8" t="inlineStr">
        <is>
          <t>Produto</t>
        </is>
      </c>
      <c r="C543" t="inlineStr">
        <is>
          <t>Tênis para quadra modelo avançado vermelho tam. 42</t>
        </is>
      </c>
      <c r="D543" s="10">
        <f>ROUND(D543*(1+(E543/100)),2)</f>
        <v/>
      </c>
      <c r="E543" s="8" t="n">
        <v>15</v>
      </c>
    </row>
    <row r="544">
      <c r="A544" s="8" t="n">
        <v>543</v>
      </c>
      <c r="B544" s="8" t="inlineStr">
        <is>
          <t>Produto</t>
        </is>
      </c>
      <c r="C544" t="inlineStr">
        <is>
          <t>Saco de pancadas unissex laranja</t>
        </is>
      </c>
      <c r="D544" s="10">
        <f>ROUND(D544*(1+(E544/100)),2)</f>
        <v/>
      </c>
      <c r="E544" s="8" t="n">
        <v>15</v>
      </c>
    </row>
    <row r="545">
      <c r="A545" s="8" t="n">
        <v>544</v>
      </c>
      <c r="B545" s="8" t="inlineStr">
        <is>
          <t>Produto</t>
        </is>
      </c>
      <c r="C545" t="inlineStr">
        <is>
          <t>Óculos esportivos leve vermelho</t>
        </is>
      </c>
      <c r="D545" s="10">
        <f>ROUND(D545*(1+(E545/100)),2)</f>
        <v/>
      </c>
      <c r="E545" s="8" t="n">
        <v>15</v>
      </c>
    </row>
    <row r="546">
      <c r="A546" s="8" t="n">
        <v>545</v>
      </c>
      <c r="B546" s="8" t="inlineStr">
        <is>
          <t>Produto</t>
        </is>
      </c>
      <c r="C546" t="inlineStr">
        <is>
          <t>Chuteira de campo modelo básico rosa tam. 44</t>
        </is>
      </c>
      <c r="D546" s="10">
        <f>ROUND(D546*(1+(E546/100)),2)</f>
        <v/>
      </c>
      <c r="E546" s="8" t="n">
        <v>15</v>
      </c>
    </row>
    <row r="547">
      <c r="A547" s="8" t="n">
        <v>546</v>
      </c>
      <c r="B547" s="8" t="inlineStr">
        <is>
          <t>Produto</t>
        </is>
      </c>
      <c r="C547" t="inlineStr">
        <is>
          <t>Colchonete de exercício ergonômico vermelho</t>
        </is>
      </c>
      <c r="D547" s="10">
        <f>ROUND(D547*(1+(E547/100)),2)</f>
        <v/>
      </c>
      <c r="E547" s="8" t="n">
        <v>15</v>
      </c>
    </row>
    <row r="548">
      <c r="A548" s="8" t="n">
        <v>547</v>
      </c>
      <c r="B548" s="8" t="inlineStr">
        <is>
          <t>Produto</t>
        </is>
      </c>
      <c r="C548" t="inlineStr">
        <is>
          <t>Bloco para yoga resistente rosa</t>
        </is>
      </c>
      <c r="D548" s="10">
        <f>ROUND(D548*(1+(E548/100)),2)</f>
        <v/>
      </c>
      <c r="E548" s="8" t="n">
        <v>15</v>
      </c>
    </row>
    <row r="549">
      <c r="A549" s="8" t="n">
        <v>548</v>
      </c>
      <c r="B549" s="8" t="inlineStr">
        <is>
          <t>Produto</t>
        </is>
      </c>
      <c r="C549" t="inlineStr">
        <is>
          <t>Óculos esportivos com ajuste rosa</t>
        </is>
      </c>
      <c r="D549" s="10">
        <f>ROUND(D549*(1+(E549/100)),2)</f>
        <v/>
      </c>
      <c r="E549" s="8" t="n">
        <v>15</v>
      </c>
    </row>
    <row r="550">
      <c r="A550" s="8" t="n">
        <v>549</v>
      </c>
      <c r="B550" s="8" t="inlineStr">
        <is>
          <t>Produto</t>
        </is>
      </c>
      <c r="C550" t="inlineStr">
        <is>
          <t>Protetor bucal compacto cinza</t>
        </is>
      </c>
      <c r="D550" s="10">
        <f>ROUND(D550*(1+(E550/100)),2)</f>
        <v/>
      </c>
      <c r="E550" s="8" t="n">
        <v>15</v>
      </c>
    </row>
    <row r="551">
      <c r="A551" s="8" t="n">
        <v>550</v>
      </c>
      <c r="B551" s="8" t="inlineStr">
        <is>
          <t>Produto</t>
        </is>
      </c>
      <c r="C551" t="inlineStr">
        <is>
          <t>Jaqueta esportiva iniciante vermelho tam. 40</t>
        </is>
      </c>
      <c r="D551" s="10">
        <f>ROUND(D551*(1+(E551/100)),2)</f>
        <v/>
      </c>
      <c r="E551" s="8" t="n">
        <v>15</v>
      </c>
    </row>
    <row r="552">
      <c r="A552" s="8" t="n">
        <v>551</v>
      </c>
      <c r="B552" s="8" t="inlineStr">
        <is>
          <t>Produto</t>
        </is>
      </c>
      <c r="C552" t="inlineStr">
        <is>
          <t>Banco de musculação ventilado azul</t>
        </is>
      </c>
      <c r="D552" s="10">
        <f>ROUND(D552*(1+(E552/100)),2)</f>
        <v/>
      </c>
      <c r="E552" s="8" t="n">
        <v>15</v>
      </c>
    </row>
    <row r="553">
      <c r="A553" s="8" t="n">
        <v>552</v>
      </c>
      <c r="B553" s="8" t="inlineStr">
        <is>
          <t>Produto</t>
        </is>
      </c>
      <c r="C553" t="inlineStr">
        <is>
          <t>Bolsa de academia modelo avançado preto</t>
        </is>
      </c>
      <c r="D553" s="10">
        <f>ROUND(D553*(1+(E553/100)),2)</f>
        <v/>
      </c>
      <c r="E553" s="8" t="n">
        <v>15</v>
      </c>
    </row>
    <row r="554">
      <c r="A554" s="8" t="n">
        <v>553</v>
      </c>
      <c r="B554" s="8" t="inlineStr">
        <is>
          <t>Produto</t>
        </is>
      </c>
      <c r="C554" t="inlineStr">
        <is>
          <t>Bicicleta urbana reforçado laranja</t>
        </is>
      </c>
      <c r="D554" s="10">
        <f>ROUND(D554*(1+(E554/100)),2)</f>
        <v/>
      </c>
      <c r="E554" s="8" t="n">
        <v>15</v>
      </c>
    </row>
    <row r="555">
      <c r="A555" s="8" t="n">
        <v>554</v>
      </c>
      <c r="B555" s="8" t="inlineStr">
        <is>
          <t>Produto</t>
        </is>
      </c>
      <c r="C555" t="inlineStr">
        <is>
          <t>Óculos de natação iniciante preto</t>
        </is>
      </c>
      <c r="D555" s="10">
        <f>ROUND(D555*(1+(E555/100)),2)</f>
        <v/>
      </c>
      <c r="E555" s="8" t="n">
        <v>15</v>
      </c>
    </row>
    <row r="556">
      <c r="A556" s="8" t="n">
        <v>555</v>
      </c>
      <c r="B556" s="8" t="inlineStr">
        <is>
          <t>Produto</t>
        </is>
      </c>
      <c r="C556" t="inlineStr">
        <is>
          <t>Colchonete de exercício com ajuste azul</t>
        </is>
      </c>
      <c r="D556" s="10">
        <f>ROUND(D556*(1+(E556/100)),2)</f>
        <v/>
      </c>
      <c r="E556" s="8" t="n">
        <v>15</v>
      </c>
    </row>
    <row r="557">
      <c r="A557" s="8" t="n">
        <v>556</v>
      </c>
      <c r="B557" s="8" t="inlineStr">
        <is>
          <t>Produto</t>
        </is>
      </c>
      <c r="C557" t="inlineStr">
        <is>
          <t>Meias esportivas unissex branco tam. 44</t>
        </is>
      </c>
      <c r="D557" s="10">
        <f>ROUND(D557*(1+(E557/100)),2)</f>
        <v/>
      </c>
      <c r="E557" s="8" t="n">
        <v>15</v>
      </c>
    </row>
    <row r="558">
      <c r="A558" s="8" t="n">
        <v>557</v>
      </c>
      <c r="B558" s="8" t="inlineStr">
        <is>
          <t>Produto</t>
        </is>
      </c>
      <c r="C558" t="inlineStr">
        <is>
          <t>Camiseta esportiva recreativo verde tam. GG</t>
        </is>
      </c>
      <c r="D558" s="10">
        <f>ROUND(D558*(1+(E558/100)),2)</f>
        <v/>
      </c>
      <c r="E558" s="8" t="n">
        <v>15</v>
      </c>
    </row>
    <row r="559">
      <c r="A559" s="8" t="n">
        <v>558</v>
      </c>
      <c r="B559" s="8" t="inlineStr">
        <is>
          <t>Produto</t>
        </is>
      </c>
      <c r="C559" t="inlineStr">
        <is>
          <t>Protetor bucal ventilado cinza</t>
        </is>
      </c>
      <c r="D559" s="10">
        <f>ROUND(D559*(1+(E559/100)),2)</f>
        <v/>
      </c>
      <c r="E559" s="8" t="n">
        <v>15</v>
      </c>
    </row>
    <row r="560">
      <c r="A560" s="8" t="n">
        <v>559</v>
      </c>
      <c r="B560" s="8" t="inlineStr">
        <is>
          <t>Produto</t>
        </is>
      </c>
      <c r="C560" t="inlineStr">
        <is>
          <t>Camiseta esportiva iniciante cinza tam. 44</t>
        </is>
      </c>
      <c r="D560" s="10">
        <f>ROUND(D560*(1+(E560/100)),2)</f>
        <v/>
      </c>
      <c r="E560" s="8" t="n">
        <v>15</v>
      </c>
    </row>
    <row r="561">
      <c r="A561" s="8" t="n">
        <v>560</v>
      </c>
      <c r="B561" s="8" t="inlineStr">
        <is>
          <t>Produto</t>
        </is>
      </c>
      <c r="C561" t="inlineStr">
        <is>
          <t>Relógio esportivo recreativo laranja</t>
        </is>
      </c>
      <c r="D561" s="10">
        <f>ROUND(D561*(1+(E561/100)),2)</f>
        <v/>
      </c>
      <c r="E561" s="8" t="n">
        <v>15</v>
      </c>
    </row>
    <row r="562">
      <c r="A562" s="8" t="n">
        <v>561</v>
      </c>
      <c r="B562" s="8" t="inlineStr">
        <is>
          <t>Produto</t>
        </is>
      </c>
      <c r="C562" t="inlineStr">
        <is>
          <t>Bolsa de academia recreativo verde</t>
        </is>
      </c>
      <c r="D562" s="10">
        <f>ROUND(D562*(1+(E562/100)),2)</f>
        <v/>
      </c>
      <c r="E562" s="8" t="n">
        <v>15</v>
      </c>
    </row>
    <row r="563">
      <c r="A563" s="8" t="n">
        <v>562</v>
      </c>
      <c r="B563" s="8" t="inlineStr">
        <is>
          <t>Produto</t>
        </is>
      </c>
      <c r="C563" t="inlineStr">
        <is>
          <t>Halter para uso diário rosa</t>
        </is>
      </c>
      <c r="D563" s="10">
        <f>ROUND(D563*(1+(E563/100)),2)</f>
        <v/>
      </c>
      <c r="E563" s="8" t="n">
        <v>15</v>
      </c>
    </row>
    <row r="564">
      <c r="A564" s="8" t="n">
        <v>563</v>
      </c>
      <c r="B564" s="8" t="inlineStr">
        <is>
          <t>Produto</t>
        </is>
      </c>
      <c r="C564" t="inlineStr">
        <is>
          <t>Touca de natação alta performance laranja tam. 40</t>
        </is>
      </c>
      <c r="D564" s="10">
        <f>ROUND(D564*(1+(E564/100)),2)</f>
        <v/>
      </c>
      <c r="E564" s="8" t="n">
        <v>15</v>
      </c>
    </row>
    <row r="565">
      <c r="A565" s="8" t="n">
        <v>564</v>
      </c>
      <c r="B565" s="8" t="inlineStr">
        <is>
          <t>Produto</t>
        </is>
      </c>
      <c r="C565" t="inlineStr">
        <is>
          <t>Banco de musculação para uso diário cinza</t>
        </is>
      </c>
      <c r="D565" s="10">
        <f>ROUND(D565*(1+(E565/100)),2)</f>
        <v/>
      </c>
      <c r="E565" s="8" t="n">
        <v>15</v>
      </c>
    </row>
    <row r="566">
      <c r="A566" s="8" t="n">
        <v>565</v>
      </c>
      <c r="B566" s="8" t="inlineStr">
        <is>
          <t>Produto</t>
        </is>
      </c>
      <c r="C566" t="inlineStr">
        <is>
          <t>Tapete de yoga ergonômico branco</t>
        </is>
      </c>
      <c r="D566" s="10">
        <f>ROUND(D566*(1+(E566/100)),2)</f>
        <v/>
      </c>
      <c r="E566" s="8" t="n">
        <v>15</v>
      </c>
    </row>
    <row r="567">
      <c r="A567" s="8" t="n">
        <v>566</v>
      </c>
      <c r="B567" s="8" t="inlineStr">
        <is>
          <t>Produto</t>
        </is>
      </c>
      <c r="C567" t="inlineStr">
        <is>
          <t>Banco de musculação com ajuste branco</t>
        </is>
      </c>
      <c r="D567" s="10">
        <f>ROUND(D567*(1+(E567/100)),2)</f>
        <v/>
      </c>
      <c r="E567" s="8" t="n">
        <v>15</v>
      </c>
    </row>
    <row r="568">
      <c r="A568" s="8" t="n">
        <v>567</v>
      </c>
      <c r="B568" s="8" t="inlineStr">
        <is>
          <t>Produto</t>
        </is>
      </c>
      <c r="C568" t="inlineStr">
        <is>
          <t>Caneleira de futebol reforçado laranja</t>
        </is>
      </c>
      <c r="D568" s="10">
        <f>ROUND(D568*(1+(E568/100)),2)</f>
        <v/>
      </c>
      <c r="E568" s="8" t="n">
        <v>15</v>
      </c>
    </row>
    <row r="569">
      <c r="A569" s="8" t="n">
        <v>568</v>
      </c>
      <c r="B569" s="8" t="inlineStr">
        <is>
          <t>Produto</t>
        </is>
      </c>
      <c r="C569" t="inlineStr">
        <is>
          <t>Óculos esportivos modelo básico cinza</t>
        </is>
      </c>
      <c r="D569" s="10">
        <f>ROUND(D569*(1+(E569/100)),2)</f>
        <v/>
      </c>
      <c r="E569" s="8" t="n">
        <v>15</v>
      </c>
    </row>
    <row r="570">
      <c r="A570" s="8" t="n">
        <v>569</v>
      </c>
      <c r="B570" s="8" t="inlineStr">
        <is>
          <t>Produto</t>
        </is>
      </c>
      <c r="C570" t="inlineStr">
        <is>
          <t>Protetor bucal unissex rosa</t>
        </is>
      </c>
      <c r="D570" s="10">
        <f>ROUND(D570*(1+(E570/100)),2)</f>
        <v/>
      </c>
      <c r="E570" s="8" t="n">
        <v>15</v>
      </c>
    </row>
    <row r="571">
      <c r="A571" s="8" t="n">
        <v>570</v>
      </c>
      <c r="B571" s="8" t="inlineStr">
        <is>
          <t>Produto</t>
        </is>
      </c>
      <c r="C571" t="inlineStr">
        <is>
          <t>Nadadeira juvenil azul</t>
        </is>
      </c>
      <c r="D571" s="10">
        <f>ROUND(D571*(1+(E571/100)),2)</f>
        <v/>
      </c>
      <c r="E571" s="8" t="n">
        <v>15</v>
      </c>
    </row>
    <row r="572">
      <c r="A572" s="8" t="n">
        <v>571</v>
      </c>
      <c r="B572" s="8" t="inlineStr">
        <is>
          <t>Produto</t>
        </is>
      </c>
      <c r="C572" t="inlineStr">
        <is>
          <t>Capacete de ciclismo treino vermelho</t>
        </is>
      </c>
      <c r="D572" s="10">
        <f>ROUND(D572*(1+(E572/100)),2)</f>
        <v/>
      </c>
      <c r="E572" s="8" t="n">
        <v>15</v>
      </c>
    </row>
    <row r="573">
      <c r="A573" s="8" t="n">
        <v>572</v>
      </c>
      <c r="B573" s="8" t="inlineStr">
        <is>
          <t>Produto</t>
        </is>
      </c>
      <c r="C573" t="inlineStr">
        <is>
          <t>Bola de futebol reforçado vermelho</t>
        </is>
      </c>
      <c r="D573" s="10">
        <f>ROUND(D573*(1+(E573/100)),2)</f>
        <v/>
      </c>
      <c r="E573" s="8" t="n">
        <v>15</v>
      </c>
    </row>
    <row r="574">
      <c r="A574" s="8" t="n">
        <v>573</v>
      </c>
      <c r="B574" s="8" t="inlineStr">
        <is>
          <t>Produto</t>
        </is>
      </c>
      <c r="C574" t="inlineStr">
        <is>
          <t>Coqueteleira premium azul</t>
        </is>
      </c>
      <c r="D574" s="10">
        <f>ROUND(D574*(1+(E574/100)),2)</f>
        <v/>
      </c>
      <c r="E574" s="8" t="n">
        <v>15</v>
      </c>
    </row>
    <row r="575">
      <c r="A575" s="8" t="n">
        <v>574</v>
      </c>
      <c r="B575" s="8" t="inlineStr">
        <is>
          <t>Produto</t>
        </is>
      </c>
      <c r="C575" t="inlineStr">
        <is>
          <t>Mochila esportiva modelo avançado vermelho</t>
        </is>
      </c>
      <c r="D575" s="10">
        <f>ROUND(D575*(1+(E575/100)),2)</f>
        <v/>
      </c>
      <c r="E575" s="8" t="n">
        <v>15</v>
      </c>
    </row>
    <row r="576">
      <c r="A576" s="8" t="n">
        <v>575</v>
      </c>
      <c r="B576" s="8" t="inlineStr">
        <is>
          <t>Produto</t>
        </is>
      </c>
      <c r="C576" t="inlineStr">
        <is>
          <t>Touca de natação compacto laranja tam. M</t>
        </is>
      </c>
      <c r="D576" s="10">
        <f>ROUND(D576*(1+(E576/100)),2)</f>
        <v/>
      </c>
      <c r="E576" s="8" t="n">
        <v>15</v>
      </c>
    </row>
    <row r="577">
      <c r="A577" s="8" t="n">
        <v>576</v>
      </c>
      <c r="B577" s="8" t="inlineStr">
        <is>
          <t>Produto</t>
        </is>
      </c>
      <c r="C577" t="inlineStr">
        <is>
          <t>Bola de futebol ergonômico azul</t>
        </is>
      </c>
      <c r="D577" s="10">
        <f>ROUND(D577*(1+(E577/100)),2)</f>
        <v/>
      </c>
      <c r="E577" s="8" t="n">
        <v>15</v>
      </c>
    </row>
    <row r="578">
      <c r="A578" s="8" t="n">
        <v>577</v>
      </c>
      <c r="B578" s="8" t="inlineStr">
        <is>
          <t>Produto</t>
        </is>
      </c>
      <c r="C578" t="inlineStr">
        <is>
          <t>Jaqueta esportiva com ajuste preto tam. P</t>
        </is>
      </c>
      <c r="D578" s="10">
        <f>ROUND(D578*(1+(E578/100)),2)</f>
        <v/>
      </c>
      <c r="E578" s="8" t="n">
        <v>15</v>
      </c>
    </row>
    <row r="579">
      <c r="A579" s="8" t="n">
        <v>578</v>
      </c>
      <c r="B579" s="8" t="inlineStr">
        <is>
          <t>Produto</t>
        </is>
      </c>
      <c r="C579" t="inlineStr">
        <is>
          <t>Tênis para quadra recreativo rosa tam. M</t>
        </is>
      </c>
      <c r="D579" s="10">
        <f>ROUND(D579*(1+(E579/100)),2)</f>
        <v/>
      </c>
      <c r="E579" s="8" t="n">
        <v>15</v>
      </c>
    </row>
    <row r="580">
      <c r="A580" s="8" t="n">
        <v>579</v>
      </c>
      <c r="B580" s="8" t="inlineStr">
        <is>
          <t>Produto</t>
        </is>
      </c>
      <c r="C580" t="inlineStr">
        <is>
          <t>Raquete de badminton treino branco</t>
        </is>
      </c>
      <c r="D580" s="10">
        <f>ROUND(D580*(1+(E580/100)),2)</f>
        <v/>
      </c>
      <c r="E580" s="8" t="n">
        <v>15</v>
      </c>
    </row>
    <row r="581">
      <c r="A581" s="8" t="n">
        <v>580</v>
      </c>
      <c r="B581" s="8" t="inlineStr">
        <is>
          <t>Produto</t>
        </is>
      </c>
      <c r="C581" t="inlineStr">
        <is>
          <t>Coqueteleira para uso diário vermelho</t>
        </is>
      </c>
      <c r="D581" s="10">
        <f>ROUND(D581*(1+(E581/100)),2)</f>
        <v/>
      </c>
      <c r="E581" s="8" t="n">
        <v>15</v>
      </c>
    </row>
    <row r="582">
      <c r="A582" s="8" t="n">
        <v>581</v>
      </c>
      <c r="B582" s="8" t="inlineStr">
        <is>
          <t>Produto</t>
        </is>
      </c>
      <c r="C582" t="inlineStr">
        <is>
          <t>Nadadeira profissional preto</t>
        </is>
      </c>
      <c r="D582" s="10">
        <f>ROUND(D582*(1+(E582/100)),2)</f>
        <v/>
      </c>
      <c r="E582" s="8" t="n">
        <v>15</v>
      </c>
    </row>
    <row r="583">
      <c r="A583" s="8" t="n">
        <v>582</v>
      </c>
      <c r="B583" s="8" t="inlineStr">
        <is>
          <t>Produto</t>
        </is>
      </c>
      <c r="C583" t="inlineStr">
        <is>
          <t>Camiseta esportiva modelo avançado verde tam. G</t>
        </is>
      </c>
      <c r="D583" s="10">
        <f>ROUND(D583*(1+(E583/100)),2)</f>
        <v/>
      </c>
      <c r="E583" s="8" t="n">
        <v>15</v>
      </c>
    </row>
    <row r="584">
      <c r="A584" s="8" t="n">
        <v>583</v>
      </c>
      <c r="B584" s="8" t="inlineStr">
        <is>
          <t>Produto</t>
        </is>
      </c>
      <c r="C584" t="inlineStr">
        <is>
          <t>Kimono de judô reforçado azul tam. M</t>
        </is>
      </c>
      <c r="D584" s="10">
        <f>ROUND(D584*(1+(E584/100)),2)</f>
        <v/>
      </c>
      <c r="E584" s="8" t="n">
        <v>15</v>
      </c>
    </row>
    <row r="585">
      <c r="A585" s="8" t="n">
        <v>584</v>
      </c>
      <c r="B585" s="8" t="inlineStr">
        <is>
          <t>Produto</t>
        </is>
      </c>
      <c r="C585" t="inlineStr">
        <is>
          <t>Tênis para quadra para uso diário branco tam. 38</t>
        </is>
      </c>
      <c r="D585" s="10">
        <f>ROUND(D585*(1+(E585/100)),2)</f>
        <v/>
      </c>
      <c r="E585" s="8" t="n">
        <v>15</v>
      </c>
    </row>
    <row r="586">
      <c r="A586" s="8" t="n">
        <v>585</v>
      </c>
      <c r="B586" s="8" t="inlineStr">
        <is>
          <t>Produto</t>
        </is>
      </c>
      <c r="C586" t="inlineStr">
        <is>
          <t>Chuteira de campo premium azul tam. GG</t>
        </is>
      </c>
      <c r="D586" s="10">
        <f>ROUND(D586*(1+(E586/100)),2)</f>
        <v/>
      </c>
      <c r="E586" s="8" t="n">
        <v>15</v>
      </c>
    </row>
    <row r="587">
      <c r="A587" s="8" t="n">
        <v>586</v>
      </c>
      <c r="B587" s="8" t="inlineStr">
        <is>
          <t>Produto</t>
        </is>
      </c>
      <c r="C587" t="inlineStr">
        <is>
          <t>Saco de pancadas iniciante preto</t>
        </is>
      </c>
      <c r="D587" s="10">
        <f>ROUND(D587*(1+(E587/100)),2)</f>
        <v/>
      </c>
      <c r="E587" s="8" t="n">
        <v>15</v>
      </c>
    </row>
    <row r="588">
      <c r="A588" s="8" t="n">
        <v>587</v>
      </c>
      <c r="B588" s="8" t="inlineStr">
        <is>
          <t>Produto</t>
        </is>
      </c>
      <c r="C588" t="inlineStr">
        <is>
          <t>Prancha de natação reforçado verde</t>
        </is>
      </c>
      <c r="D588" s="10">
        <f>ROUND(D588*(1+(E588/100)),2)</f>
        <v/>
      </c>
      <c r="E588" s="8" t="n">
        <v>15</v>
      </c>
    </row>
    <row r="589">
      <c r="A589" s="8" t="n">
        <v>588</v>
      </c>
      <c r="B589" s="8" t="inlineStr">
        <is>
          <t>Produto</t>
        </is>
      </c>
      <c r="C589" t="inlineStr">
        <is>
          <t>Garrafa squeeze compacto rosa</t>
        </is>
      </c>
      <c r="D589" s="10">
        <f>ROUND(D589*(1+(E589/100)),2)</f>
        <v/>
      </c>
      <c r="E589" s="8" t="n">
        <v>15</v>
      </c>
    </row>
    <row r="590">
      <c r="A590" s="8" t="n">
        <v>589</v>
      </c>
      <c r="B590" s="8" t="inlineStr">
        <is>
          <t>Produto</t>
        </is>
      </c>
      <c r="C590" t="inlineStr">
        <is>
          <t>Meias esportivas versão 2026 azul tam. 42</t>
        </is>
      </c>
      <c r="D590" s="10">
        <f>ROUND(D590*(1+(E590/100)),2)</f>
        <v/>
      </c>
      <c r="E590" s="8" t="n">
        <v>15</v>
      </c>
    </row>
    <row r="591">
      <c r="A591" s="8" t="n">
        <v>590</v>
      </c>
      <c r="B591" s="8" t="inlineStr">
        <is>
          <t>Produto</t>
        </is>
      </c>
      <c r="C591" t="inlineStr">
        <is>
          <t>Bola de futebol modelo básico vermelho</t>
        </is>
      </c>
      <c r="D591" s="10">
        <f>ROUND(D591*(1+(E591/100)),2)</f>
        <v/>
      </c>
      <c r="E591" s="8" t="n">
        <v>15</v>
      </c>
    </row>
    <row r="592">
      <c r="A592" s="8" t="n">
        <v>591</v>
      </c>
      <c r="B592" s="8" t="inlineStr">
        <is>
          <t>Produto</t>
        </is>
      </c>
      <c r="C592" t="inlineStr">
        <is>
          <t>Protetor bucal modelo avançado vermelho</t>
        </is>
      </c>
      <c r="D592" s="10">
        <f>ROUND(D592*(1+(E592/100)),2)</f>
        <v/>
      </c>
      <c r="E592" s="8" t="n">
        <v>15</v>
      </c>
    </row>
    <row r="593">
      <c r="A593" s="8" t="n">
        <v>592</v>
      </c>
      <c r="B593" s="8" t="inlineStr">
        <is>
          <t>Produto</t>
        </is>
      </c>
      <c r="C593" t="inlineStr">
        <is>
          <t>Banco de musculação adulto azul</t>
        </is>
      </c>
      <c r="D593" s="10">
        <f>ROUND(D593*(1+(E593/100)),2)</f>
        <v/>
      </c>
      <c r="E593" s="8" t="n">
        <v>15</v>
      </c>
    </row>
    <row r="594">
      <c r="A594" s="8" t="n">
        <v>593</v>
      </c>
      <c r="B594" s="8" t="inlineStr">
        <is>
          <t>Produto</t>
        </is>
      </c>
      <c r="C594" t="inlineStr">
        <is>
          <t>Calça legging juvenil laranja tam. 42</t>
        </is>
      </c>
      <c r="D594" s="10">
        <f>ROUND(D594*(1+(E594/100)),2)</f>
        <v/>
      </c>
      <c r="E594" s="8" t="n">
        <v>15</v>
      </c>
    </row>
    <row r="595">
      <c r="A595" s="8" t="n">
        <v>594</v>
      </c>
      <c r="B595" s="8" t="inlineStr">
        <is>
          <t>Produto</t>
        </is>
      </c>
      <c r="C595" t="inlineStr">
        <is>
          <t>Patins alta performance laranja</t>
        </is>
      </c>
      <c r="D595" s="10">
        <f>ROUND(D595*(1+(E595/100)),2)</f>
        <v/>
      </c>
      <c r="E595" s="8" t="n">
        <v>15</v>
      </c>
    </row>
    <row r="596">
      <c r="A596" s="8" t="n">
        <v>595</v>
      </c>
      <c r="B596" s="8" t="inlineStr">
        <is>
          <t>Produto</t>
        </is>
      </c>
      <c r="C596" t="inlineStr">
        <is>
          <t>Raquete de badminton ventilado vermelho</t>
        </is>
      </c>
      <c r="D596" s="10">
        <f>ROUND(D596*(1+(E596/100)),2)</f>
        <v/>
      </c>
      <c r="E596" s="8" t="n">
        <v>15</v>
      </c>
    </row>
    <row r="597">
      <c r="A597" s="8" t="n">
        <v>596</v>
      </c>
      <c r="B597" s="8" t="inlineStr">
        <is>
          <t>Produto</t>
        </is>
      </c>
      <c r="C597" t="inlineStr">
        <is>
          <t>Coqueteleira resistente verde</t>
        </is>
      </c>
      <c r="D597" s="10">
        <f>ROUND(D597*(1+(E597/100)),2)</f>
        <v/>
      </c>
      <c r="E597" s="8" t="n">
        <v>15</v>
      </c>
    </row>
    <row r="598">
      <c r="A598" s="8" t="n">
        <v>597</v>
      </c>
      <c r="B598" s="8" t="inlineStr">
        <is>
          <t>Produto</t>
        </is>
      </c>
      <c r="C598" t="inlineStr">
        <is>
          <t>Chuteira society modelo básico laranja tam. 44</t>
        </is>
      </c>
      <c r="D598" s="10">
        <f>ROUND(D598*(1+(E598/100)),2)</f>
        <v/>
      </c>
      <c r="E598" s="8" t="n">
        <v>15</v>
      </c>
    </row>
    <row r="599">
      <c r="A599" s="8" t="n">
        <v>598</v>
      </c>
      <c r="B599" s="8" t="inlineStr">
        <is>
          <t>Produto</t>
        </is>
      </c>
      <c r="C599" t="inlineStr">
        <is>
          <t>Óculos de natação iniciante laranja</t>
        </is>
      </c>
      <c r="D599" s="10">
        <f>ROUND(D599*(1+(E599/100)),2)</f>
        <v/>
      </c>
      <c r="E599" s="8" t="n">
        <v>15</v>
      </c>
    </row>
    <row r="600">
      <c r="A600" s="8" t="n">
        <v>599</v>
      </c>
      <c r="B600" s="8" t="inlineStr">
        <is>
          <t>Produto</t>
        </is>
      </c>
      <c r="C600" t="inlineStr">
        <is>
          <t>Meias esportivas compacto azul tam. 38</t>
        </is>
      </c>
      <c r="D600" s="10">
        <f>ROUND(D600*(1+(E600/100)),2)</f>
        <v/>
      </c>
      <c r="E600" s="8" t="n">
        <v>15</v>
      </c>
    </row>
    <row r="601">
      <c r="A601" s="8" t="n">
        <v>600</v>
      </c>
      <c r="B601" s="8" t="inlineStr">
        <is>
          <t>Produto</t>
        </is>
      </c>
      <c r="C601" t="inlineStr">
        <is>
          <t>Kimono de judô juvenil cinza tam. G</t>
        </is>
      </c>
      <c r="D601" s="10">
        <f>ROUND(D601*(1+(E601/100)),2)</f>
        <v/>
      </c>
      <c r="E601" s="8" t="n">
        <v>15</v>
      </c>
    </row>
    <row r="602">
      <c r="A602" s="8" t="n">
        <v>601</v>
      </c>
      <c r="B602" s="8" t="inlineStr">
        <is>
          <t>Produto</t>
        </is>
      </c>
      <c r="C602" t="inlineStr">
        <is>
          <t>Patins adulto vermelho</t>
        </is>
      </c>
      <c r="D602" s="10">
        <f>ROUND(D602*(1+(E602/100)),2)</f>
        <v/>
      </c>
      <c r="E602" s="8" t="n">
        <v>15</v>
      </c>
    </row>
    <row r="603">
      <c r="A603" s="8" t="n">
        <v>602</v>
      </c>
      <c r="B603" s="8" t="inlineStr">
        <is>
          <t>Produto</t>
        </is>
      </c>
      <c r="C603" t="inlineStr">
        <is>
          <t>Colchonete de exercício resistente cinza</t>
        </is>
      </c>
      <c r="D603" s="10">
        <f>ROUND(D603*(1+(E603/100)),2)</f>
        <v/>
      </c>
      <c r="E603" s="8" t="n">
        <v>15</v>
      </c>
    </row>
    <row r="604">
      <c r="A604" s="8" t="n">
        <v>603</v>
      </c>
      <c r="B604" s="8" t="inlineStr">
        <is>
          <t>Produto</t>
        </is>
      </c>
      <c r="C604" t="inlineStr">
        <is>
          <t>Chuteira de campo treino preto tam. 36</t>
        </is>
      </c>
      <c r="D604" s="10">
        <f>ROUND(D604*(1+(E604/100)),2)</f>
        <v/>
      </c>
      <c r="E604" s="8" t="n">
        <v>15</v>
      </c>
    </row>
    <row r="605">
      <c r="A605" s="8" t="n">
        <v>604</v>
      </c>
      <c r="B605" s="8" t="inlineStr">
        <is>
          <t>Produto</t>
        </is>
      </c>
      <c r="C605" t="inlineStr">
        <is>
          <t>Bolsa de academia profissional cinza</t>
        </is>
      </c>
      <c r="D605" s="10">
        <f>ROUND(D605*(1+(E605/100)),2)</f>
        <v/>
      </c>
      <c r="E605" s="8" t="n">
        <v>15</v>
      </c>
    </row>
    <row r="606">
      <c r="A606" s="8" t="n">
        <v>605</v>
      </c>
      <c r="B606" s="8" t="inlineStr">
        <is>
          <t>Produto</t>
        </is>
      </c>
      <c r="C606" t="inlineStr">
        <is>
          <t>Protetor bucal ergonômico rosa</t>
        </is>
      </c>
      <c r="D606" s="10">
        <f>ROUND(D606*(1+(E606/100)),2)</f>
        <v/>
      </c>
      <c r="E606" s="8" t="n">
        <v>15</v>
      </c>
    </row>
    <row r="607">
      <c r="A607" s="8" t="n">
        <v>606</v>
      </c>
      <c r="B607" s="8" t="inlineStr">
        <is>
          <t>Produto</t>
        </is>
      </c>
      <c r="C607" t="inlineStr">
        <is>
          <t>Raquete de tênis unissex vermelho tam. 36</t>
        </is>
      </c>
      <c r="D607" s="10">
        <f>ROUND(D607*(1+(E607/100)),2)</f>
        <v/>
      </c>
      <c r="E607" s="8" t="n">
        <v>15</v>
      </c>
    </row>
    <row r="608">
      <c r="A608" s="8" t="n">
        <v>607</v>
      </c>
      <c r="B608" s="8" t="inlineStr">
        <is>
          <t>Produto</t>
        </is>
      </c>
      <c r="C608" t="inlineStr">
        <is>
          <t>Banco de musculação unissex azul</t>
        </is>
      </c>
      <c r="D608" s="10">
        <f>ROUND(D608*(1+(E608/100)),2)</f>
        <v/>
      </c>
      <c r="E608" s="8" t="n">
        <v>15</v>
      </c>
    </row>
    <row r="609">
      <c r="A609" s="8" t="n">
        <v>608</v>
      </c>
      <c r="B609" s="8" t="inlineStr">
        <is>
          <t>Produto</t>
        </is>
      </c>
      <c r="C609" t="inlineStr">
        <is>
          <t>Relógio esportivo juvenil preto</t>
        </is>
      </c>
      <c r="D609" s="10">
        <f>ROUND(D609*(1+(E609/100)),2)</f>
        <v/>
      </c>
      <c r="E609" s="8" t="n">
        <v>15</v>
      </c>
    </row>
    <row r="610">
      <c r="A610" s="8" t="n">
        <v>609</v>
      </c>
      <c r="B610" s="8" t="inlineStr">
        <is>
          <t>Produto</t>
        </is>
      </c>
      <c r="C610" t="inlineStr">
        <is>
          <t>Luva de ciclismo para uso diário vermelho tam. G</t>
        </is>
      </c>
      <c r="D610" s="10">
        <f>ROUND(D610*(1+(E610/100)),2)</f>
        <v/>
      </c>
      <c r="E610" s="8" t="n">
        <v>15</v>
      </c>
    </row>
    <row r="611">
      <c r="A611" s="8" t="n">
        <v>610</v>
      </c>
      <c r="B611" s="8" t="inlineStr">
        <is>
          <t>Produto</t>
        </is>
      </c>
      <c r="C611" t="inlineStr">
        <is>
          <t>Bola de vôlei alta performance verde</t>
        </is>
      </c>
      <c r="D611" s="10">
        <f>ROUND(D611*(1+(E611/100)),2)</f>
        <v/>
      </c>
      <c r="E611" s="8" t="n">
        <v>15</v>
      </c>
    </row>
    <row r="612">
      <c r="A612" s="8" t="n">
        <v>611</v>
      </c>
      <c r="B612" s="8" t="inlineStr">
        <is>
          <t>Produto</t>
        </is>
      </c>
      <c r="C612" t="inlineStr">
        <is>
          <t>Corda de pular premium azul</t>
        </is>
      </c>
      <c r="D612" s="10">
        <f>ROUND(D612*(1+(E612/100)),2)</f>
        <v/>
      </c>
      <c r="E612" s="8" t="n">
        <v>15</v>
      </c>
    </row>
    <row r="613">
      <c r="A613" s="8" t="n">
        <v>612</v>
      </c>
      <c r="B613" s="8" t="inlineStr">
        <is>
          <t>Produto</t>
        </is>
      </c>
      <c r="C613" t="inlineStr">
        <is>
          <t>Tênis para quadra juvenil vermelho tam. GG</t>
        </is>
      </c>
      <c r="D613" s="10">
        <f>ROUND(D613*(1+(E613/100)),2)</f>
        <v/>
      </c>
      <c r="E613" s="8" t="n">
        <v>15</v>
      </c>
    </row>
    <row r="614">
      <c r="A614" s="8" t="n">
        <v>613</v>
      </c>
      <c r="B614" s="8" t="inlineStr">
        <is>
          <t>Produto</t>
        </is>
      </c>
      <c r="C614" t="inlineStr">
        <is>
          <t>Bola de vôlei profissional rosa</t>
        </is>
      </c>
      <c r="D614" s="10">
        <f>ROUND(D614*(1+(E614/100)),2)</f>
        <v/>
      </c>
      <c r="E614" s="8" t="n">
        <v>15</v>
      </c>
    </row>
    <row r="615">
      <c r="A615" s="8" t="n">
        <v>614</v>
      </c>
      <c r="B615" s="8" t="inlineStr">
        <is>
          <t>Produto</t>
        </is>
      </c>
      <c r="C615" t="inlineStr">
        <is>
          <t>Banco de musculação modelo básico azul</t>
        </is>
      </c>
      <c r="D615" s="10">
        <f>ROUND(D615*(1+(E615/100)),2)</f>
        <v/>
      </c>
      <c r="E615" s="8" t="n">
        <v>15</v>
      </c>
    </row>
    <row r="616">
      <c r="A616" s="8" t="n">
        <v>615</v>
      </c>
      <c r="B616" s="8" t="inlineStr">
        <is>
          <t>Produto</t>
        </is>
      </c>
      <c r="C616" t="inlineStr">
        <is>
          <t>Bola de futebol reforçado cinza</t>
        </is>
      </c>
      <c r="D616" s="10">
        <f>ROUND(D616*(1+(E616/100)),2)</f>
        <v/>
      </c>
      <c r="E616" s="8" t="n">
        <v>15</v>
      </c>
    </row>
    <row r="617">
      <c r="A617" s="8" t="n">
        <v>616</v>
      </c>
      <c r="B617" s="8" t="inlineStr">
        <is>
          <t>Produto</t>
        </is>
      </c>
      <c r="C617" t="inlineStr">
        <is>
          <t>Coqueteleira compacto rosa</t>
        </is>
      </c>
      <c r="D617" s="10">
        <f>ROUND(D617*(1+(E617/100)),2)</f>
        <v/>
      </c>
      <c r="E617" s="8" t="n">
        <v>15</v>
      </c>
    </row>
    <row r="618">
      <c r="A618" s="8" t="n">
        <v>617</v>
      </c>
      <c r="B618" s="8" t="inlineStr">
        <is>
          <t>Produto</t>
        </is>
      </c>
      <c r="C618" t="inlineStr">
        <is>
          <t>Óculos esportivos ventilado verde</t>
        </is>
      </c>
      <c r="D618" s="10">
        <f>ROUND(D618*(1+(E618/100)),2)</f>
        <v/>
      </c>
      <c r="E618" s="8" t="n">
        <v>15</v>
      </c>
    </row>
    <row r="619">
      <c r="A619" s="8" t="n">
        <v>618</v>
      </c>
      <c r="B619" s="8" t="inlineStr">
        <is>
          <t>Produto</t>
        </is>
      </c>
      <c r="C619" t="inlineStr">
        <is>
          <t>Corda de pular compacto branco</t>
        </is>
      </c>
      <c r="D619" s="10">
        <f>ROUND(D619*(1+(E619/100)),2)</f>
        <v/>
      </c>
      <c r="E619" s="8" t="n">
        <v>15</v>
      </c>
    </row>
    <row r="620">
      <c r="A620" s="8" t="n">
        <v>619</v>
      </c>
      <c r="B620" s="8" t="inlineStr">
        <is>
          <t>Produto</t>
        </is>
      </c>
      <c r="C620" t="inlineStr">
        <is>
          <t>Skate modelo básico preto</t>
        </is>
      </c>
      <c r="D620" s="10">
        <f>ROUND(D620*(1+(E620/100)),2)</f>
        <v/>
      </c>
      <c r="E620" s="8" t="n">
        <v>15</v>
      </c>
    </row>
    <row r="621">
      <c r="A621" s="8" t="n">
        <v>620</v>
      </c>
      <c r="B621" s="8" t="inlineStr">
        <is>
          <t>Produto</t>
        </is>
      </c>
      <c r="C621" t="inlineStr">
        <is>
          <t>Bloco para yoga treino verde</t>
        </is>
      </c>
      <c r="D621" s="10">
        <f>ROUND(D621*(1+(E621/100)),2)</f>
        <v/>
      </c>
      <c r="E621" s="8" t="n">
        <v>15</v>
      </c>
    </row>
    <row r="622">
      <c r="A622" s="8" t="n">
        <v>621</v>
      </c>
      <c r="B622" s="8" t="inlineStr">
        <is>
          <t>Produto</t>
        </is>
      </c>
      <c r="C622" t="inlineStr">
        <is>
          <t>Meias esportivas ergonômico preto tam. G</t>
        </is>
      </c>
      <c r="D622" s="10">
        <f>ROUND(D622*(1+(E622/100)),2)</f>
        <v/>
      </c>
      <c r="E622" s="8" t="n">
        <v>15</v>
      </c>
    </row>
    <row r="623">
      <c r="A623" s="8" t="n">
        <v>622</v>
      </c>
      <c r="B623" s="8" t="inlineStr">
        <is>
          <t>Produto</t>
        </is>
      </c>
      <c r="C623" t="inlineStr">
        <is>
          <t>Raquete de badminton compacto laranja</t>
        </is>
      </c>
      <c r="D623" s="10">
        <f>ROUND(D623*(1+(E623/100)),2)</f>
        <v/>
      </c>
      <c r="E623" s="8" t="n">
        <v>15</v>
      </c>
    </row>
    <row r="624">
      <c r="A624" s="8" t="n">
        <v>623</v>
      </c>
      <c r="B624" s="8" t="inlineStr">
        <is>
          <t>Produto</t>
        </is>
      </c>
      <c r="C624" t="inlineStr">
        <is>
          <t>Tapete de yoga profissional azul</t>
        </is>
      </c>
      <c r="D624" s="10">
        <f>ROUND(D624*(1+(E624/100)),2)</f>
        <v/>
      </c>
      <c r="E624" s="8" t="n">
        <v>15</v>
      </c>
    </row>
    <row r="625">
      <c r="A625" s="8" t="n">
        <v>624</v>
      </c>
      <c r="B625" s="8" t="inlineStr">
        <is>
          <t>Produto</t>
        </is>
      </c>
      <c r="C625" t="inlineStr">
        <is>
          <t>Touca de natação profissional preto tam. 38</t>
        </is>
      </c>
      <c r="D625" s="10">
        <f>ROUND(D625*(1+(E625/100)),2)</f>
        <v/>
      </c>
      <c r="E625" s="8" t="n">
        <v>15</v>
      </c>
    </row>
    <row r="626">
      <c r="A626" s="8" t="n">
        <v>625</v>
      </c>
      <c r="B626" s="8" t="inlineStr">
        <is>
          <t>Produto</t>
        </is>
      </c>
      <c r="C626" t="inlineStr">
        <is>
          <t>Chuteira de campo iniciante cinza tam. 36</t>
        </is>
      </c>
      <c r="D626" s="10">
        <f>ROUND(D626*(1+(E626/100)),2)</f>
        <v/>
      </c>
      <c r="E626" s="8" t="n">
        <v>15</v>
      </c>
    </row>
    <row r="627">
      <c r="A627" s="8" t="n">
        <v>626</v>
      </c>
      <c r="B627" s="8" t="inlineStr">
        <is>
          <t>Produto</t>
        </is>
      </c>
      <c r="C627" t="inlineStr">
        <is>
          <t>Elástico de resistência modelo básico rosa</t>
        </is>
      </c>
      <c r="D627" s="10">
        <f>ROUND(D627*(1+(E627/100)),2)</f>
        <v/>
      </c>
      <c r="E627" s="8" t="n">
        <v>15</v>
      </c>
    </row>
    <row r="628">
      <c r="A628" s="8" t="n">
        <v>627</v>
      </c>
      <c r="B628" s="8" t="inlineStr">
        <is>
          <t>Produto</t>
        </is>
      </c>
      <c r="C628" t="inlineStr">
        <is>
          <t>Raquete de beach tennis recreativo azul</t>
        </is>
      </c>
      <c r="D628" s="10">
        <f>ROUND(D628*(1+(E628/100)),2)</f>
        <v/>
      </c>
      <c r="E628" s="8" t="n">
        <v>15</v>
      </c>
    </row>
    <row r="629">
      <c r="A629" s="8" t="n">
        <v>628</v>
      </c>
      <c r="B629" s="8" t="inlineStr">
        <is>
          <t>Produto</t>
        </is>
      </c>
      <c r="C629" t="inlineStr">
        <is>
          <t>Camiseta esportiva com ajuste branco tam. 38</t>
        </is>
      </c>
      <c r="D629" s="10">
        <f>ROUND(D629*(1+(E629/100)),2)</f>
        <v/>
      </c>
      <c r="E629" s="8" t="n">
        <v>15</v>
      </c>
    </row>
    <row r="630">
      <c r="A630" s="8" t="n">
        <v>629</v>
      </c>
      <c r="B630" s="8" t="inlineStr">
        <is>
          <t>Produto</t>
        </is>
      </c>
      <c r="C630" t="inlineStr">
        <is>
          <t>Colchonete de exercício com ajuste cinza</t>
        </is>
      </c>
      <c r="D630" s="10">
        <f>ROUND(D630*(1+(E630/100)),2)</f>
        <v/>
      </c>
      <c r="E630" s="8" t="n">
        <v>15</v>
      </c>
    </row>
    <row r="631">
      <c r="A631" s="8" t="n">
        <v>630</v>
      </c>
      <c r="B631" s="8" t="inlineStr">
        <is>
          <t>Produto</t>
        </is>
      </c>
      <c r="C631" t="inlineStr">
        <is>
          <t>Tênis para quadra leve cinza tam. 44</t>
        </is>
      </c>
      <c r="D631" s="10">
        <f>ROUND(D631*(1+(E631/100)),2)</f>
        <v/>
      </c>
      <c r="E631" s="8" t="n">
        <v>15</v>
      </c>
    </row>
    <row r="632">
      <c r="A632" s="8" t="n">
        <v>631</v>
      </c>
      <c r="B632" s="8" t="inlineStr">
        <is>
          <t>Produto</t>
        </is>
      </c>
      <c r="C632" t="inlineStr">
        <is>
          <t>Halter profissional verde</t>
        </is>
      </c>
      <c r="D632" s="10">
        <f>ROUND(D632*(1+(E632/100)),2)</f>
        <v/>
      </c>
      <c r="E632" s="8" t="n">
        <v>15</v>
      </c>
    </row>
    <row r="633">
      <c r="A633" s="8" t="n">
        <v>632</v>
      </c>
      <c r="B633" s="8" t="inlineStr">
        <is>
          <t>Produto</t>
        </is>
      </c>
      <c r="C633" t="inlineStr">
        <is>
          <t>Elástico de resistência juvenil cinza</t>
        </is>
      </c>
      <c r="D633" s="10">
        <f>ROUND(D633*(1+(E633/100)),2)</f>
        <v/>
      </c>
      <c r="E633" s="8" t="n">
        <v>15</v>
      </c>
    </row>
    <row r="634">
      <c r="A634" s="8" t="n">
        <v>633</v>
      </c>
      <c r="B634" s="8" t="inlineStr">
        <is>
          <t>Produto</t>
        </is>
      </c>
      <c r="C634" t="inlineStr">
        <is>
          <t>Regata esportiva para uso diário rosa tam. 42</t>
        </is>
      </c>
      <c r="D634" s="10">
        <f>ROUND(D634*(1+(E634/100)),2)</f>
        <v/>
      </c>
      <c r="E634" s="8" t="n">
        <v>15</v>
      </c>
    </row>
    <row r="635">
      <c r="A635" s="8" t="n">
        <v>634</v>
      </c>
      <c r="B635" s="8" t="inlineStr">
        <is>
          <t>Produto</t>
        </is>
      </c>
      <c r="C635" t="inlineStr">
        <is>
          <t>Meias esportivas com ajuste azul tam. G</t>
        </is>
      </c>
      <c r="D635" s="10">
        <f>ROUND(D635*(1+(E635/100)),2)</f>
        <v/>
      </c>
      <c r="E635" s="8" t="n">
        <v>15</v>
      </c>
    </row>
    <row r="636">
      <c r="A636" s="8" t="n">
        <v>635</v>
      </c>
      <c r="B636" s="8" t="inlineStr">
        <is>
          <t>Produto</t>
        </is>
      </c>
      <c r="C636" t="inlineStr">
        <is>
          <t>Raquete de tênis recreativo verde tam. 38</t>
        </is>
      </c>
      <c r="D636" s="10">
        <f>ROUND(D636*(1+(E636/100)),2)</f>
        <v/>
      </c>
      <c r="E636" s="8" t="n">
        <v>15</v>
      </c>
    </row>
    <row r="637">
      <c r="A637" s="8" t="n">
        <v>636</v>
      </c>
      <c r="B637" s="8" t="inlineStr">
        <is>
          <t>Produto</t>
        </is>
      </c>
      <c r="C637" t="inlineStr">
        <is>
          <t>Touca de natação unissex cinza tam. M</t>
        </is>
      </c>
      <c r="D637" s="10">
        <f>ROUND(D637*(1+(E637/100)),2)</f>
        <v/>
      </c>
      <c r="E637" s="8" t="n">
        <v>15</v>
      </c>
    </row>
    <row r="638">
      <c r="A638" s="8" t="n">
        <v>637</v>
      </c>
      <c r="B638" s="8" t="inlineStr">
        <is>
          <t>Produto</t>
        </is>
      </c>
      <c r="C638" t="inlineStr">
        <is>
          <t>Raquete de beach tennis com ajuste vermelho</t>
        </is>
      </c>
      <c r="D638" s="10">
        <f>ROUND(D638*(1+(E638/100)),2)</f>
        <v/>
      </c>
      <c r="E638" s="8" t="n">
        <v>15</v>
      </c>
    </row>
    <row r="639">
      <c r="A639" s="8" t="n">
        <v>638</v>
      </c>
      <c r="B639" s="8" t="inlineStr">
        <is>
          <t>Produto</t>
        </is>
      </c>
      <c r="C639" t="inlineStr">
        <is>
          <t>Kettlebell juvenil rosa</t>
        </is>
      </c>
      <c r="D639" s="10">
        <f>ROUND(D639*(1+(E639/100)),2)</f>
        <v/>
      </c>
      <c r="E639" s="8" t="n">
        <v>15</v>
      </c>
    </row>
    <row r="640">
      <c r="A640" s="8" t="n">
        <v>639</v>
      </c>
      <c r="B640" s="8" t="inlineStr">
        <is>
          <t>Produto</t>
        </is>
      </c>
      <c r="C640" t="inlineStr">
        <is>
          <t>Protetor bucal para uso diário rosa</t>
        </is>
      </c>
      <c r="D640" s="10">
        <f>ROUND(D640*(1+(E640/100)),2)</f>
        <v/>
      </c>
      <c r="E640" s="8" t="n">
        <v>15</v>
      </c>
    </row>
    <row r="641">
      <c r="A641" s="8" t="n">
        <v>640</v>
      </c>
      <c r="B641" s="8" t="inlineStr">
        <is>
          <t>Produto</t>
        </is>
      </c>
      <c r="C641" t="inlineStr">
        <is>
          <t>Nadadeira leve branco</t>
        </is>
      </c>
      <c r="D641" s="10">
        <f>ROUND(D641*(1+(E641/100)),2)</f>
        <v/>
      </c>
      <c r="E641" s="8" t="n">
        <v>15</v>
      </c>
    </row>
    <row r="642">
      <c r="A642" s="8" t="n">
        <v>641</v>
      </c>
      <c r="B642" s="8" t="inlineStr">
        <is>
          <t>Produto</t>
        </is>
      </c>
      <c r="C642" t="inlineStr">
        <is>
          <t>Regata esportiva premium rosa tam. G</t>
        </is>
      </c>
      <c r="D642" s="10">
        <f>ROUND(D642*(1+(E642/100)),2)</f>
        <v/>
      </c>
      <c r="E642" s="8" t="n">
        <v>15</v>
      </c>
    </row>
    <row r="643">
      <c r="A643" s="8" t="n">
        <v>642</v>
      </c>
      <c r="B643" s="8" t="inlineStr">
        <is>
          <t>Produto</t>
        </is>
      </c>
      <c r="C643" t="inlineStr">
        <is>
          <t>Kimono de judô compacto cinza tam. 40</t>
        </is>
      </c>
      <c r="D643" s="10">
        <f>ROUND(D643*(1+(E643/100)),2)</f>
        <v/>
      </c>
      <c r="E643" s="8" t="n">
        <v>15</v>
      </c>
    </row>
    <row r="644">
      <c r="A644" s="8" t="n">
        <v>643</v>
      </c>
      <c r="B644" s="8" t="inlineStr">
        <is>
          <t>Produto</t>
        </is>
      </c>
      <c r="C644" t="inlineStr">
        <is>
          <t>Luva de goleiro juvenil azul tam. 34</t>
        </is>
      </c>
      <c r="D644" s="10">
        <f>ROUND(D644*(1+(E644/100)),2)</f>
        <v/>
      </c>
      <c r="E644" s="8" t="n">
        <v>15</v>
      </c>
    </row>
    <row r="645">
      <c r="A645" s="8" t="n">
        <v>644</v>
      </c>
      <c r="B645" s="8" t="inlineStr">
        <is>
          <t>Produto</t>
        </is>
      </c>
      <c r="C645" t="inlineStr">
        <is>
          <t>Corda de pular resistente verde</t>
        </is>
      </c>
      <c r="D645" s="10">
        <f>ROUND(D645*(1+(E645/100)),2)</f>
        <v/>
      </c>
      <c r="E645" s="8" t="n">
        <v>15</v>
      </c>
    </row>
    <row r="646">
      <c r="A646" s="8" t="n">
        <v>645</v>
      </c>
      <c r="B646" s="8" t="inlineStr">
        <is>
          <t>Produto</t>
        </is>
      </c>
      <c r="C646" t="inlineStr">
        <is>
          <t>Caneleira de futebol para uso diário branco</t>
        </is>
      </c>
      <c r="D646" s="10">
        <f>ROUND(D646*(1+(E646/100)),2)</f>
        <v/>
      </c>
      <c r="E646" s="8" t="n">
        <v>15</v>
      </c>
    </row>
    <row r="647">
      <c r="A647" s="8" t="n">
        <v>646</v>
      </c>
      <c r="B647" s="8" t="inlineStr">
        <is>
          <t>Produto</t>
        </is>
      </c>
      <c r="C647" t="inlineStr">
        <is>
          <t>Óculos esportivos unissex branco</t>
        </is>
      </c>
      <c r="D647" s="10">
        <f>ROUND(D647*(1+(E647/100)),2)</f>
        <v/>
      </c>
      <c r="E647" s="8" t="n">
        <v>15</v>
      </c>
    </row>
    <row r="648">
      <c r="A648" s="8" t="n">
        <v>647</v>
      </c>
      <c r="B648" s="8" t="inlineStr">
        <is>
          <t>Produto</t>
        </is>
      </c>
      <c r="C648" t="inlineStr">
        <is>
          <t>Regata esportiva modelo básico verde tam. P</t>
        </is>
      </c>
      <c r="D648" s="10">
        <f>ROUND(D648*(1+(E648/100)),2)</f>
        <v/>
      </c>
      <c r="E648" s="8" t="n">
        <v>15</v>
      </c>
    </row>
    <row r="649">
      <c r="A649" s="8" t="n">
        <v>648</v>
      </c>
      <c r="B649" s="8" t="inlineStr">
        <is>
          <t>Produto</t>
        </is>
      </c>
      <c r="C649" t="inlineStr">
        <is>
          <t>Banco de musculação juvenil rosa</t>
        </is>
      </c>
      <c r="D649" s="10">
        <f>ROUND(D649*(1+(E649/100)),2)</f>
        <v/>
      </c>
      <c r="E649" s="8" t="n">
        <v>15</v>
      </c>
    </row>
    <row r="650">
      <c r="A650" s="8" t="n">
        <v>649</v>
      </c>
      <c r="B650" s="8" t="inlineStr">
        <is>
          <t>Produto</t>
        </is>
      </c>
      <c r="C650" t="inlineStr">
        <is>
          <t>Banco de musculação compacto vermelho</t>
        </is>
      </c>
      <c r="D650" s="10">
        <f>ROUND(D650*(1+(E650/100)),2)</f>
        <v/>
      </c>
      <c r="E650" s="8" t="n">
        <v>15</v>
      </c>
    </row>
    <row r="651">
      <c r="A651" s="8" t="n">
        <v>650</v>
      </c>
      <c r="B651" s="8" t="inlineStr">
        <is>
          <t>Produto</t>
        </is>
      </c>
      <c r="C651" t="inlineStr">
        <is>
          <t>Prancha de natação premium preto</t>
        </is>
      </c>
      <c r="D651" s="10">
        <f>ROUND(D651*(1+(E651/100)),2)</f>
        <v/>
      </c>
      <c r="E651" s="8" t="n">
        <v>15</v>
      </c>
    </row>
    <row r="652">
      <c r="A652" s="8" t="n">
        <v>651</v>
      </c>
      <c r="B652" s="8" t="inlineStr">
        <is>
          <t>Produto</t>
        </is>
      </c>
      <c r="C652" t="inlineStr">
        <is>
          <t>Jaqueta esportiva para uso diário branco tam. G</t>
        </is>
      </c>
      <c r="D652" s="10">
        <f>ROUND(D652*(1+(E652/100)),2)</f>
        <v/>
      </c>
      <c r="E652" s="8" t="n">
        <v>15</v>
      </c>
    </row>
    <row r="653">
      <c r="A653" s="8" t="n">
        <v>652</v>
      </c>
      <c r="B653" s="8" t="inlineStr">
        <is>
          <t>Produto</t>
        </is>
      </c>
      <c r="C653" t="inlineStr">
        <is>
          <t>Luva de boxe modelo avançado preto tam. 36</t>
        </is>
      </c>
      <c r="D653" s="10">
        <f>ROUND(D653*(1+(E653/100)),2)</f>
        <v/>
      </c>
      <c r="E653" s="8" t="n">
        <v>15</v>
      </c>
    </row>
    <row r="654">
      <c r="A654" s="8" t="n">
        <v>653</v>
      </c>
      <c r="B654" s="8" t="inlineStr">
        <is>
          <t>Produto</t>
        </is>
      </c>
      <c r="C654" t="inlineStr">
        <is>
          <t>Protetor bucal unissex verde</t>
        </is>
      </c>
      <c r="D654" s="10">
        <f>ROUND(D654*(1+(E654/100)),2)</f>
        <v/>
      </c>
      <c r="E654" s="8" t="n">
        <v>15</v>
      </c>
    </row>
    <row r="655">
      <c r="A655" s="8" t="n">
        <v>654</v>
      </c>
      <c r="B655" s="8" t="inlineStr">
        <is>
          <t>Produto</t>
        </is>
      </c>
      <c r="C655" t="inlineStr">
        <is>
          <t>Óculos esportivos iniciante vermelho</t>
        </is>
      </c>
      <c r="D655" s="10">
        <f>ROUND(D655*(1+(E655/100)),2)</f>
        <v/>
      </c>
      <c r="E655" s="8" t="n">
        <v>15</v>
      </c>
    </row>
    <row r="656">
      <c r="A656" s="8" t="n">
        <v>655</v>
      </c>
      <c r="B656" s="8" t="inlineStr">
        <is>
          <t>Produto</t>
        </is>
      </c>
      <c r="C656" t="inlineStr">
        <is>
          <t>Raquete de badminton compacto verde</t>
        </is>
      </c>
      <c r="D656" s="10">
        <f>ROUND(D656*(1+(E656/100)),2)</f>
        <v/>
      </c>
      <c r="E656" s="8" t="n">
        <v>15</v>
      </c>
    </row>
    <row r="657">
      <c r="A657" s="8" t="n">
        <v>656</v>
      </c>
      <c r="B657" s="8" t="inlineStr">
        <is>
          <t>Produto</t>
        </is>
      </c>
      <c r="C657" t="inlineStr">
        <is>
          <t>Luva de ciclismo modelo básico verde tam. G</t>
        </is>
      </c>
      <c r="D657" s="10">
        <f>ROUND(D657*(1+(E657/100)),2)</f>
        <v/>
      </c>
      <c r="E657" s="8" t="n">
        <v>15</v>
      </c>
    </row>
    <row r="658">
      <c r="A658" s="8" t="n">
        <v>657</v>
      </c>
      <c r="B658" s="8" t="inlineStr">
        <is>
          <t>Produto</t>
        </is>
      </c>
      <c r="C658" t="inlineStr">
        <is>
          <t>Regata esportiva juvenil preto tam. G</t>
        </is>
      </c>
      <c r="D658" s="10">
        <f>ROUND(D658*(1+(E658/100)),2)</f>
        <v/>
      </c>
      <c r="E658" s="8" t="n">
        <v>15</v>
      </c>
    </row>
    <row r="659">
      <c r="A659" s="8" t="n">
        <v>658</v>
      </c>
      <c r="B659" s="8" t="inlineStr">
        <is>
          <t>Produto</t>
        </is>
      </c>
      <c r="C659" t="inlineStr">
        <is>
          <t>Chuteira society resistente branco tam. M</t>
        </is>
      </c>
      <c r="D659" s="10">
        <f>ROUND(D659*(1+(E659/100)),2)</f>
        <v/>
      </c>
      <c r="E659" s="8" t="n">
        <v>15</v>
      </c>
    </row>
    <row r="660">
      <c r="A660" s="8" t="n">
        <v>659</v>
      </c>
      <c r="B660" s="8" t="inlineStr">
        <is>
          <t>Produto</t>
        </is>
      </c>
      <c r="C660" t="inlineStr">
        <is>
          <t>Prancha de natação unissex azul</t>
        </is>
      </c>
      <c r="D660" s="10">
        <f>ROUND(D660*(1+(E660/100)),2)</f>
        <v/>
      </c>
      <c r="E660" s="8" t="n">
        <v>15</v>
      </c>
    </row>
    <row r="661">
      <c r="A661" s="8" t="n">
        <v>660</v>
      </c>
      <c r="B661" s="8" t="inlineStr">
        <is>
          <t>Produto</t>
        </is>
      </c>
      <c r="C661" t="inlineStr">
        <is>
          <t>Halter leve laranja</t>
        </is>
      </c>
      <c r="D661" s="10">
        <f>ROUND(D661*(1+(E661/100)),2)</f>
        <v/>
      </c>
      <c r="E661" s="8" t="n">
        <v>15</v>
      </c>
    </row>
    <row r="662">
      <c r="A662" s="8" t="n">
        <v>661</v>
      </c>
      <c r="B662" s="8" t="inlineStr">
        <is>
          <t>Produto</t>
        </is>
      </c>
      <c r="C662" t="inlineStr">
        <is>
          <t>Óculos esportivos leve branco</t>
        </is>
      </c>
      <c r="D662" s="10">
        <f>ROUND(D662*(1+(E662/100)),2)</f>
        <v/>
      </c>
      <c r="E662" s="8" t="n">
        <v>15</v>
      </c>
    </row>
    <row r="663">
      <c r="A663" s="8" t="n">
        <v>662</v>
      </c>
      <c r="B663" s="8" t="inlineStr">
        <is>
          <t>Produto</t>
        </is>
      </c>
      <c r="C663" t="inlineStr">
        <is>
          <t>Luva de boxe para uso diário cinza tam. 34</t>
        </is>
      </c>
      <c r="D663" s="10">
        <f>ROUND(D663*(1+(E663/100)),2)</f>
        <v/>
      </c>
      <c r="E663" s="8" t="n">
        <v>15</v>
      </c>
    </row>
    <row r="664">
      <c r="A664" s="8" t="n">
        <v>663</v>
      </c>
      <c r="B664" s="8" t="inlineStr">
        <is>
          <t>Produto</t>
        </is>
      </c>
      <c r="C664" t="inlineStr">
        <is>
          <t>Bastão de caminhada unissex laranja</t>
        </is>
      </c>
      <c r="D664" s="10">
        <f>ROUND(D664*(1+(E664/100)),2)</f>
        <v/>
      </c>
      <c r="E664" s="8" t="n">
        <v>15</v>
      </c>
    </row>
    <row r="665">
      <c r="A665" s="8" t="n">
        <v>664</v>
      </c>
      <c r="B665" s="8" t="inlineStr">
        <is>
          <t>Produto</t>
        </is>
      </c>
      <c r="C665" t="inlineStr">
        <is>
          <t>Banco de musculação juvenil vermelho</t>
        </is>
      </c>
      <c r="D665" s="10">
        <f>ROUND(D665*(1+(E665/100)),2)</f>
        <v/>
      </c>
      <c r="E665" s="8" t="n">
        <v>15</v>
      </c>
    </row>
    <row r="666">
      <c r="A666" s="8" t="n">
        <v>665</v>
      </c>
      <c r="B666" s="8" t="inlineStr">
        <is>
          <t>Produto</t>
        </is>
      </c>
      <c r="C666" t="inlineStr">
        <is>
          <t>Kimono de judô unissex azul tam. 40</t>
        </is>
      </c>
      <c r="D666" s="10">
        <f>ROUND(D666*(1+(E666/100)),2)</f>
        <v/>
      </c>
      <c r="E666" s="8" t="n">
        <v>15</v>
      </c>
    </row>
    <row r="667">
      <c r="A667" s="8" t="n">
        <v>666</v>
      </c>
      <c r="B667" s="8" t="inlineStr">
        <is>
          <t>Produto</t>
        </is>
      </c>
      <c r="C667" t="inlineStr">
        <is>
          <t>Bola de pilates compacto branco</t>
        </is>
      </c>
      <c r="D667" s="10">
        <f>ROUND(D667*(1+(E667/100)),2)</f>
        <v/>
      </c>
      <c r="E667" s="8" t="n">
        <v>15</v>
      </c>
    </row>
    <row r="668">
      <c r="A668" s="8" t="n">
        <v>667</v>
      </c>
      <c r="B668" s="8" t="inlineStr">
        <is>
          <t>Produto</t>
        </is>
      </c>
      <c r="C668" t="inlineStr">
        <is>
          <t>Camiseta esportiva modelo básico rosa tam. P</t>
        </is>
      </c>
      <c r="D668" s="10">
        <f>ROUND(D668*(1+(E668/100)),2)</f>
        <v/>
      </c>
      <c r="E668" s="8" t="n">
        <v>15</v>
      </c>
    </row>
    <row r="669">
      <c r="A669" s="8" t="n">
        <v>668</v>
      </c>
      <c r="B669" s="8" t="inlineStr">
        <is>
          <t>Produto</t>
        </is>
      </c>
      <c r="C669" t="inlineStr">
        <is>
          <t>Meias esportivas modelo avançado cinza tam. M</t>
        </is>
      </c>
      <c r="D669" s="10">
        <f>ROUND(D669*(1+(E669/100)),2)</f>
        <v/>
      </c>
      <c r="E669" s="8" t="n">
        <v>15</v>
      </c>
    </row>
    <row r="670">
      <c r="A670" s="8" t="n">
        <v>669</v>
      </c>
      <c r="B670" s="8" t="inlineStr">
        <is>
          <t>Produto</t>
        </is>
      </c>
      <c r="C670" t="inlineStr">
        <is>
          <t>Raquete de tênis com ajuste laranja tam. G</t>
        </is>
      </c>
      <c r="D670" s="10">
        <f>ROUND(D670*(1+(E670/100)),2)</f>
        <v/>
      </c>
      <c r="E670" s="8" t="n">
        <v>15</v>
      </c>
    </row>
    <row r="671">
      <c r="A671" s="8" t="n">
        <v>670</v>
      </c>
      <c r="B671" s="8" t="inlineStr">
        <is>
          <t>Produto</t>
        </is>
      </c>
      <c r="C671" t="inlineStr">
        <is>
          <t>Óculos esportivos modelo avançado laranja</t>
        </is>
      </c>
      <c r="D671" s="10">
        <f>ROUND(D671*(1+(E671/100)),2)</f>
        <v/>
      </c>
      <c r="E671" s="8" t="n">
        <v>15</v>
      </c>
    </row>
    <row r="672">
      <c r="A672" s="8" t="n">
        <v>671</v>
      </c>
      <c r="B672" s="8" t="inlineStr">
        <is>
          <t>Produto</t>
        </is>
      </c>
      <c r="C672" t="inlineStr">
        <is>
          <t>Luva de ciclismo compacto vermelho tam. 40</t>
        </is>
      </c>
      <c r="D672" s="10">
        <f>ROUND(D672*(1+(E672/100)),2)</f>
        <v/>
      </c>
      <c r="E672" s="8" t="n">
        <v>15</v>
      </c>
    </row>
    <row r="673">
      <c r="A673" s="8" t="n">
        <v>672</v>
      </c>
      <c r="B673" s="8" t="inlineStr">
        <is>
          <t>Produto</t>
        </is>
      </c>
      <c r="C673" t="inlineStr">
        <is>
          <t>Bola de vôlei adulto branco</t>
        </is>
      </c>
      <c r="D673" s="10">
        <f>ROUND(D673*(1+(E673/100)),2)</f>
        <v/>
      </c>
      <c r="E673" s="8" t="n">
        <v>15</v>
      </c>
    </row>
    <row r="674">
      <c r="A674" s="8" t="n">
        <v>673</v>
      </c>
      <c r="B674" s="8" t="inlineStr">
        <is>
          <t>Produto</t>
        </is>
      </c>
      <c r="C674" t="inlineStr">
        <is>
          <t>Tênis de corrida modelo básico vermelho tam. 38</t>
        </is>
      </c>
      <c r="D674" s="10">
        <f>ROUND(D674*(1+(E674/100)),2)</f>
        <v/>
      </c>
      <c r="E674" s="8" t="n">
        <v>15</v>
      </c>
    </row>
    <row r="675">
      <c r="A675" s="8" t="n">
        <v>674</v>
      </c>
      <c r="B675" s="8" t="inlineStr">
        <is>
          <t>Produto</t>
        </is>
      </c>
      <c r="C675" t="inlineStr">
        <is>
          <t>Raquete de beach tennis profissional branco</t>
        </is>
      </c>
      <c r="D675" s="10">
        <f>ROUND(D675*(1+(E675/100)),2)</f>
        <v/>
      </c>
      <c r="E675" s="8" t="n">
        <v>15</v>
      </c>
    </row>
    <row r="676">
      <c r="A676" s="8" t="n">
        <v>675</v>
      </c>
      <c r="B676" s="8" t="inlineStr">
        <is>
          <t>Produto</t>
        </is>
      </c>
      <c r="C676" t="inlineStr">
        <is>
          <t>Kimono de judô adulto laranja tam. G</t>
        </is>
      </c>
      <c r="D676" s="10">
        <f>ROUND(D676*(1+(E676/100)),2)</f>
        <v/>
      </c>
      <c r="E676" s="8" t="n">
        <v>15</v>
      </c>
    </row>
    <row r="677">
      <c r="A677" s="8" t="n">
        <v>676</v>
      </c>
      <c r="B677" s="8" t="inlineStr">
        <is>
          <t>Produto</t>
        </is>
      </c>
      <c r="C677" t="inlineStr">
        <is>
          <t>Bicicleta ergométrica juvenil azul</t>
        </is>
      </c>
      <c r="D677" s="10">
        <f>ROUND(D677*(1+(E677/100)),2)</f>
        <v/>
      </c>
      <c r="E677" s="8" t="n">
        <v>15</v>
      </c>
    </row>
    <row r="678">
      <c r="A678" s="8" t="n">
        <v>677</v>
      </c>
      <c r="B678" s="8" t="inlineStr">
        <is>
          <t>Produto</t>
        </is>
      </c>
      <c r="C678" t="inlineStr">
        <is>
          <t>Short esportivo ventilado cinza tam. 34</t>
        </is>
      </c>
      <c r="D678" s="10">
        <f>ROUND(D678*(1+(E678/100)),2)</f>
        <v/>
      </c>
      <c r="E678" s="8" t="n">
        <v>15</v>
      </c>
    </row>
    <row r="679">
      <c r="A679" s="8" t="n">
        <v>678</v>
      </c>
      <c r="B679" s="8" t="inlineStr">
        <is>
          <t>Produto</t>
        </is>
      </c>
      <c r="C679" t="inlineStr">
        <is>
          <t>Tênis de corrida para uso diário rosa tam. G</t>
        </is>
      </c>
      <c r="D679" s="10">
        <f>ROUND(D679*(1+(E679/100)),2)</f>
        <v/>
      </c>
      <c r="E679" s="8" t="n">
        <v>15</v>
      </c>
    </row>
    <row r="680">
      <c r="A680" s="8" t="n">
        <v>679</v>
      </c>
      <c r="B680" s="8" t="inlineStr">
        <is>
          <t>Produto</t>
        </is>
      </c>
      <c r="C680" t="inlineStr">
        <is>
          <t>Bola de futebol profissional cinza</t>
        </is>
      </c>
      <c r="D680" s="10">
        <f>ROUND(D680*(1+(E680/100)),2)</f>
        <v/>
      </c>
      <c r="E680" s="8" t="n">
        <v>15</v>
      </c>
    </row>
    <row r="681">
      <c r="A681" s="8" t="n">
        <v>680</v>
      </c>
      <c r="B681" s="8" t="inlineStr">
        <is>
          <t>Produto</t>
        </is>
      </c>
      <c r="C681" t="inlineStr">
        <is>
          <t>Touca de natação ergonômico verde tam. M</t>
        </is>
      </c>
      <c r="D681" s="10">
        <f>ROUND(D681*(1+(E681/100)),2)</f>
        <v/>
      </c>
      <c r="E681" s="8" t="n">
        <v>15</v>
      </c>
    </row>
    <row r="682">
      <c r="A682" s="8" t="n">
        <v>681</v>
      </c>
      <c r="B682" s="8" t="inlineStr">
        <is>
          <t>Produto</t>
        </is>
      </c>
      <c r="C682" t="inlineStr">
        <is>
          <t>Camiseta esportiva profissional rosa tam. M</t>
        </is>
      </c>
      <c r="D682" s="10">
        <f>ROUND(D682*(1+(E682/100)),2)</f>
        <v/>
      </c>
      <c r="E682" s="8" t="n">
        <v>15</v>
      </c>
    </row>
    <row r="683">
      <c r="A683" s="8" t="n">
        <v>682</v>
      </c>
      <c r="B683" s="8" t="inlineStr">
        <is>
          <t>Produto</t>
        </is>
      </c>
      <c r="C683" t="inlineStr">
        <is>
          <t>Elástico de resistência ergonômico cinza</t>
        </is>
      </c>
      <c r="D683" s="10">
        <f>ROUND(D683*(1+(E683/100)),2)</f>
        <v/>
      </c>
      <c r="E683" s="8" t="n">
        <v>15</v>
      </c>
    </row>
    <row r="684">
      <c r="A684" s="8" t="n">
        <v>683</v>
      </c>
      <c r="B684" s="8" t="inlineStr">
        <is>
          <t>Produto</t>
        </is>
      </c>
      <c r="C684" t="inlineStr">
        <is>
          <t>Caneleira de futebol leve branco</t>
        </is>
      </c>
      <c r="D684" s="10">
        <f>ROUND(D684*(1+(E684/100)),2)</f>
        <v/>
      </c>
      <c r="E684" s="8" t="n">
        <v>15</v>
      </c>
    </row>
    <row r="685">
      <c r="A685" s="8" t="n">
        <v>684</v>
      </c>
      <c r="B685" s="8" t="inlineStr">
        <is>
          <t>Produto</t>
        </is>
      </c>
      <c r="C685" t="inlineStr">
        <is>
          <t>Tapete de yoga com ajuste preto</t>
        </is>
      </c>
      <c r="D685" s="10">
        <f>ROUND(D685*(1+(E685/100)),2)</f>
        <v/>
      </c>
      <c r="E685" s="8" t="n">
        <v>15</v>
      </c>
    </row>
    <row r="686">
      <c r="A686" s="8" t="n">
        <v>685</v>
      </c>
      <c r="B686" s="8" t="inlineStr">
        <is>
          <t>Produto</t>
        </is>
      </c>
      <c r="C686" t="inlineStr">
        <is>
          <t>Capacete de ciclismo compacto cinza</t>
        </is>
      </c>
      <c r="D686" s="10">
        <f>ROUND(D686*(1+(E686/100)),2)</f>
        <v/>
      </c>
      <c r="E686" s="8" t="n">
        <v>15</v>
      </c>
    </row>
    <row r="687">
      <c r="A687" s="8" t="n">
        <v>686</v>
      </c>
      <c r="B687" s="8" t="inlineStr">
        <is>
          <t>Produto</t>
        </is>
      </c>
      <c r="C687" t="inlineStr">
        <is>
          <t>Chuteira society profissional branco tam. 42</t>
        </is>
      </c>
      <c r="D687" s="10">
        <f>ROUND(D687*(1+(E687/100)),2)</f>
        <v/>
      </c>
      <c r="E687" s="8" t="n">
        <v>15</v>
      </c>
    </row>
    <row r="688">
      <c r="A688" s="8" t="n">
        <v>687</v>
      </c>
      <c r="B688" s="8" t="inlineStr">
        <is>
          <t>Produto</t>
        </is>
      </c>
      <c r="C688" t="inlineStr">
        <is>
          <t>Step de ginástica compacto preto</t>
        </is>
      </c>
      <c r="D688" s="10">
        <f>ROUND(D688*(1+(E688/100)),2)</f>
        <v/>
      </c>
      <c r="E688" s="8" t="n">
        <v>15</v>
      </c>
    </row>
    <row r="689">
      <c r="A689" s="8" t="n">
        <v>688</v>
      </c>
      <c r="B689" s="8" t="inlineStr">
        <is>
          <t>Produto</t>
        </is>
      </c>
      <c r="C689" t="inlineStr">
        <is>
          <t>Monitor cardíaco ventilado rosa</t>
        </is>
      </c>
      <c r="D689" s="10">
        <f>ROUND(D689*(1+(E689/100)),2)</f>
        <v/>
      </c>
      <c r="E689" s="8" t="n">
        <v>15</v>
      </c>
    </row>
    <row r="690">
      <c r="A690" s="8" t="n">
        <v>689</v>
      </c>
      <c r="B690" s="8" t="inlineStr">
        <is>
          <t>Produto</t>
        </is>
      </c>
      <c r="C690" t="inlineStr">
        <is>
          <t>Meias esportivas iniciante azul tam. 38</t>
        </is>
      </c>
      <c r="D690" s="10">
        <f>ROUND(D690*(1+(E690/100)),2)</f>
        <v/>
      </c>
      <c r="E690" s="8" t="n">
        <v>15</v>
      </c>
    </row>
    <row r="691">
      <c r="A691" s="8" t="n">
        <v>690</v>
      </c>
      <c r="B691" s="8" t="inlineStr">
        <is>
          <t>Produto</t>
        </is>
      </c>
      <c r="C691" t="inlineStr">
        <is>
          <t>Patins resistente vermelho</t>
        </is>
      </c>
      <c r="D691" s="10">
        <f>ROUND(D691*(1+(E691/100)),2)</f>
        <v/>
      </c>
      <c r="E691" s="8" t="n">
        <v>15</v>
      </c>
    </row>
    <row r="692">
      <c r="A692" s="8" t="n">
        <v>691</v>
      </c>
      <c r="B692" s="8" t="inlineStr">
        <is>
          <t>Produto</t>
        </is>
      </c>
      <c r="C692" t="inlineStr">
        <is>
          <t>Step de ginástica leve vermelho</t>
        </is>
      </c>
      <c r="D692" s="10">
        <f>ROUND(D692*(1+(E692/100)),2)</f>
        <v/>
      </c>
      <c r="E692" s="8" t="n">
        <v>15</v>
      </c>
    </row>
    <row r="693">
      <c r="A693" s="8" t="n">
        <v>692</v>
      </c>
      <c r="B693" s="8" t="inlineStr">
        <is>
          <t>Produto</t>
        </is>
      </c>
      <c r="C693" t="inlineStr">
        <is>
          <t>Short esportivo juvenil laranja tam. M</t>
        </is>
      </c>
      <c r="D693" s="10">
        <f>ROUND(D693*(1+(E693/100)),2)</f>
        <v/>
      </c>
      <c r="E693" s="8" t="n">
        <v>15</v>
      </c>
    </row>
    <row r="694">
      <c r="A694" s="8" t="n">
        <v>693</v>
      </c>
      <c r="B694" s="8" t="inlineStr">
        <is>
          <t>Produto</t>
        </is>
      </c>
      <c r="C694" t="inlineStr">
        <is>
          <t>Bicicleta ergométrica recreativo cinza</t>
        </is>
      </c>
      <c r="D694" s="10">
        <f>ROUND(D694*(1+(E694/100)),2)</f>
        <v/>
      </c>
      <c r="E694" s="8" t="n">
        <v>15</v>
      </c>
    </row>
    <row r="695">
      <c r="A695" s="8" t="n">
        <v>694</v>
      </c>
      <c r="B695" s="8" t="inlineStr">
        <is>
          <t>Produto</t>
        </is>
      </c>
      <c r="C695" t="inlineStr">
        <is>
          <t>Bastão de caminhada profissional laranja</t>
        </is>
      </c>
      <c r="D695" s="10">
        <f>ROUND(D695*(1+(E695/100)),2)</f>
        <v/>
      </c>
      <c r="E695" s="8" t="n">
        <v>15</v>
      </c>
    </row>
    <row r="696">
      <c r="A696" s="8" t="n">
        <v>695</v>
      </c>
      <c r="B696" s="8" t="inlineStr">
        <is>
          <t>Produto</t>
        </is>
      </c>
      <c r="C696" t="inlineStr">
        <is>
          <t>Luva de goleiro premium rosa tam. P</t>
        </is>
      </c>
      <c r="D696" s="10">
        <f>ROUND(D696*(1+(E696/100)),2)</f>
        <v/>
      </c>
      <c r="E696" s="8" t="n">
        <v>15</v>
      </c>
    </row>
    <row r="697">
      <c r="A697" s="8" t="n">
        <v>696</v>
      </c>
      <c r="B697" s="8" t="inlineStr">
        <is>
          <t>Produto</t>
        </is>
      </c>
      <c r="C697" t="inlineStr">
        <is>
          <t>Kimono de judô resistente laranja tam. M</t>
        </is>
      </c>
      <c r="D697" s="10">
        <f>ROUND(D697*(1+(E697/100)),2)</f>
        <v/>
      </c>
      <c r="E697" s="8" t="n">
        <v>15</v>
      </c>
    </row>
    <row r="698">
      <c r="A698" s="8" t="n">
        <v>697</v>
      </c>
      <c r="B698" s="8" t="inlineStr">
        <is>
          <t>Produto</t>
        </is>
      </c>
      <c r="C698" t="inlineStr">
        <is>
          <t>Chuteira society unissex azul tam. M</t>
        </is>
      </c>
      <c r="D698" s="10">
        <f>ROUND(D698*(1+(E698/100)),2)</f>
        <v/>
      </c>
      <c r="E698" s="8" t="n">
        <v>15</v>
      </c>
    </row>
    <row r="699">
      <c r="A699" s="8" t="n">
        <v>698</v>
      </c>
      <c r="B699" s="8" t="inlineStr">
        <is>
          <t>Produto</t>
        </is>
      </c>
      <c r="C699" t="inlineStr">
        <is>
          <t>Tênis de corrida ventilado branco tam. 38</t>
        </is>
      </c>
      <c r="D699" s="10">
        <f>ROUND(D699*(1+(E699/100)),2)</f>
        <v/>
      </c>
      <c r="E699" s="8" t="n">
        <v>15</v>
      </c>
    </row>
    <row r="700">
      <c r="A700" s="8" t="n">
        <v>699</v>
      </c>
      <c r="B700" s="8" t="inlineStr">
        <is>
          <t>Produto</t>
        </is>
      </c>
      <c r="C700" t="inlineStr">
        <is>
          <t>Óculos de natação unissex rosa</t>
        </is>
      </c>
      <c r="D700" s="10">
        <f>ROUND(D700*(1+(E700/100)),2)</f>
        <v/>
      </c>
      <c r="E700" s="8" t="n">
        <v>15</v>
      </c>
    </row>
    <row r="701">
      <c r="A701" s="8" t="n">
        <v>700</v>
      </c>
      <c r="B701" s="8" t="inlineStr">
        <is>
          <t>Produto</t>
        </is>
      </c>
      <c r="C701" t="inlineStr">
        <is>
          <t>Bolsa de academia recreativo laranja</t>
        </is>
      </c>
      <c r="D701" s="10">
        <f>ROUND(D701*(1+(E701/100)),2)</f>
        <v/>
      </c>
      <c r="E701" s="8" t="n">
        <v>15</v>
      </c>
    </row>
    <row r="702">
      <c r="A702" s="8" t="n">
        <v>701</v>
      </c>
      <c r="B702" s="8" t="inlineStr">
        <is>
          <t>Produto</t>
        </is>
      </c>
      <c r="C702" t="inlineStr">
        <is>
          <t>Kettlebell juvenil rosa</t>
        </is>
      </c>
      <c r="D702" s="10">
        <f>ROUND(D702*(1+(E702/100)),2)</f>
        <v/>
      </c>
      <c r="E702" s="8" t="n">
        <v>15</v>
      </c>
    </row>
    <row r="703">
      <c r="A703" s="8" t="n">
        <v>702</v>
      </c>
      <c r="B703" s="8" t="inlineStr">
        <is>
          <t>Produto</t>
        </is>
      </c>
      <c r="C703" t="inlineStr">
        <is>
          <t>Tapete de yoga modelo básico cinza</t>
        </is>
      </c>
      <c r="D703" s="10">
        <f>ROUND(D703*(1+(E703/100)),2)</f>
        <v/>
      </c>
      <c r="E703" s="8" t="n">
        <v>15</v>
      </c>
    </row>
    <row r="704">
      <c r="A704" s="8" t="n">
        <v>703</v>
      </c>
      <c r="B704" s="8" t="inlineStr">
        <is>
          <t>Produto</t>
        </is>
      </c>
      <c r="C704" t="inlineStr">
        <is>
          <t>Óculos esportivos compacto vermelho</t>
        </is>
      </c>
      <c r="D704" s="10">
        <f>ROUND(D704*(1+(E704/100)),2)</f>
        <v/>
      </c>
      <c r="E704" s="8" t="n">
        <v>15</v>
      </c>
    </row>
    <row r="705">
      <c r="A705" s="8" t="n">
        <v>704</v>
      </c>
      <c r="B705" s="8" t="inlineStr">
        <is>
          <t>Produto</t>
        </is>
      </c>
      <c r="C705" t="inlineStr">
        <is>
          <t>Bola de pilates modelo básico cinza</t>
        </is>
      </c>
      <c r="D705" s="10">
        <f>ROUND(D705*(1+(E705/100)),2)</f>
        <v/>
      </c>
      <c r="E705" s="8" t="n">
        <v>15</v>
      </c>
    </row>
    <row r="706">
      <c r="A706" s="8" t="n">
        <v>705</v>
      </c>
      <c r="B706" s="8" t="inlineStr">
        <is>
          <t>Produto</t>
        </is>
      </c>
      <c r="C706" t="inlineStr">
        <is>
          <t>Saco de pancadas reforçado rosa</t>
        </is>
      </c>
      <c r="D706" s="10">
        <f>ROUND(D706*(1+(E706/100)),2)</f>
        <v/>
      </c>
      <c r="E706" s="8" t="n">
        <v>15</v>
      </c>
    </row>
    <row r="707">
      <c r="A707" s="8" t="n">
        <v>706</v>
      </c>
      <c r="B707" s="8" t="inlineStr">
        <is>
          <t>Produto</t>
        </is>
      </c>
      <c r="C707" t="inlineStr">
        <is>
          <t>Corda de pular resistente branco</t>
        </is>
      </c>
      <c r="D707" s="10">
        <f>ROUND(D707*(1+(E707/100)),2)</f>
        <v/>
      </c>
      <c r="E707" s="8" t="n">
        <v>15</v>
      </c>
    </row>
    <row r="708">
      <c r="A708" s="8" t="n">
        <v>707</v>
      </c>
      <c r="B708" s="8" t="inlineStr">
        <is>
          <t>Produto</t>
        </is>
      </c>
      <c r="C708" t="inlineStr">
        <is>
          <t>Relógio esportivo profissional cinza</t>
        </is>
      </c>
      <c r="D708" s="10">
        <f>ROUND(D708*(1+(E708/100)),2)</f>
        <v/>
      </c>
      <c r="E708" s="8" t="n">
        <v>15</v>
      </c>
    </row>
    <row r="709">
      <c r="A709" s="8" t="n">
        <v>708</v>
      </c>
      <c r="B709" s="8" t="inlineStr">
        <is>
          <t>Produto</t>
        </is>
      </c>
      <c r="C709" t="inlineStr">
        <is>
          <t>Elástico de resistência resistente preto</t>
        </is>
      </c>
      <c r="D709" s="10">
        <f>ROUND(D709*(1+(E709/100)),2)</f>
        <v/>
      </c>
      <c r="E709" s="8" t="n">
        <v>15</v>
      </c>
    </row>
    <row r="710">
      <c r="A710" s="8" t="n">
        <v>709</v>
      </c>
      <c r="B710" s="8" t="inlineStr">
        <is>
          <t>Produto</t>
        </is>
      </c>
      <c r="C710" t="inlineStr">
        <is>
          <t>Short esportivo compacto preto tam. 40</t>
        </is>
      </c>
      <c r="D710" s="10">
        <f>ROUND(D710*(1+(E710/100)),2)</f>
        <v/>
      </c>
      <c r="E710" s="8" t="n">
        <v>15</v>
      </c>
    </row>
    <row r="711">
      <c r="A711" s="8" t="n">
        <v>710</v>
      </c>
      <c r="B711" s="8" t="inlineStr">
        <is>
          <t>Produto</t>
        </is>
      </c>
      <c r="C711" t="inlineStr">
        <is>
          <t>Tapete de yoga premium branco</t>
        </is>
      </c>
      <c r="D711" s="10">
        <f>ROUND(D711*(1+(E711/100)),2)</f>
        <v/>
      </c>
      <c r="E711" s="8" t="n">
        <v>15</v>
      </c>
    </row>
    <row r="712">
      <c r="A712" s="8" t="n">
        <v>711</v>
      </c>
      <c r="B712" s="8" t="inlineStr">
        <is>
          <t>Produto</t>
        </is>
      </c>
      <c r="C712" t="inlineStr">
        <is>
          <t>Relógio esportivo treino preto</t>
        </is>
      </c>
      <c r="D712" s="10">
        <f>ROUND(D712*(1+(E712/100)),2)</f>
        <v/>
      </c>
      <c r="E712" s="8" t="n">
        <v>15</v>
      </c>
    </row>
    <row r="713">
      <c r="A713" s="8" t="n">
        <v>712</v>
      </c>
      <c r="B713" s="8" t="inlineStr">
        <is>
          <t>Produto</t>
        </is>
      </c>
      <c r="C713" t="inlineStr">
        <is>
          <t>Óculos esportivos com ajuste vermelho</t>
        </is>
      </c>
      <c r="D713" s="10">
        <f>ROUND(D713*(1+(E713/100)),2)</f>
        <v/>
      </c>
      <c r="E713" s="8" t="n">
        <v>15</v>
      </c>
    </row>
    <row r="714">
      <c r="A714" s="8" t="n">
        <v>713</v>
      </c>
      <c r="B714" s="8" t="inlineStr">
        <is>
          <t>Produto</t>
        </is>
      </c>
      <c r="C714" t="inlineStr">
        <is>
          <t>Luva de ciclismo ventilado branco tam. 36</t>
        </is>
      </c>
      <c r="D714" s="10">
        <f>ROUND(D714*(1+(E714/100)),2)</f>
        <v/>
      </c>
      <c r="E714" s="8" t="n">
        <v>15</v>
      </c>
    </row>
    <row r="715">
      <c r="A715" s="8" t="n">
        <v>714</v>
      </c>
      <c r="B715" s="8" t="inlineStr">
        <is>
          <t>Produto</t>
        </is>
      </c>
      <c r="C715" t="inlineStr">
        <is>
          <t>Mochila esportiva iniciante preto</t>
        </is>
      </c>
      <c r="D715" s="10">
        <f>ROUND(D715*(1+(E715/100)),2)</f>
        <v/>
      </c>
      <c r="E715" s="8" t="n">
        <v>15</v>
      </c>
    </row>
    <row r="716">
      <c r="A716" s="8" t="n">
        <v>715</v>
      </c>
      <c r="B716" s="8" t="inlineStr">
        <is>
          <t>Produto</t>
        </is>
      </c>
      <c r="C716" t="inlineStr">
        <is>
          <t>Camiseta esportiva reforçado verde tam. GG</t>
        </is>
      </c>
      <c r="D716" s="10">
        <f>ROUND(D716*(1+(E716/100)),2)</f>
        <v/>
      </c>
      <c r="E716" s="8" t="n">
        <v>15</v>
      </c>
    </row>
    <row r="717">
      <c r="A717" s="8" t="n">
        <v>716</v>
      </c>
      <c r="B717" s="8" t="inlineStr">
        <is>
          <t>Produto</t>
        </is>
      </c>
      <c r="C717" t="inlineStr">
        <is>
          <t>Bolsa de academia resistente preto</t>
        </is>
      </c>
      <c r="D717" s="10">
        <f>ROUND(D717*(1+(E717/100)),2)</f>
        <v/>
      </c>
      <c r="E717" s="8" t="n">
        <v>15</v>
      </c>
    </row>
    <row r="718">
      <c r="A718" s="8" t="n">
        <v>717</v>
      </c>
      <c r="B718" s="8" t="inlineStr">
        <is>
          <t>Produto</t>
        </is>
      </c>
      <c r="C718" t="inlineStr">
        <is>
          <t>Banco de musculação ergonômico vermelho</t>
        </is>
      </c>
      <c r="D718" s="10">
        <f>ROUND(D718*(1+(E718/100)),2)</f>
        <v/>
      </c>
      <c r="E718" s="8" t="n">
        <v>15</v>
      </c>
    </row>
    <row r="719">
      <c r="A719" s="8" t="n">
        <v>718</v>
      </c>
      <c r="B719" s="8" t="inlineStr">
        <is>
          <t>Produto</t>
        </is>
      </c>
      <c r="C719" t="inlineStr">
        <is>
          <t>Saco de pancadas compacto cinza</t>
        </is>
      </c>
      <c r="D719" s="10">
        <f>ROUND(D719*(1+(E719/100)),2)</f>
        <v/>
      </c>
      <c r="E719" s="8" t="n">
        <v>15</v>
      </c>
    </row>
    <row r="720">
      <c r="A720" s="8" t="n">
        <v>719</v>
      </c>
      <c r="B720" s="8" t="inlineStr">
        <is>
          <t>Produto</t>
        </is>
      </c>
      <c r="C720" t="inlineStr">
        <is>
          <t>Coqueteleira alta performance laranja</t>
        </is>
      </c>
      <c r="D720" s="10">
        <f>ROUND(D720*(1+(E720/100)),2)</f>
        <v/>
      </c>
      <c r="E720" s="8" t="n">
        <v>15</v>
      </c>
    </row>
    <row r="721">
      <c r="A721" s="8" t="n">
        <v>720</v>
      </c>
      <c r="B721" s="8" t="inlineStr">
        <is>
          <t>Produto</t>
        </is>
      </c>
      <c r="C721" t="inlineStr">
        <is>
          <t>Capacete de ciclismo reforçado rosa</t>
        </is>
      </c>
      <c r="D721" s="10">
        <f>ROUND(D721*(1+(E721/100)),2)</f>
        <v/>
      </c>
      <c r="E721" s="8" t="n">
        <v>15</v>
      </c>
    </row>
    <row r="722">
      <c r="A722" s="8" t="n">
        <v>721</v>
      </c>
      <c r="B722" s="8" t="inlineStr">
        <is>
          <t>Produto</t>
        </is>
      </c>
      <c r="C722" t="inlineStr">
        <is>
          <t>Monitor cardíaco para uso diário azul</t>
        </is>
      </c>
      <c r="D722" s="10">
        <f>ROUND(D722*(1+(E722/100)),2)</f>
        <v/>
      </c>
      <c r="E722" s="8" t="n">
        <v>15</v>
      </c>
    </row>
    <row r="723">
      <c r="A723" s="8" t="n">
        <v>722</v>
      </c>
      <c r="B723" s="8" t="inlineStr">
        <is>
          <t>Produto</t>
        </is>
      </c>
      <c r="C723" t="inlineStr">
        <is>
          <t>Prancha de natação ventilado cinza</t>
        </is>
      </c>
      <c r="D723" s="10">
        <f>ROUND(D723*(1+(E723/100)),2)</f>
        <v/>
      </c>
      <c r="E723" s="8" t="n">
        <v>15</v>
      </c>
    </row>
    <row r="724">
      <c r="A724" s="8" t="n">
        <v>723</v>
      </c>
      <c r="B724" s="8" t="inlineStr">
        <is>
          <t>Produto</t>
        </is>
      </c>
      <c r="C724" t="inlineStr">
        <is>
          <t>Tênis de corrida profissional branco tam. 34</t>
        </is>
      </c>
      <c r="D724" s="10">
        <f>ROUND(D724*(1+(E724/100)),2)</f>
        <v/>
      </c>
      <c r="E724" s="8" t="n">
        <v>15</v>
      </c>
    </row>
    <row r="725">
      <c r="A725" s="8" t="n">
        <v>724</v>
      </c>
      <c r="B725" s="8" t="inlineStr">
        <is>
          <t>Produto</t>
        </is>
      </c>
      <c r="C725" t="inlineStr">
        <is>
          <t>Bolsa de academia iniciante verde</t>
        </is>
      </c>
      <c r="D725" s="10">
        <f>ROUND(D725*(1+(E725/100)),2)</f>
        <v/>
      </c>
      <c r="E725" s="8" t="n">
        <v>15</v>
      </c>
    </row>
    <row r="726">
      <c r="A726" s="8" t="n">
        <v>725</v>
      </c>
      <c r="B726" s="8" t="inlineStr">
        <is>
          <t>Produto</t>
        </is>
      </c>
      <c r="C726" t="inlineStr">
        <is>
          <t>Step de ginástica juvenil laranja</t>
        </is>
      </c>
      <c r="D726" s="10">
        <f>ROUND(D726*(1+(E726/100)),2)</f>
        <v/>
      </c>
      <c r="E726" s="8" t="n">
        <v>15</v>
      </c>
    </row>
    <row r="727">
      <c r="A727" s="8" t="n">
        <v>726</v>
      </c>
      <c r="B727" s="8" t="inlineStr">
        <is>
          <t>Produto</t>
        </is>
      </c>
      <c r="C727" t="inlineStr">
        <is>
          <t>Nadadeira adulto rosa</t>
        </is>
      </c>
      <c r="D727" s="10">
        <f>ROUND(D727*(1+(E727/100)),2)</f>
        <v/>
      </c>
      <c r="E727" s="8" t="n">
        <v>15</v>
      </c>
    </row>
    <row r="728">
      <c r="A728" s="8" t="n">
        <v>727</v>
      </c>
      <c r="B728" s="8" t="inlineStr">
        <is>
          <t>Produto</t>
        </is>
      </c>
      <c r="C728" t="inlineStr">
        <is>
          <t>Mochila esportiva para uso diário laranja</t>
        </is>
      </c>
      <c r="D728" s="10">
        <f>ROUND(D728*(1+(E728/100)),2)</f>
        <v/>
      </c>
      <c r="E728" s="8" t="n">
        <v>15</v>
      </c>
    </row>
    <row r="729">
      <c r="A729" s="8" t="n">
        <v>728</v>
      </c>
      <c r="B729" s="8" t="inlineStr">
        <is>
          <t>Produto</t>
        </is>
      </c>
      <c r="C729" t="inlineStr">
        <is>
          <t>Luva de boxe reforçado branco tam. GG</t>
        </is>
      </c>
      <c r="D729" s="10">
        <f>ROUND(D729*(1+(E729/100)),2)</f>
        <v/>
      </c>
      <c r="E729" s="8" t="n">
        <v>15</v>
      </c>
    </row>
    <row r="730">
      <c r="A730" s="8" t="n">
        <v>729</v>
      </c>
      <c r="B730" s="8" t="inlineStr">
        <is>
          <t>Produto</t>
        </is>
      </c>
      <c r="C730" t="inlineStr">
        <is>
          <t>Touca de natação modelo avançado cinza tam. G</t>
        </is>
      </c>
      <c r="D730" s="10">
        <f>ROUND(D730*(1+(E730/100)),2)</f>
        <v/>
      </c>
      <c r="E730" s="8" t="n">
        <v>15</v>
      </c>
    </row>
    <row r="731">
      <c r="A731" s="8" t="n">
        <v>730</v>
      </c>
      <c r="B731" s="8" t="inlineStr">
        <is>
          <t>Produto</t>
        </is>
      </c>
      <c r="C731" t="inlineStr">
        <is>
          <t>Luva de goleiro iniciante azul tam. 40</t>
        </is>
      </c>
      <c r="D731" s="10">
        <f>ROUND(D731*(1+(E731/100)),2)</f>
        <v/>
      </c>
      <c r="E731" s="8" t="n">
        <v>15</v>
      </c>
    </row>
    <row r="732">
      <c r="A732" s="8" t="n">
        <v>731</v>
      </c>
      <c r="B732" s="8" t="inlineStr">
        <is>
          <t>Produto</t>
        </is>
      </c>
      <c r="C732" t="inlineStr">
        <is>
          <t>Mochila esportiva leve branco</t>
        </is>
      </c>
      <c r="D732" s="10">
        <f>ROUND(D732*(1+(E732/100)),2)</f>
        <v/>
      </c>
      <c r="E732" s="8" t="n">
        <v>15</v>
      </c>
    </row>
    <row r="733">
      <c r="A733" s="8" t="n">
        <v>732</v>
      </c>
      <c r="B733" s="8" t="inlineStr">
        <is>
          <t>Produto</t>
        </is>
      </c>
      <c r="C733" t="inlineStr">
        <is>
          <t>Jaqueta esportiva compacto cinza tam. 38</t>
        </is>
      </c>
      <c r="D733" s="10">
        <f>ROUND(D733*(1+(E733/100)),2)</f>
        <v/>
      </c>
      <c r="E733" s="8" t="n">
        <v>15</v>
      </c>
    </row>
    <row r="734">
      <c r="A734" s="8" t="n">
        <v>733</v>
      </c>
      <c r="B734" s="8" t="inlineStr">
        <is>
          <t>Produto</t>
        </is>
      </c>
      <c r="C734" t="inlineStr">
        <is>
          <t>Kettlebell premium cinza</t>
        </is>
      </c>
      <c r="D734" s="10">
        <f>ROUND(D734*(1+(E734/100)),2)</f>
        <v/>
      </c>
      <c r="E734" s="8" t="n">
        <v>15</v>
      </c>
    </row>
    <row r="735">
      <c r="A735" s="8" t="n">
        <v>734</v>
      </c>
      <c r="B735" s="8" t="inlineStr">
        <is>
          <t>Produto</t>
        </is>
      </c>
      <c r="C735" t="inlineStr">
        <is>
          <t>Tênis para quadra juvenil azul tam. 40</t>
        </is>
      </c>
      <c r="D735" s="10">
        <f>ROUND(D735*(1+(E735/100)),2)</f>
        <v/>
      </c>
      <c r="E735" s="8" t="n">
        <v>15</v>
      </c>
    </row>
    <row r="736">
      <c r="A736" s="8" t="n">
        <v>735</v>
      </c>
      <c r="B736" s="8" t="inlineStr">
        <is>
          <t>Produto</t>
        </is>
      </c>
      <c r="C736" t="inlineStr">
        <is>
          <t>Relógio esportivo para uso diário cinza</t>
        </is>
      </c>
      <c r="D736" s="10">
        <f>ROUND(D736*(1+(E736/100)),2)</f>
        <v/>
      </c>
      <c r="E736" s="8" t="n">
        <v>15</v>
      </c>
    </row>
    <row r="737">
      <c r="A737" s="8" t="n">
        <v>736</v>
      </c>
      <c r="B737" s="8" t="inlineStr">
        <is>
          <t>Produto</t>
        </is>
      </c>
      <c r="C737" t="inlineStr">
        <is>
          <t>Chuteira society reforçado branco tam. 38</t>
        </is>
      </c>
      <c r="D737" s="10">
        <f>ROUND(D737*(1+(E737/100)),2)</f>
        <v/>
      </c>
      <c r="E737" s="8" t="n">
        <v>15</v>
      </c>
    </row>
    <row r="738">
      <c r="A738" s="8" t="n">
        <v>737</v>
      </c>
      <c r="B738" s="8" t="inlineStr">
        <is>
          <t>Produto</t>
        </is>
      </c>
      <c r="C738" t="inlineStr">
        <is>
          <t>Capacete de ciclismo modelo básico vermelho</t>
        </is>
      </c>
      <c r="D738" s="10">
        <f>ROUND(D738*(1+(E738/100)),2)</f>
        <v/>
      </c>
      <c r="E738" s="8" t="n">
        <v>15</v>
      </c>
    </row>
    <row r="739">
      <c r="A739" s="8" t="n">
        <v>738</v>
      </c>
      <c r="B739" s="8" t="inlineStr">
        <is>
          <t>Produto</t>
        </is>
      </c>
      <c r="C739" t="inlineStr">
        <is>
          <t>Óculos esportivos leve branco</t>
        </is>
      </c>
      <c r="D739" s="10">
        <f>ROUND(D739*(1+(E739/100)),2)</f>
        <v/>
      </c>
      <c r="E739" s="8" t="n">
        <v>15</v>
      </c>
    </row>
    <row r="740">
      <c r="A740" s="8" t="n">
        <v>739</v>
      </c>
      <c r="B740" s="8" t="inlineStr">
        <is>
          <t>Produto</t>
        </is>
      </c>
      <c r="C740" t="inlineStr">
        <is>
          <t>Bola de futebol premium verde</t>
        </is>
      </c>
      <c r="D740" s="10">
        <f>ROUND(D740*(1+(E740/100)),2)</f>
        <v/>
      </c>
      <c r="E740" s="8" t="n">
        <v>15</v>
      </c>
    </row>
    <row r="741">
      <c r="A741" s="8" t="n">
        <v>740</v>
      </c>
      <c r="B741" s="8" t="inlineStr">
        <is>
          <t>Produto</t>
        </is>
      </c>
      <c r="C741" t="inlineStr">
        <is>
          <t>Camiseta esportiva leve rosa tam. M</t>
        </is>
      </c>
      <c r="D741" s="10">
        <f>ROUND(D741*(1+(E741/100)),2)</f>
        <v/>
      </c>
      <c r="E741" s="8" t="n">
        <v>15</v>
      </c>
    </row>
    <row r="742">
      <c r="A742" s="8" t="n">
        <v>741</v>
      </c>
      <c r="B742" s="8" t="inlineStr">
        <is>
          <t>Produto</t>
        </is>
      </c>
      <c r="C742" t="inlineStr">
        <is>
          <t>Bicicleta ergométrica para uso diário laranja</t>
        </is>
      </c>
      <c r="D742" s="10">
        <f>ROUND(D742*(1+(E742/100)),2)</f>
        <v/>
      </c>
      <c r="E742" s="8" t="n">
        <v>15</v>
      </c>
    </row>
    <row r="743">
      <c r="A743" s="8" t="n">
        <v>742</v>
      </c>
      <c r="B743" s="8" t="inlineStr">
        <is>
          <t>Produto</t>
        </is>
      </c>
      <c r="C743" t="inlineStr">
        <is>
          <t>Bloco para yoga juvenil verde</t>
        </is>
      </c>
      <c r="D743" s="10">
        <f>ROUND(D743*(1+(E743/100)),2)</f>
        <v/>
      </c>
      <c r="E743" s="8" t="n">
        <v>15</v>
      </c>
    </row>
    <row r="744">
      <c r="A744" s="8" t="n">
        <v>743</v>
      </c>
      <c r="B744" s="8" t="inlineStr">
        <is>
          <t>Produto</t>
        </is>
      </c>
      <c r="C744" t="inlineStr">
        <is>
          <t>Bola de futebol resistente verde</t>
        </is>
      </c>
      <c r="D744" s="10">
        <f>ROUND(D744*(1+(E744/100)),2)</f>
        <v/>
      </c>
      <c r="E744" s="8" t="n">
        <v>15</v>
      </c>
    </row>
    <row r="745">
      <c r="A745" s="8" t="n">
        <v>744</v>
      </c>
      <c r="B745" s="8" t="inlineStr">
        <is>
          <t>Produto</t>
        </is>
      </c>
      <c r="C745" t="inlineStr">
        <is>
          <t>Bola de futebol compacto branco</t>
        </is>
      </c>
      <c r="D745" s="10">
        <f>ROUND(D745*(1+(E745/100)),2)</f>
        <v/>
      </c>
      <c r="E745" s="8" t="n">
        <v>15</v>
      </c>
    </row>
    <row r="746">
      <c r="A746" s="8" t="n">
        <v>745</v>
      </c>
      <c r="B746" s="8" t="inlineStr">
        <is>
          <t>Produto</t>
        </is>
      </c>
      <c r="C746" t="inlineStr">
        <is>
          <t>Tênis de corrida resistente cinza tam. G</t>
        </is>
      </c>
      <c r="D746" s="10">
        <f>ROUND(D746*(1+(E746/100)),2)</f>
        <v/>
      </c>
      <c r="E746" s="8" t="n">
        <v>15</v>
      </c>
    </row>
    <row r="747">
      <c r="A747" s="8" t="n">
        <v>746</v>
      </c>
      <c r="B747" s="8" t="inlineStr">
        <is>
          <t>Produto</t>
        </is>
      </c>
      <c r="C747" t="inlineStr">
        <is>
          <t>Bola de vôlei iniciante rosa</t>
        </is>
      </c>
      <c r="D747" s="10">
        <f>ROUND(D747*(1+(E747/100)),2)</f>
        <v/>
      </c>
      <c r="E747" s="8" t="n">
        <v>15</v>
      </c>
    </row>
    <row r="748">
      <c r="A748" s="8" t="n">
        <v>747</v>
      </c>
      <c r="B748" s="8" t="inlineStr">
        <is>
          <t>Produto</t>
        </is>
      </c>
      <c r="C748" t="inlineStr">
        <is>
          <t>Saco de pancadas modelo básico laranja</t>
        </is>
      </c>
      <c r="D748" s="10">
        <f>ROUND(D748*(1+(E748/100)),2)</f>
        <v/>
      </c>
      <c r="E748" s="8" t="n">
        <v>15</v>
      </c>
    </row>
    <row r="749">
      <c r="A749" s="8" t="n">
        <v>748</v>
      </c>
      <c r="B749" s="8" t="inlineStr">
        <is>
          <t>Produto</t>
        </is>
      </c>
      <c r="C749" t="inlineStr">
        <is>
          <t>Chuteira de campo ergonômico branco tam. GG</t>
        </is>
      </c>
      <c r="D749" s="10">
        <f>ROUND(D749*(1+(E749/100)),2)</f>
        <v/>
      </c>
      <c r="E749" s="8" t="n">
        <v>15</v>
      </c>
    </row>
    <row r="750">
      <c r="A750" s="8" t="n">
        <v>749</v>
      </c>
      <c r="B750" s="8" t="inlineStr">
        <is>
          <t>Produto</t>
        </is>
      </c>
      <c r="C750" t="inlineStr">
        <is>
          <t>Elástico de resistência compacto verde</t>
        </is>
      </c>
      <c r="D750" s="10">
        <f>ROUND(D750*(1+(E750/100)),2)</f>
        <v/>
      </c>
      <c r="E750" s="8" t="n">
        <v>15</v>
      </c>
    </row>
    <row r="751">
      <c r="A751" s="8" t="n">
        <v>750</v>
      </c>
      <c r="B751" s="8" t="inlineStr">
        <is>
          <t>Produto</t>
        </is>
      </c>
      <c r="C751" t="inlineStr">
        <is>
          <t>Chuteira de campo adulto vermelho tam. M</t>
        </is>
      </c>
      <c r="D751" s="10">
        <f>ROUND(D751*(1+(E751/100)),2)</f>
        <v/>
      </c>
      <c r="E751" s="8" t="n">
        <v>15</v>
      </c>
    </row>
    <row r="752">
      <c r="A752" s="8" t="n">
        <v>751</v>
      </c>
      <c r="B752" s="8" t="inlineStr">
        <is>
          <t>Produto</t>
        </is>
      </c>
      <c r="C752" t="inlineStr">
        <is>
          <t>Óculos de natação para uso diário cinza</t>
        </is>
      </c>
      <c r="D752" s="10">
        <f>ROUND(D752*(1+(E752/100)),2)</f>
        <v/>
      </c>
      <c r="E752" s="8" t="n">
        <v>15</v>
      </c>
    </row>
    <row r="753">
      <c r="A753" s="8" t="n">
        <v>752</v>
      </c>
      <c r="B753" s="8" t="inlineStr">
        <is>
          <t>Produto</t>
        </is>
      </c>
      <c r="C753" t="inlineStr">
        <is>
          <t>Kimono de judô versão 2026 preto tam. M</t>
        </is>
      </c>
      <c r="D753" s="10">
        <f>ROUND(D753*(1+(E753/100)),2)</f>
        <v/>
      </c>
      <c r="E753" s="8" t="n">
        <v>15</v>
      </c>
    </row>
    <row r="754">
      <c r="A754" s="8" t="n">
        <v>753</v>
      </c>
      <c r="B754" s="8" t="inlineStr">
        <is>
          <t>Produto</t>
        </is>
      </c>
      <c r="C754" t="inlineStr">
        <is>
          <t>Bola de basquete treino laranja</t>
        </is>
      </c>
      <c r="D754" s="10">
        <f>ROUND(D754*(1+(E754/100)),2)</f>
        <v/>
      </c>
      <c r="E754" s="8" t="n">
        <v>15</v>
      </c>
    </row>
    <row r="755">
      <c r="A755" s="8" t="n">
        <v>754</v>
      </c>
      <c r="B755" s="8" t="inlineStr">
        <is>
          <t>Produto</t>
        </is>
      </c>
      <c r="C755" t="inlineStr">
        <is>
          <t>Tênis para quadra premium rosa tam. G</t>
        </is>
      </c>
      <c r="D755" s="10">
        <f>ROUND(D755*(1+(E755/100)),2)</f>
        <v/>
      </c>
      <c r="E755" s="8" t="n">
        <v>15</v>
      </c>
    </row>
    <row r="756">
      <c r="A756" s="8" t="n">
        <v>755</v>
      </c>
      <c r="B756" s="8" t="inlineStr">
        <is>
          <t>Produto</t>
        </is>
      </c>
      <c r="C756" t="inlineStr">
        <is>
          <t>Nadadeira iniciante laranja</t>
        </is>
      </c>
      <c r="D756" s="10">
        <f>ROUND(D756*(1+(E756/100)),2)</f>
        <v/>
      </c>
      <c r="E756" s="8" t="n">
        <v>15</v>
      </c>
    </row>
    <row r="757">
      <c r="A757" s="8" t="n">
        <v>756</v>
      </c>
      <c r="B757" s="8" t="inlineStr">
        <is>
          <t>Produto</t>
        </is>
      </c>
      <c r="C757" t="inlineStr">
        <is>
          <t>Prancha de natação premium vermelho</t>
        </is>
      </c>
      <c r="D757" s="10">
        <f>ROUND(D757*(1+(E757/100)),2)</f>
        <v/>
      </c>
      <c r="E757" s="8" t="n">
        <v>15</v>
      </c>
    </row>
    <row r="758">
      <c r="A758" s="8" t="n">
        <v>757</v>
      </c>
      <c r="B758" s="8" t="inlineStr">
        <is>
          <t>Produto</t>
        </is>
      </c>
      <c r="C758" t="inlineStr">
        <is>
          <t>Tênis de corrida versão 2026 azul tam. 34</t>
        </is>
      </c>
      <c r="D758" s="10">
        <f>ROUND(D758*(1+(E758/100)),2)</f>
        <v/>
      </c>
      <c r="E758" s="8" t="n">
        <v>15</v>
      </c>
    </row>
    <row r="759">
      <c r="A759" s="8" t="n">
        <v>758</v>
      </c>
      <c r="B759" s="8" t="inlineStr">
        <is>
          <t>Produto</t>
        </is>
      </c>
      <c r="C759" t="inlineStr">
        <is>
          <t>Tênis de corrida reforçado verde tam. 34</t>
        </is>
      </c>
      <c r="D759" s="10">
        <f>ROUND(D759*(1+(E759/100)),2)</f>
        <v/>
      </c>
      <c r="E759" s="8" t="n">
        <v>15</v>
      </c>
    </row>
    <row r="760">
      <c r="A760" s="8" t="n">
        <v>759</v>
      </c>
      <c r="B760" s="8" t="inlineStr">
        <is>
          <t>Produto</t>
        </is>
      </c>
      <c r="C760" t="inlineStr">
        <is>
          <t>Short esportivo alta performance cinza tam. G</t>
        </is>
      </c>
      <c r="D760" s="10">
        <f>ROUND(D760*(1+(E760/100)),2)</f>
        <v/>
      </c>
      <c r="E760" s="8" t="n">
        <v>15</v>
      </c>
    </row>
    <row r="761">
      <c r="A761" s="8" t="n">
        <v>760</v>
      </c>
      <c r="B761" s="8" t="inlineStr">
        <is>
          <t>Produto</t>
        </is>
      </c>
      <c r="C761" t="inlineStr">
        <is>
          <t>Óculos esportivos ergonômico branco</t>
        </is>
      </c>
      <c r="D761" s="10">
        <f>ROUND(D761*(1+(E761/100)),2)</f>
        <v/>
      </c>
      <c r="E761" s="8" t="n">
        <v>15</v>
      </c>
    </row>
    <row r="762">
      <c r="A762" s="8" t="n">
        <v>761</v>
      </c>
      <c r="B762" s="8" t="inlineStr">
        <is>
          <t>Produto</t>
        </is>
      </c>
      <c r="C762" t="inlineStr">
        <is>
          <t>Bola de futebol treino rosa</t>
        </is>
      </c>
      <c r="D762" s="10">
        <f>ROUND(D762*(1+(E762/100)),2)</f>
        <v/>
      </c>
      <c r="E762" s="8" t="n">
        <v>15</v>
      </c>
    </row>
    <row r="763">
      <c r="A763" s="8" t="n">
        <v>762</v>
      </c>
      <c r="B763" s="8" t="inlineStr">
        <is>
          <t>Produto</t>
        </is>
      </c>
      <c r="C763" t="inlineStr">
        <is>
          <t>Raquete de badminton profissional azul</t>
        </is>
      </c>
      <c r="D763" s="10">
        <f>ROUND(D763*(1+(E763/100)),2)</f>
        <v/>
      </c>
      <c r="E763" s="8" t="n">
        <v>15</v>
      </c>
    </row>
    <row r="764">
      <c r="A764" s="8" t="n">
        <v>763</v>
      </c>
      <c r="B764" s="8" t="inlineStr">
        <is>
          <t>Produto</t>
        </is>
      </c>
      <c r="C764" t="inlineStr">
        <is>
          <t>Óculos de natação com ajuste cinza</t>
        </is>
      </c>
      <c r="D764" s="10">
        <f>ROUND(D764*(1+(E764/100)),2)</f>
        <v/>
      </c>
      <c r="E764" s="8" t="n">
        <v>15</v>
      </c>
    </row>
    <row r="765">
      <c r="A765" s="8" t="n">
        <v>764</v>
      </c>
      <c r="B765" s="8" t="inlineStr">
        <is>
          <t>Produto</t>
        </is>
      </c>
      <c r="C765" t="inlineStr">
        <is>
          <t>Raquete de tênis leve preto tam. 34</t>
        </is>
      </c>
      <c r="D765" s="10">
        <f>ROUND(D765*(1+(E765/100)),2)</f>
        <v/>
      </c>
      <c r="E765" s="8" t="n">
        <v>15</v>
      </c>
    </row>
    <row r="766">
      <c r="A766" s="8" t="n">
        <v>765</v>
      </c>
      <c r="B766" s="8" t="inlineStr">
        <is>
          <t>Produto</t>
        </is>
      </c>
      <c r="C766" t="inlineStr">
        <is>
          <t>Nadadeira alta performance azul</t>
        </is>
      </c>
      <c r="D766" s="10">
        <f>ROUND(D766*(1+(E766/100)),2)</f>
        <v/>
      </c>
      <c r="E766" s="8" t="n">
        <v>15</v>
      </c>
    </row>
    <row r="767">
      <c r="A767" s="8" t="n">
        <v>766</v>
      </c>
      <c r="B767" s="8" t="inlineStr">
        <is>
          <t>Produto</t>
        </is>
      </c>
      <c r="C767" t="inlineStr">
        <is>
          <t>Step de ginástica adulto vermelho</t>
        </is>
      </c>
      <c r="D767" s="10">
        <f>ROUND(D767*(1+(E767/100)),2)</f>
        <v/>
      </c>
      <c r="E767" s="8" t="n">
        <v>15</v>
      </c>
    </row>
    <row r="768">
      <c r="A768" s="8" t="n">
        <v>767</v>
      </c>
      <c r="B768" s="8" t="inlineStr">
        <is>
          <t>Produto</t>
        </is>
      </c>
      <c r="C768" t="inlineStr">
        <is>
          <t>Camiseta esportiva modelo avançado rosa tam. 44</t>
        </is>
      </c>
      <c r="D768" s="10">
        <f>ROUND(D768*(1+(E768/100)),2)</f>
        <v/>
      </c>
      <c r="E768" s="8" t="n">
        <v>15</v>
      </c>
    </row>
    <row r="769">
      <c r="A769" s="8" t="n">
        <v>768</v>
      </c>
      <c r="B769" s="8" t="inlineStr">
        <is>
          <t>Produto</t>
        </is>
      </c>
      <c r="C769" t="inlineStr">
        <is>
          <t>Bastão de caminhada modelo avançado branco</t>
        </is>
      </c>
      <c r="D769" s="10">
        <f>ROUND(D769*(1+(E769/100)),2)</f>
        <v/>
      </c>
      <c r="E769" s="8" t="n">
        <v>15</v>
      </c>
    </row>
    <row r="770">
      <c r="A770" s="8" t="n">
        <v>769</v>
      </c>
      <c r="B770" s="8" t="inlineStr">
        <is>
          <t>Produto</t>
        </is>
      </c>
      <c r="C770" t="inlineStr">
        <is>
          <t>Elástico de resistência com ajuste cinza</t>
        </is>
      </c>
      <c r="D770" s="10">
        <f>ROUND(D770*(1+(E770/100)),2)</f>
        <v/>
      </c>
      <c r="E770" s="8" t="n">
        <v>15</v>
      </c>
    </row>
    <row r="771">
      <c r="A771" s="8" t="n">
        <v>770</v>
      </c>
      <c r="B771" s="8" t="inlineStr">
        <is>
          <t>Produto</t>
        </is>
      </c>
      <c r="C771" t="inlineStr">
        <is>
          <t>Skate alta performance vermelho</t>
        </is>
      </c>
      <c r="D771" s="10">
        <f>ROUND(D771*(1+(E771/100)),2)</f>
        <v/>
      </c>
      <c r="E771" s="8" t="n">
        <v>15</v>
      </c>
    </row>
    <row r="772">
      <c r="A772" s="8" t="n">
        <v>771</v>
      </c>
      <c r="B772" s="8" t="inlineStr">
        <is>
          <t>Produto</t>
        </is>
      </c>
      <c r="C772" t="inlineStr">
        <is>
          <t>Skate leve azul</t>
        </is>
      </c>
      <c r="D772" s="10">
        <f>ROUND(D772*(1+(E772/100)),2)</f>
        <v/>
      </c>
      <c r="E772" s="8" t="n">
        <v>15</v>
      </c>
    </row>
    <row r="773">
      <c r="A773" s="8" t="n">
        <v>772</v>
      </c>
      <c r="B773" s="8" t="inlineStr">
        <is>
          <t>Produto</t>
        </is>
      </c>
      <c r="C773" t="inlineStr">
        <is>
          <t>Luva de boxe unissex rosa tam. G</t>
        </is>
      </c>
      <c r="D773" s="10">
        <f>ROUND(D773*(1+(E773/100)),2)</f>
        <v/>
      </c>
      <c r="E773" s="8" t="n">
        <v>15</v>
      </c>
    </row>
    <row r="774">
      <c r="A774" s="8" t="n">
        <v>773</v>
      </c>
      <c r="B774" s="8" t="inlineStr">
        <is>
          <t>Produto</t>
        </is>
      </c>
      <c r="C774" t="inlineStr">
        <is>
          <t>Banco de musculação versão 2026 preto</t>
        </is>
      </c>
      <c r="D774" s="10">
        <f>ROUND(D774*(1+(E774/100)),2)</f>
        <v/>
      </c>
      <c r="E774" s="8" t="n">
        <v>15</v>
      </c>
    </row>
    <row r="775">
      <c r="A775" s="8" t="n">
        <v>774</v>
      </c>
      <c r="B775" s="8" t="inlineStr">
        <is>
          <t>Produto</t>
        </is>
      </c>
      <c r="C775" t="inlineStr">
        <is>
          <t>Bastão de caminhada ergonômico rosa</t>
        </is>
      </c>
      <c r="D775" s="10">
        <f>ROUND(D775*(1+(E775/100)),2)</f>
        <v/>
      </c>
      <c r="E775" s="8" t="n">
        <v>15</v>
      </c>
    </row>
    <row r="776">
      <c r="A776" s="8" t="n">
        <v>775</v>
      </c>
      <c r="B776" s="8" t="inlineStr">
        <is>
          <t>Produto</t>
        </is>
      </c>
      <c r="C776" t="inlineStr">
        <is>
          <t>Corda de pular juvenil azul</t>
        </is>
      </c>
      <c r="D776" s="10">
        <f>ROUND(D776*(1+(E776/100)),2)</f>
        <v/>
      </c>
      <c r="E776" s="8" t="n">
        <v>15</v>
      </c>
    </row>
    <row r="777">
      <c r="A777" s="8" t="n">
        <v>776</v>
      </c>
      <c r="B777" s="8" t="inlineStr">
        <is>
          <t>Produto</t>
        </is>
      </c>
      <c r="C777" t="inlineStr">
        <is>
          <t>Halter resistente verde</t>
        </is>
      </c>
      <c r="D777" s="10">
        <f>ROUND(D777*(1+(E777/100)),2)</f>
        <v/>
      </c>
      <c r="E777" s="8" t="n">
        <v>15</v>
      </c>
    </row>
    <row r="778">
      <c r="A778" s="8" t="n">
        <v>777</v>
      </c>
      <c r="B778" s="8" t="inlineStr">
        <is>
          <t>Produto</t>
        </is>
      </c>
      <c r="C778" t="inlineStr">
        <is>
          <t>Prancha de natação resistente azul</t>
        </is>
      </c>
      <c r="D778" s="10">
        <f>ROUND(D778*(1+(E778/100)),2)</f>
        <v/>
      </c>
      <c r="E778" s="8" t="n">
        <v>15</v>
      </c>
    </row>
    <row r="779">
      <c r="A779" s="8" t="n">
        <v>778</v>
      </c>
      <c r="B779" s="8" t="inlineStr">
        <is>
          <t>Produto</t>
        </is>
      </c>
      <c r="C779" t="inlineStr">
        <is>
          <t>Bastão de caminhada ergonômico branco</t>
        </is>
      </c>
      <c r="D779" s="10">
        <f>ROUND(D779*(1+(E779/100)),2)</f>
        <v/>
      </c>
      <c r="E779" s="8" t="n">
        <v>15</v>
      </c>
    </row>
    <row r="780">
      <c r="A780" s="8" t="n">
        <v>779</v>
      </c>
      <c r="B780" s="8" t="inlineStr">
        <is>
          <t>Produto</t>
        </is>
      </c>
      <c r="C780" t="inlineStr">
        <is>
          <t>Óculos de natação recreativo preto</t>
        </is>
      </c>
      <c r="D780" s="10">
        <f>ROUND(D780*(1+(E780/100)),2)</f>
        <v/>
      </c>
      <c r="E780" s="8" t="n">
        <v>15</v>
      </c>
    </row>
    <row r="781">
      <c r="A781" s="8" t="n">
        <v>780</v>
      </c>
      <c r="B781" s="8" t="inlineStr">
        <is>
          <t>Produto</t>
        </is>
      </c>
      <c r="C781" t="inlineStr">
        <is>
          <t>Camiseta esportiva ergonômico rosa tam. G</t>
        </is>
      </c>
      <c r="D781" s="10">
        <f>ROUND(D781*(1+(E781/100)),2)</f>
        <v/>
      </c>
      <c r="E781" s="8" t="n">
        <v>15</v>
      </c>
    </row>
    <row r="782">
      <c r="A782" s="8" t="n">
        <v>781</v>
      </c>
      <c r="B782" s="8" t="inlineStr">
        <is>
          <t>Produto</t>
        </is>
      </c>
      <c r="C782" t="inlineStr">
        <is>
          <t>Óculos esportivos compacto branco</t>
        </is>
      </c>
      <c r="D782" s="10">
        <f>ROUND(D782*(1+(E782/100)),2)</f>
        <v/>
      </c>
      <c r="E782" s="8" t="n">
        <v>15</v>
      </c>
    </row>
    <row r="783">
      <c r="A783" s="8" t="n">
        <v>782</v>
      </c>
      <c r="B783" s="8" t="inlineStr">
        <is>
          <t>Produto</t>
        </is>
      </c>
      <c r="C783" t="inlineStr">
        <is>
          <t>Raquete de tênis compacto laranja tam. 38</t>
        </is>
      </c>
      <c r="D783" s="10">
        <f>ROUND(D783*(1+(E783/100)),2)</f>
        <v/>
      </c>
      <c r="E783" s="8" t="n">
        <v>15</v>
      </c>
    </row>
    <row r="784">
      <c r="A784" s="8" t="n">
        <v>783</v>
      </c>
      <c r="B784" s="8" t="inlineStr">
        <is>
          <t>Produto</t>
        </is>
      </c>
      <c r="C784" t="inlineStr">
        <is>
          <t>Raquete de badminton com ajuste rosa</t>
        </is>
      </c>
      <c r="D784" s="10">
        <f>ROUND(D784*(1+(E784/100)),2)</f>
        <v/>
      </c>
      <c r="E784" s="8" t="n">
        <v>15</v>
      </c>
    </row>
    <row r="785">
      <c r="A785" s="8" t="n">
        <v>784</v>
      </c>
      <c r="B785" s="8" t="inlineStr">
        <is>
          <t>Produto</t>
        </is>
      </c>
      <c r="C785" t="inlineStr">
        <is>
          <t>Óculos esportivos modelo básico azul</t>
        </is>
      </c>
      <c r="D785" s="10">
        <f>ROUND(D785*(1+(E785/100)),2)</f>
        <v/>
      </c>
      <c r="E785" s="8" t="n">
        <v>15</v>
      </c>
    </row>
    <row r="786">
      <c r="A786" s="8" t="n">
        <v>785</v>
      </c>
      <c r="B786" s="8" t="inlineStr">
        <is>
          <t>Produto</t>
        </is>
      </c>
      <c r="C786" t="inlineStr">
        <is>
          <t>Bola de pilates treino laranja</t>
        </is>
      </c>
      <c r="D786" s="10">
        <f>ROUND(D786*(1+(E786/100)),2)</f>
        <v/>
      </c>
      <c r="E786" s="8" t="n">
        <v>15</v>
      </c>
    </row>
    <row r="787">
      <c r="A787" s="8" t="n">
        <v>786</v>
      </c>
      <c r="B787" s="8" t="inlineStr">
        <is>
          <t>Produto</t>
        </is>
      </c>
      <c r="C787" t="inlineStr">
        <is>
          <t>Luva de goleiro adulto azul tam. 44</t>
        </is>
      </c>
      <c r="D787" s="10">
        <f>ROUND(D787*(1+(E787/100)),2)</f>
        <v/>
      </c>
      <c r="E787" s="8" t="n">
        <v>15</v>
      </c>
    </row>
    <row r="788">
      <c r="A788" s="8" t="n">
        <v>787</v>
      </c>
      <c r="B788" s="8" t="inlineStr">
        <is>
          <t>Produto</t>
        </is>
      </c>
      <c r="C788" t="inlineStr">
        <is>
          <t>Touca de natação resistente verde tam. 40</t>
        </is>
      </c>
      <c r="D788" s="10">
        <f>ROUND(D788*(1+(E788/100)),2)</f>
        <v/>
      </c>
      <c r="E788" s="8" t="n">
        <v>15</v>
      </c>
    </row>
    <row r="789">
      <c r="A789" s="8" t="n">
        <v>788</v>
      </c>
      <c r="B789" s="8" t="inlineStr">
        <is>
          <t>Produto</t>
        </is>
      </c>
      <c r="C789" t="inlineStr">
        <is>
          <t>Tapete de yoga compacto rosa</t>
        </is>
      </c>
      <c r="D789" s="10">
        <f>ROUND(D789*(1+(E789/100)),2)</f>
        <v/>
      </c>
      <c r="E789" s="8" t="n">
        <v>15</v>
      </c>
    </row>
    <row r="790">
      <c r="A790" s="8" t="n">
        <v>789</v>
      </c>
      <c r="B790" s="8" t="inlineStr">
        <is>
          <t>Produto</t>
        </is>
      </c>
      <c r="C790" t="inlineStr">
        <is>
          <t>Banco de musculação versão 2026 rosa</t>
        </is>
      </c>
      <c r="D790" s="10">
        <f>ROUND(D790*(1+(E790/100)),2)</f>
        <v/>
      </c>
      <c r="E790" s="8" t="n">
        <v>15</v>
      </c>
    </row>
    <row r="791">
      <c r="A791" s="8" t="n">
        <v>790</v>
      </c>
      <c r="B791" s="8" t="inlineStr">
        <is>
          <t>Produto</t>
        </is>
      </c>
      <c r="C791" t="inlineStr">
        <is>
          <t>Tapete de yoga treino azul</t>
        </is>
      </c>
      <c r="D791" s="10">
        <f>ROUND(D791*(1+(E791/100)),2)</f>
        <v/>
      </c>
      <c r="E791" s="8" t="n">
        <v>15</v>
      </c>
    </row>
    <row r="792">
      <c r="A792" s="8" t="n">
        <v>791</v>
      </c>
      <c r="B792" s="8" t="inlineStr">
        <is>
          <t>Produto</t>
        </is>
      </c>
      <c r="C792" t="inlineStr">
        <is>
          <t>Jaqueta esportiva modelo básico branco tam. 34</t>
        </is>
      </c>
      <c r="D792" s="10">
        <f>ROUND(D792*(1+(E792/100)),2)</f>
        <v/>
      </c>
      <c r="E792" s="8" t="n">
        <v>15</v>
      </c>
    </row>
    <row r="793">
      <c r="A793" s="8" t="n">
        <v>792</v>
      </c>
      <c r="B793" s="8" t="inlineStr">
        <is>
          <t>Produto</t>
        </is>
      </c>
      <c r="C793" t="inlineStr">
        <is>
          <t>Tapete de yoga juvenil vermelho</t>
        </is>
      </c>
      <c r="D793" s="10">
        <f>ROUND(D793*(1+(E793/100)),2)</f>
        <v/>
      </c>
      <c r="E793" s="8" t="n">
        <v>15</v>
      </c>
    </row>
    <row r="794">
      <c r="A794" s="8" t="n">
        <v>793</v>
      </c>
      <c r="B794" s="8" t="inlineStr">
        <is>
          <t>Produto</t>
        </is>
      </c>
      <c r="C794" t="inlineStr">
        <is>
          <t>Patins treino cinza</t>
        </is>
      </c>
      <c r="D794" s="10">
        <f>ROUND(D794*(1+(E794/100)),2)</f>
        <v/>
      </c>
      <c r="E794" s="8" t="n">
        <v>15</v>
      </c>
    </row>
    <row r="795">
      <c r="A795" s="8" t="n">
        <v>794</v>
      </c>
      <c r="B795" s="8" t="inlineStr">
        <is>
          <t>Produto</t>
        </is>
      </c>
      <c r="C795" t="inlineStr">
        <is>
          <t>Short esportivo para uso diário verde tam. 40</t>
        </is>
      </c>
      <c r="D795" s="10">
        <f>ROUND(D795*(1+(E795/100)),2)</f>
        <v/>
      </c>
      <c r="E795" s="8" t="n">
        <v>15</v>
      </c>
    </row>
    <row r="796">
      <c r="A796" s="8" t="n">
        <v>795</v>
      </c>
      <c r="B796" s="8" t="inlineStr">
        <is>
          <t>Produto</t>
        </is>
      </c>
      <c r="C796" t="inlineStr">
        <is>
          <t>Short esportivo treino laranja tam. P</t>
        </is>
      </c>
      <c r="D796" s="10">
        <f>ROUND(D796*(1+(E796/100)),2)</f>
        <v/>
      </c>
      <c r="E796" s="8" t="n">
        <v>15</v>
      </c>
    </row>
    <row r="797">
      <c r="A797" s="8" t="n">
        <v>796</v>
      </c>
      <c r="B797" s="8" t="inlineStr">
        <is>
          <t>Produto</t>
        </is>
      </c>
      <c r="C797" t="inlineStr">
        <is>
          <t>Nadadeira treino rosa</t>
        </is>
      </c>
      <c r="D797" s="10">
        <f>ROUND(D797*(1+(E797/100)),2)</f>
        <v/>
      </c>
      <c r="E797" s="8" t="n">
        <v>15</v>
      </c>
    </row>
    <row r="798">
      <c r="A798" s="8" t="n">
        <v>797</v>
      </c>
      <c r="B798" s="8" t="inlineStr">
        <is>
          <t>Produto</t>
        </is>
      </c>
      <c r="C798" t="inlineStr">
        <is>
          <t>Luva de boxe recreativo rosa tam. P</t>
        </is>
      </c>
      <c r="D798" s="10">
        <f>ROUND(D798*(1+(E798/100)),2)</f>
        <v/>
      </c>
      <c r="E798" s="8" t="n">
        <v>15</v>
      </c>
    </row>
    <row r="799">
      <c r="A799" s="8" t="n">
        <v>798</v>
      </c>
      <c r="B799" s="8" t="inlineStr">
        <is>
          <t>Produto</t>
        </is>
      </c>
      <c r="C799" t="inlineStr">
        <is>
          <t>Raquete de tênis alta performance rosa tam. 42</t>
        </is>
      </c>
      <c r="D799" s="10">
        <f>ROUND(D799*(1+(E799/100)),2)</f>
        <v/>
      </c>
      <c r="E799" s="8" t="n">
        <v>15</v>
      </c>
    </row>
    <row r="800">
      <c r="A800" s="8" t="n">
        <v>799</v>
      </c>
      <c r="B800" s="8" t="inlineStr">
        <is>
          <t>Produto</t>
        </is>
      </c>
      <c r="C800" t="inlineStr">
        <is>
          <t>Regata esportiva leve vermelho tam. M</t>
        </is>
      </c>
      <c r="D800" s="10">
        <f>ROUND(D800*(1+(E800/100)),2)</f>
        <v/>
      </c>
      <c r="E800" s="8" t="n">
        <v>15</v>
      </c>
    </row>
    <row r="801">
      <c r="A801" s="8" t="n">
        <v>800</v>
      </c>
      <c r="B801" s="8" t="inlineStr">
        <is>
          <t>Produto</t>
        </is>
      </c>
      <c r="C801" t="inlineStr">
        <is>
          <t>Saco de pancadas modelo básico laranja</t>
        </is>
      </c>
      <c r="D801" s="10">
        <f>ROUND(D801*(1+(E801/100)),2)</f>
        <v/>
      </c>
      <c r="E801" s="8" t="n">
        <v>15</v>
      </c>
    </row>
    <row r="802">
      <c r="A802" s="8" t="n">
        <v>801</v>
      </c>
      <c r="B802" s="8" t="inlineStr">
        <is>
          <t>Produto</t>
        </is>
      </c>
      <c r="C802" t="inlineStr">
        <is>
          <t>Saco de pancadas premium laranja</t>
        </is>
      </c>
      <c r="D802" s="10">
        <f>ROUND(D802*(1+(E802/100)),2)</f>
        <v/>
      </c>
      <c r="E802" s="8" t="n">
        <v>15</v>
      </c>
    </row>
    <row r="803">
      <c r="A803" s="8" t="n">
        <v>802</v>
      </c>
      <c r="B803" s="8" t="inlineStr">
        <is>
          <t>Produto</t>
        </is>
      </c>
      <c r="C803" t="inlineStr">
        <is>
          <t>Garrafa squeeze recreativo vermelho</t>
        </is>
      </c>
      <c r="D803" s="10">
        <f>ROUND(D803*(1+(E803/100)),2)</f>
        <v/>
      </c>
      <c r="E803" s="8" t="n">
        <v>15</v>
      </c>
    </row>
    <row r="804">
      <c r="A804" s="8" t="n">
        <v>803</v>
      </c>
      <c r="B804" s="8" t="inlineStr">
        <is>
          <t>Produto</t>
        </is>
      </c>
      <c r="C804" t="inlineStr">
        <is>
          <t>Skate iniciante branco</t>
        </is>
      </c>
      <c r="D804" s="10">
        <f>ROUND(D804*(1+(E804/100)),2)</f>
        <v/>
      </c>
      <c r="E804" s="8" t="n">
        <v>15</v>
      </c>
    </row>
    <row r="805">
      <c r="A805" s="8" t="n">
        <v>804</v>
      </c>
      <c r="B805" s="8" t="inlineStr">
        <is>
          <t>Produto</t>
        </is>
      </c>
      <c r="C805" t="inlineStr">
        <is>
          <t>Luva de goleiro reforçado verde tam. 44</t>
        </is>
      </c>
      <c r="D805" s="10">
        <f>ROUND(D805*(1+(E805/100)),2)</f>
        <v/>
      </c>
      <c r="E805" s="8" t="n">
        <v>15</v>
      </c>
    </row>
    <row r="806">
      <c r="A806" s="8" t="n">
        <v>805</v>
      </c>
      <c r="B806" s="8" t="inlineStr">
        <is>
          <t>Produto</t>
        </is>
      </c>
      <c r="C806" t="inlineStr">
        <is>
          <t>Nadadeira recreativo vermelho</t>
        </is>
      </c>
      <c r="D806" s="10">
        <f>ROUND(D806*(1+(E806/100)),2)</f>
        <v/>
      </c>
      <c r="E806" s="8" t="n">
        <v>15</v>
      </c>
    </row>
    <row r="807">
      <c r="A807" s="8" t="n">
        <v>806</v>
      </c>
      <c r="B807" s="8" t="inlineStr">
        <is>
          <t>Produto</t>
        </is>
      </c>
      <c r="C807" t="inlineStr">
        <is>
          <t>Skate treino branco</t>
        </is>
      </c>
      <c r="D807" s="10">
        <f>ROUND(D807*(1+(E807/100)),2)</f>
        <v/>
      </c>
      <c r="E807" s="8" t="n">
        <v>15</v>
      </c>
    </row>
    <row r="808">
      <c r="A808" s="8" t="n">
        <v>807</v>
      </c>
      <c r="B808" s="8" t="inlineStr">
        <is>
          <t>Produto</t>
        </is>
      </c>
      <c r="C808" t="inlineStr">
        <is>
          <t>Luva de boxe alta performance cinza tam. 38</t>
        </is>
      </c>
      <c r="D808" s="10">
        <f>ROUND(D808*(1+(E808/100)),2)</f>
        <v/>
      </c>
      <c r="E808" s="8" t="n">
        <v>15</v>
      </c>
    </row>
    <row r="809">
      <c r="A809" s="8" t="n">
        <v>808</v>
      </c>
      <c r="B809" s="8" t="inlineStr">
        <is>
          <t>Produto</t>
        </is>
      </c>
      <c r="C809" t="inlineStr">
        <is>
          <t>Monitor cardíaco adulto laranja</t>
        </is>
      </c>
      <c r="D809" s="10">
        <f>ROUND(D809*(1+(E809/100)),2)</f>
        <v/>
      </c>
      <c r="E809" s="8" t="n">
        <v>15</v>
      </c>
    </row>
    <row r="810">
      <c r="A810" s="8" t="n">
        <v>809</v>
      </c>
      <c r="B810" s="8" t="inlineStr">
        <is>
          <t>Produto</t>
        </is>
      </c>
      <c r="C810" t="inlineStr">
        <is>
          <t>Prancha de natação reforçado cinza</t>
        </is>
      </c>
      <c r="D810" s="10">
        <f>ROUND(D810*(1+(E810/100)),2)</f>
        <v/>
      </c>
      <c r="E810" s="8" t="n">
        <v>15</v>
      </c>
    </row>
    <row r="811">
      <c r="A811" s="8" t="n">
        <v>810</v>
      </c>
      <c r="B811" s="8" t="inlineStr">
        <is>
          <t>Produto</t>
        </is>
      </c>
      <c r="C811" t="inlineStr">
        <is>
          <t>Camiseta esportiva premium vermelho tam. P</t>
        </is>
      </c>
      <c r="D811" s="10">
        <f>ROUND(D811*(1+(E811/100)),2)</f>
        <v/>
      </c>
      <c r="E811" s="8" t="n">
        <v>15</v>
      </c>
    </row>
    <row r="812">
      <c r="A812" s="8" t="n">
        <v>811</v>
      </c>
      <c r="B812" s="8" t="inlineStr">
        <is>
          <t>Produto</t>
        </is>
      </c>
      <c r="C812" t="inlineStr">
        <is>
          <t>Garrafa squeeze ventilado preto</t>
        </is>
      </c>
      <c r="D812" s="10">
        <f>ROUND(D812*(1+(E812/100)),2)</f>
        <v/>
      </c>
      <c r="E812" s="8" t="n">
        <v>15</v>
      </c>
    </row>
    <row r="813">
      <c r="A813" s="8" t="n">
        <v>812</v>
      </c>
      <c r="B813" s="8" t="inlineStr">
        <is>
          <t>Produto</t>
        </is>
      </c>
      <c r="C813" t="inlineStr">
        <is>
          <t>Bicicleta urbana versão 2026 verde</t>
        </is>
      </c>
      <c r="D813" s="10">
        <f>ROUND(D813*(1+(E813/100)),2)</f>
        <v/>
      </c>
      <c r="E813" s="8" t="n">
        <v>15</v>
      </c>
    </row>
    <row r="814">
      <c r="A814" s="8" t="n">
        <v>813</v>
      </c>
      <c r="B814" s="8" t="inlineStr">
        <is>
          <t>Produto</t>
        </is>
      </c>
      <c r="C814" t="inlineStr">
        <is>
          <t>Luva de goleiro compacto cinza tam. P</t>
        </is>
      </c>
      <c r="D814" s="10">
        <f>ROUND(D814*(1+(E814/100)),2)</f>
        <v/>
      </c>
      <c r="E814" s="8" t="n">
        <v>15</v>
      </c>
    </row>
    <row r="815">
      <c r="A815" s="8" t="n">
        <v>814</v>
      </c>
      <c r="B815" s="8" t="inlineStr">
        <is>
          <t>Produto</t>
        </is>
      </c>
      <c r="C815" t="inlineStr">
        <is>
          <t>Bloco para yoga modelo básico preto</t>
        </is>
      </c>
      <c r="D815" s="10">
        <f>ROUND(D815*(1+(E815/100)),2)</f>
        <v/>
      </c>
      <c r="E815" s="8" t="n">
        <v>15</v>
      </c>
    </row>
    <row r="816">
      <c r="A816" s="8" t="n">
        <v>815</v>
      </c>
      <c r="B816" s="8" t="inlineStr">
        <is>
          <t>Produto</t>
        </is>
      </c>
      <c r="C816" t="inlineStr">
        <is>
          <t>Mochila esportiva versão 2026 rosa</t>
        </is>
      </c>
      <c r="D816" s="10">
        <f>ROUND(D816*(1+(E816/100)),2)</f>
        <v/>
      </c>
      <c r="E816" s="8" t="n">
        <v>15</v>
      </c>
    </row>
    <row r="817">
      <c r="A817" s="8" t="n">
        <v>816</v>
      </c>
      <c r="B817" s="8" t="inlineStr">
        <is>
          <t>Produto</t>
        </is>
      </c>
      <c r="C817" t="inlineStr">
        <is>
          <t>Touca de natação unissex verde tam. GG</t>
        </is>
      </c>
      <c r="D817" s="10">
        <f>ROUND(D817*(1+(E817/100)),2)</f>
        <v/>
      </c>
      <c r="E817" s="8" t="n">
        <v>15</v>
      </c>
    </row>
    <row r="818">
      <c r="A818" s="8" t="n">
        <v>817</v>
      </c>
      <c r="B818" s="8" t="inlineStr">
        <is>
          <t>Produto</t>
        </is>
      </c>
      <c r="C818" t="inlineStr">
        <is>
          <t>Regata esportiva leve vermelho tam. 42</t>
        </is>
      </c>
      <c r="D818" s="10">
        <f>ROUND(D818*(1+(E818/100)),2)</f>
        <v/>
      </c>
      <c r="E818" s="8" t="n">
        <v>15</v>
      </c>
    </row>
    <row r="819">
      <c r="A819" s="8" t="n">
        <v>818</v>
      </c>
      <c r="B819" s="8" t="inlineStr">
        <is>
          <t>Produto</t>
        </is>
      </c>
      <c r="C819" t="inlineStr">
        <is>
          <t>Bola de vôlei premium cinza</t>
        </is>
      </c>
      <c r="D819" s="10">
        <f>ROUND(D819*(1+(E819/100)),2)</f>
        <v/>
      </c>
      <c r="E819" s="8" t="n">
        <v>15</v>
      </c>
    </row>
    <row r="820">
      <c r="A820" s="8" t="n">
        <v>819</v>
      </c>
      <c r="B820" s="8" t="inlineStr">
        <is>
          <t>Produto</t>
        </is>
      </c>
      <c r="C820" t="inlineStr">
        <is>
          <t>Luva de boxe adulto branco tam. 40</t>
        </is>
      </c>
      <c r="D820" s="10">
        <f>ROUND(D820*(1+(E820/100)),2)</f>
        <v/>
      </c>
      <c r="E820" s="8" t="n">
        <v>15</v>
      </c>
    </row>
    <row r="821">
      <c r="A821" s="8" t="n">
        <v>820</v>
      </c>
      <c r="B821" s="8" t="inlineStr">
        <is>
          <t>Produto</t>
        </is>
      </c>
      <c r="C821" t="inlineStr">
        <is>
          <t>Chuteira society recreativo branco tam. 44</t>
        </is>
      </c>
      <c r="D821" s="10">
        <f>ROUND(D821*(1+(E821/100)),2)</f>
        <v/>
      </c>
      <c r="E821" s="8" t="n">
        <v>15</v>
      </c>
    </row>
    <row r="822">
      <c r="A822" s="8" t="n">
        <v>821</v>
      </c>
      <c r="B822" s="8" t="inlineStr">
        <is>
          <t>Produto</t>
        </is>
      </c>
      <c r="C822" t="inlineStr">
        <is>
          <t>Touca de natação iniciante rosa tam. 44</t>
        </is>
      </c>
      <c r="D822" s="10">
        <f>ROUND(D822*(1+(E822/100)),2)</f>
        <v/>
      </c>
      <c r="E822" s="8" t="n">
        <v>15</v>
      </c>
    </row>
    <row r="823">
      <c r="A823" s="8" t="n">
        <v>822</v>
      </c>
      <c r="B823" s="8" t="inlineStr">
        <is>
          <t>Produto</t>
        </is>
      </c>
      <c r="C823" t="inlineStr">
        <is>
          <t>Raquete de beach tennis resistente verde</t>
        </is>
      </c>
      <c r="D823" s="10">
        <f>ROUND(D823*(1+(E823/100)),2)</f>
        <v/>
      </c>
      <c r="E823" s="8" t="n">
        <v>15</v>
      </c>
    </row>
    <row r="824">
      <c r="A824" s="8" t="n">
        <v>823</v>
      </c>
      <c r="B824" s="8" t="inlineStr">
        <is>
          <t>Produto</t>
        </is>
      </c>
      <c r="C824" t="inlineStr">
        <is>
          <t>Monitor cardíaco resistente vermelho</t>
        </is>
      </c>
      <c r="D824" s="10">
        <f>ROUND(D824*(1+(E824/100)),2)</f>
        <v/>
      </c>
      <c r="E824" s="8" t="n">
        <v>15</v>
      </c>
    </row>
    <row r="825">
      <c r="A825" s="8" t="n">
        <v>824</v>
      </c>
      <c r="B825" s="8" t="inlineStr">
        <is>
          <t>Produto</t>
        </is>
      </c>
      <c r="C825" t="inlineStr">
        <is>
          <t>Caneleira de futebol profissional branco</t>
        </is>
      </c>
      <c r="D825" s="10">
        <f>ROUND(D825*(1+(E825/100)),2)</f>
        <v/>
      </c>
      <c r="E825" s="8" t="n">
        <v>15</v>
      </c>
    </row>
    <row r="826">
      <c r="A826" s="8" t="n">
        <v>825</v>
      </c>
      <c r="B826" s="8" t="inlineStr">
        <is>
          <t>Produto</t>
        </is>
      </c>
      <c r="C826" t="inlineStr">
        <is>
          <t>Calça legging modelo básico branco tam. 34</t>
        </is>
      </c>
      <c r="D826" s="10">
        <f>ROUND(D826*(1+(E826/100)),2)</f>
        <v/>
      </c>
      <c r="E826" s="8" t="n">
        <v>15</v>
      </c>
    </row>
    <row r="827">
      <c r="A827" s="8" t="n">
        <v>826</v>
      </c>
      <c r="B827" s="8" t="inlineStr">
        <is>
          <t>Produto</t>
        </is>
      </c>
      <c r="C827" t="inlineStr">
        <is>
          <t>Step de ginástica resistente rosa</t>
        </is>
      </c>
      <c r="D827" s="10">
        <f>ROUND(D827*(1+(E827/100)),2)</f>
        <v/>
      </c>
      <c r="E827" s="8" t="n">
        <v>15</v>
      </c>
    </row>
    <row r="828">
      <c r="A828" s="8" t="n">
        <v>827</v>
      </c>
      <c r="B828" s="8" t="inlineStr">
        <is>
          <t>Produto</t>
        </is>
      </c>
      <c r="C828" t="inlineStr">
        <is>
          <t>Step de ginástica treino branco</t>
        </is>
      </c>
      <c r="D828" s="10">
        <f>ROUND(D828*(1+(E828/100)),2)</f>
        <v/>
      </c>
      <c r="E828" s="8" t="n">
        <v>15</v>
      </c>
    </row>
    <row r="829">
      <c r="A829" s="8" t="n">
        <v>828</v>
      </c>
      <c r="B829" s="8" t="inlineStr">
        <is>
          <t>Produto</t>
        </is>
      </c>
      <c r="C829" t="inlineStr">
        <is>
          <t>Óculos de natação versão 2026 verde</t>
        </is>
      </c>
      <c r="D829" s="10">
        <f>ROUND(D829*(1+(E829/100)),2)</f>
        <v/>
      </c>
      <c r="E829" s="8" t="n">
        <v>15</v>
      </c>
    </row>
    <row r="830">
      <c r="A830" s="8" t="n">
        <v>829</v>
      </c>
      <c r="B830" s="8" t="inlineStr">
        <is>
          <t>Produto</t>
        </is>
      </c>
      <c r="C830" t="inlineStr">
        <is>
          <t>Nadadeira para uso diário azul</t>
        </is>
      </c>
      <c r="D830" s="10">
        <f>ROUND(D830*(1+(E830/100)),2)</f>
        <v/>
      </c>
      <c r="E830" s="8" t="n">
        <v>15</v>
      </c>
    </row>
    <row r="831">
      <c r="A831" s="8" t="n">
        <v>830</v>
      </c>
      <c r="B831" s="8" t="inlineStr">
        <is>
          <t>Produto</t>
        </is>
      </c>
      <c r="C831" t="inlineStr">
        <is>
          <t>Caneleira de futebol adulto branco</t>
        </is>
      </c>
      <c r="D831" s="10">
        <f>ROUND(D831*(1+(E831/100)),2)</f>
        <v/>
      </c>
      <c r="E831" s="8" t="n">
        <v>15</v>
      </c>
    </row>
    <row r="832">
      <c r="A832" s="8" t="n">
        <v>831</v>
      </c>
      <c r="B832" s="8" t="inlineStr">
        <is>
          <t>Produto</t>
        </is>
      </c>
      <c r="C832" t="inlineStr">
        <is>
          <t>Relógio esportivo ergonômico preto</t>
        </is>
      </c>
      <c r="D832" s="10">
        <f>ROUND(D832*(1+(E832/100)),2)</f>
        <v/>
      </c>
      <c r="E832" s="8" t="n">
        <v>15</v>
      </c>
    </row>
    <row r="833">
      <c r="A833" s="8" t="n">
        <v>832</v>
      </c>
      <c r="B833" s="8" t="inlineStr">
        <is>
          <t>Produto</t>
        </is>
      </c>
      <c r="C833" t="inlineStr">
        <is>
          <t>Óculos de natação modelo básico azul</t>
        </is>
      </c>
      <c r="D833" s="10">
        <f>ROUND(D833*(1+(E833/100)),2)</f>
        <v/>
      </c>
      <c r="E833" s="8" t="n">
        <v>15</v>
      </c>
    </row>
    <row r="834">
      <c r="A834" s="8" t="n">
        <v>833</v>
      </c>
      <c r="B834" s="8" t="inlineStr">
        <is>
          <t>Produto</t>
        </is>
      </c>
      <c r="C834" t="inlineStr">
        <is>
          <t>Camiseta esportiva ventilado preto tam. M</t>
        </is>
      </c>
      <c r="D834" s="10">
        <f>ROUND(D834*(1+(E834/100)),2)</f>
        <v/>
      </c>
      <c r="E834" s="8" t="n">
        <v>15</v>
      </c>
    </row>
    <row r="835">
      <c r="A835" s="8" t="n">
        <v>834</v>
      </c>
      <c r="B835" s="8" t="inlineStr">
        <is>
          <t>Produto</t>
        </is>
      </c>
      <c r="C835" t="inlineStr">
        <is>
          <t>Touca de natação alta performance azul tam. GG</t>
        </is>
      </c>
      <c r="D835" s="10">
        <f>ROUND(D835*(1+(E835/100)),2)</f>
        <v/>
      </c>
      <c r="E835" s="8" t="n">
        <v>15</v>
      </c>
    </row>
    <row r="836">
      <c r="A836" s="8" t="n">
        <v>835</v>
      </c>
      <c r="B836" s="8" t="inlineStr">
        <is>
          <t>Produto</t>
        </is>
      </c>
      <c r="C836" t="inlineStr">
        <is>
          <t>Skate profissional vermelho</t>
        </is>
      </c>
      <c r="D836" s="10">
        <f>ROUND(D836*(1+(E836/100)),2)</f>
        <v/>
      </c>
      <c r="E836" s="8" t="n">
        <v>15</v>
      </c>
    </row>
    <row r="837">
      <c r="A837" s="8" t="n">
        <v>836</v>
      </c>
      <c r="B837" s="8" t="inlineStr">
        <is>
          <t>Produto</t>
        </is>
      </c>
      <c r="C837" t="inlineStr">
        <is>
          <t>Patins juvenil azul</t>
        </is>
      </c>
      <c r="D837" s="10">
        <f>ROUND(D837*(1+(E837/100)),2)</f>
        <v/>
      </c>
      <c r="E837" s="8" t="n">
        <v>15</v>
      </c>
    </row>
    <row r="838">
      <c r="A838" s="8" t="n">
        <v>837</v>
      </c>
      <c r="B838" s="8" t="inlineStr">
        <is>
          <t>Produto</t>
        </is>
      </c>
      <c r="C838" t="inlineStr">
        <is>
          <t>Regata esportiva ventilado azul tam. 44</t>
        </is>
      </c>
      <c r="D838" s="10">
        <f>ROUND(D838*(1+(E838/100)),2)</f>
        <v/>
      </c>
      <c r="E838" s="8" t="n">
        <v>15</v>
      </c>
    </row>
    <row r="839">
      <c r="A839" s="8" t="n">
        <v>838</v>
      </c>
      <c r="B839" s="8" t="inlineStr">
        <is>
          <t>Produto</t>
        </is>
      </c>
      <c r="C839" t="inlineStr">
        <is>
          <t>Mochila esportiva para uso diário rosa</t>
        </is>
      </c>
      <c r="D839" s="10">
        <f>ROUND(D839*(1+(E839/100)),2)</f>
        <v/>
      </c>
      <c r="E839" s="8" t="n">
        <v>15</v>
      </c>
    </row>
    <row r="840">
      <c r="A840" s="8" t="n">
        <v>839</v>
      </c>
      <c r="B840" s="8" t="inlineStr">
        <is>
          <t>Produto</t>
        </is>
      </c>
      <c r="C840" t="inlineStr">
        <is>
          <t>Bicicleta ergométrica adulto laranja</t>
        </is>
      </c>
      <c r="D840" s="10">
        <f>ROUND(D840*(1+(E840/100)),2)</f>
        <v/>
      </c>
      <c r="E840" s="8" t="n">
        <v>15</v>
      </c>
    </row>
    <row r="841">
      <c r="A841" s="8" t="n">
        <v>840</v>
      </c>
      <c r="B841" s="8" t="inlineStr">
        <is>
          <t>Produto</t>
        </is>
      </c>
      <c r="C841" t="inlineStr">
        <is>
          <t>Caneleira de futebol versão 2026 azul</t>
        </is>
      </c>
      <c r="D841" s="10">
        <f>ROUND(D841*(1+(E841/100)),2)</f>
        <v/>
      </c>
      <c r="E841" s="8" t="n">
        <v>15</v>
      </c>
    </row>
    <row r="842">
      <c r="A842" s="8" t="n">
        <v>841</v>
      </c>
      <c r="B842" s="8" t="inlineStr">
        <is>
          <t>Produto</t>
        </is>
      </c>
      <c r="C842" t="inlineStr">
        <is>
          <t>Luva de boxe profissional branco tam. 42</t>
        </is>
      </c>
      <c r="D842" s="10">
        <f>ROUND(D842*(1+(E842/100)),2)</f>
        <v/>
      </c>
      <c r="E842" s="8" t="n">
        <v>15</v>
      </c>
    </row>
    <row r="843">
      <c r="A843" s="8" t="n">
        <v>842</v>
      </c>
      <c r="B843" s="8" t="inlineStr">
        <is>
          <t>Produto</t>
        </is>
      </c>
      <c r="C843" t="inlineStr">
        <is>
          <t>Nadadeira versão 2026 azul</t>
        </is>
      </c>
      <c r="D843" s="10">
        <f>ROUND(D843*(1+(E843/100)),2)</f>
        <v/>
      </c>
      <c r="E843" s="8" t="n">
        <v>15</v>
      </c>
    </row>
    <row r="844">
      <c r="A844" s="8" t="n">
        <v>843</v>
      </c>
      <c r="B844" s="8" t="inlineStr">
        <is>
          <t>Produto</t>
        </is>
      </c>
      <c r="C844" t="inlineStr">
        <is>
          <t>Bicicleta urbana para uso diário preto</t>
        </is>
      </c>
      <c r="D844" s="10">
        <f>ROUND(D844*(1+(E844/100)),2)</f>
        <v/>
      </c>
      <c r="E844" s="8" t="n">
        <v>15</v>
      </c>
    </row>
    <row r="845">
      <c r="A845" s="8" t="n">
        <v>844</v>
      </c>
      <c r="B845" s="8" t="inlineStr">
        <is>
          <t>Produto</t>
        </is>
      </c>
      <c r="C845" t="inlineStr">
        <is>
          <t>Caneleira de futebol recreativo laranja</t>
        </is>
      </c>
      <c r="D845" s="10">
        <f>ROUND(D845*(1+(E845/100)),2)</f>
        <v/>
      </c>
      <c r="E845" s="8" t="n">
        <v>15</v>
      </c>
    </row>
    <row r="846">
      <c r="A846" s="8" t="n">
        <v>845</v>
      </c>
      <c r="B846" s="8" t="inlineStr">
        <is>
          <t>Produto</t>
        </is>
      </c>
      <c r="C846" t="inlineStr">
        <is>
          <t>Caneleira de futebol recreativo cinza</t>
        </is>
      </c>
      <c r="D846" s="10">
        <f>ROUND(D846*(1+(E846/100)),2)</f>
        <v/>
      </c>
      <c r="E846" s="8" t="n">
        <v>15</v>
      </c>
    </row>
    <row r="847">
      <c r="A847" s="8" t="n">
        <v>846</v>
      </c>
      <c r="B847" s="8" t="inlineStr">
        <is>
          <t>Produto</t>
        </is>
      </c>
      <c r="C847" t="inlineStr">
        <is>
          <t>Bastão de caminhada adulto vermelho</t>
        </is>
      </c>
      <c r="D847" s="10">
        <f>ROUND(D847*(1+(E847/100)),2)</f>
        <v/>
      </c>
      <c r="E847" s="8" t="n">
        <v>15</v>
      </c>
    </row>
    <row r="848">
      <c r="A848" s="8" t="n">
        <v>847</v>
      </c>
      <c r="B848" s="8" t="inlineStr">
        <is>
          <t>Produto</t>
        </is>
      </c>
      <c r="C848" t="inlineStr">
        <is>
          <t>Bola de futebol versão 2026 laranja</t>
        </is>
      </c>
      <c r="D848" s="10">
        <f>ROUND(D848*(1+(E848/100)),2)</f>
        <v/>
      </c>
      <c r="E848" s="8" t="n">
        <v>15</v>
      </c>
    </row>
    <row r="849">
      <c r="A849" s="8" t="n">
        <v>848</v>
      </c>
      <c r="B849" s="8" t="inlineStr">
        <is>
          <t>Produto</t>
        </is>
      </c>
      <c r="C849" t="inlineStr">
        <is>
          <t>Raquete de badminton reforçado branco</t>
        </is>
      </c>
      <c r="D849" s="10">
        <f>ROUND(D849*(1+(E849/100)),2)</f>
        <v/>
      </c>
      <c r="E849" s="8" t="n">
        <v>15</v>
      </c>
    </row>
    <row r="850">
      <c r="A850" s="8" t="n">
        <v>849</v>
      </c>
      <c r="B850" s="8" t="inlineStr">
        <is>
          <t>Produto</t>
        </is>
      </c>
      <c r="C850" t="inlineStr">
        <is>
          <t>Óculos de natação recreativo vermelho</t>
        </is>
      </c>
      <c r="D850" s="10">
        <f>ROUND(D850*(1+(E850/100)),2)</f>
        <v/>
      </c>
      <c r="E850" s="8" t="n">
        <v>15</v>
      </c>
    </row>
    <row r="851">
      <c r="A851" s="8" t="n">
        <v>850</v>
      </c>
      <c r="B851" s="8" t="inlineStr">
        <is>
          <t>Produto</t>
        </is>
      </c>
      <c r="C851" t="inlineStr">
        <is>
          <t>Kimono de judô reforçado azul tam. G</t>
        </is>
      </c>
      <c r="D851" s="10">
        <f>ROUND(D851*(1+(E851/100)),2)</f>
        <v/>
      </c>
      <c r="E851" s="8" t="n">
        <v>15</v>
      </c>
    </row>
    <row r="852">
      <c r="A852" s="8" t="n">
        <v>851</v>
      </c>
      <c r="B852" s="8" t="inlineStr">
        <is>
          <t>Produto</t>
        </is>
      </c>
      <c r="C852" t="inlineStr">
        <is>
          <t>Protetor bucal ventilado rosa</t>
        </is>
      </c>
      <c r="D852" s="10">
        <f>ROUND(D852*(1+(E852/100)),2)</f>
        <v/>
      </c>
      <c r="E852" s="8" t="n">
        <v>15</v>
      </c>
    </row>
    <row r="853">
      <c r="A853" s="8" t="n">
        <v>852</v>
      </c>
      <c r="B853" s="8" t="inlineStr">
        <is>
          <t>Produto</t>
        </is>
      </c>
      <c r="C853" t="inlineStr">
        <is>
          <t>Raquete de beach tennis profissional cinza</t>
        </is>
      </c>
      <c r="D853" s="10">
        <f>ROUND(D853*(1+(E853/100)),2)</f>
        <v/>
      </c>
      <c r="E853" s="8" t="n">
        <v>15</v>
      </c>
    </row>
    <row r="854">
      <c r="A854" s="8" t="n">
        <v>853</v>
      </c>
      <c r="B854" s="8" t="inlineStr">
        <is>
          <t>Produto</t>
        </is>
      </c>
      <c r="C854" t="inlineStr">
        <is>
          <t>Bastão de caminhada ergonômico branco</t>
        </is>
      </c>
      <c r="D854" s="10">
        <f>ROUND(D854*(1+(E854/100)),2)</f>
        <v/>
      </c>
      <c r="E854" s="8" t="n">
        <v>15</v>
      </c>
    </row>
    <row r="855">
      <c r="A855" s="8" t="n">
        <v>854</v>
      </c>
      <c r="B855" s="8" t="inlineStr">
        <is>
          <t>Produto</t>
        </is>
      </c>
      <c r="C855" t="inlineStr">
        <is>
          <t>Prancha de natação treino cinza</t>
        </is>
      </c>
      <c r="D855" s="10">
        <f>ROUND(D855*(1+(E855/100)),2)</f>
        <v/>
      </c>
      <c r="E855" s="8" t="n">
        <v>15</v>
      </c>
    </row>
    <row r="856">
      <c r="A856" s="8" t="n">
        <v>855</v>
      </c>
      <c r="B856" s="8" t="inlineStr">
        <is>
          <t>Produto</t>
        </is>
      </c>
      <c r="C856" t="inlineStr">
        <is>
          <t>Short esportivo ergonômico rosa tam. 36</t>
        </is>
      </c>
      <c r="D856" s="10">
        <f>ROUND(D856*(1+(E856/100)),2)</f>
        <v/>
      </c>
      <c r="E856" s="8" t="n">
        <v>15</v>
      </c>
    </row>
    <row r="857">
      <c r="A857" s="8" t="n">
        <v>856</v>
      </c>
      <c r="B857" s="8" t="inlineStr">
        <is>
          <t>Produto</t>
        </is>
      </c>
      <c r="C857" t="inlineStr">
        <is>
          <t>Coqueteleira recreativo branco</t>
        </is>
      </c>
      <c r="D857" s="10">
        <f>ROUND(D857*(1+(E857/100)),2)</f>
        <v/>
      </c>
      <c r="E857" s="8" t="n">
        <v>15</v>
      </c>
    </row>
    <row r="858">
      <c r="A858" s="8" t="n">
        <v>857</v>
      </c>
      <c r="B858" s="8" t="inlineStr">
        <is>
          <t>Produto</t>
        </is>
      </c>
      <c r="C858" t="inlineStr">
        <is>
          <t>Bicicleta ergométrica adulto branco</t>
        </is>
      </c>
      <c r="D858" s="10">
        <f>ROUND(D858*(1+(E858/100)),2)</f>
        <v/>
      </c>
      <c r="E858" s="8" t="n">
        <v>15</v>
      </c>
    </row>
    <row r="859">
      <c r="A859" s="8" t="n">
        <v>858</v>
      </c>
      <c r="B859" s="8" t="inlineStr">
        <is>
          <t>Produto</t>
        </is>
      </c>
      <c r="C859" t="inlineStr">
        <is>
          <t>Jaqueta esportiva premium branco tam. G</t>
        </is>
      </c>
      <c r="D859" s="10">
        <f>ROUND(D859*(1+(E859/100)),2)</f>
        <v/>
      </c>
      <c r="E859" s="8" t="n">
        <v>15</v>
      </c>
    </row>
    <row r="860">
      <c r="A860" s="8" t="n">
        <v>859</v>
      </c>
      <c r="B860" s="8" t="inlineStr">
        <is>
          <t>Produto</t>
        </is>
      </c>
      <c r="C860" t="inlineStr">
        <is>
          <t>Kettlebell com ajuste rosa</t>
        </is>
      </c>
      <c r="D860" s="10">
        <f>ROUND(D860*(1+(E860/100)),2)</f>
        <v/>
      </c>
      <c r="E860" s="8" t="n">
        <v>15</v>
      </c>
    </row>
    <row r="861">
      <c r="A861" s="8" t="n">
        <v>860</v>
      </c>
      <c r="B861" s="8" t="inlineStr">
        <is>
          <t>Produto</t>
        </is>
      </c>
      <c r="C861" t="inlineStr">
        <is>
          <t>Coqueteleira ventilado azul</t>
        </is>
      </c>
      <c r="D861" s="10">
        <f>ROUND(D861*(1+(E861/100)),2)</f>
        <v/>
      </c>
      <c r="E861" s="8" t="n">
        <v>15</v>
      </c>
    </row>
    <row r="862">
      <c r="A862" s="8" t="n">
        <v>861</v>
      </c>
      <c r="B862" s="8" t="inlineStr">
        <is>
          <t>Produto</t>
        </is>
      </c>
      <c r="C862" t="inlineStr">
        <is>
          <t>Saco de pancadas premium vermelho</t>
        </is>
      </c>
      <c r="D862" s="10">
        <f>ROUND(D862*(1+(E862/100)),2)</f>
        <v/>
      </c>
      <c r="E862" s="8" t="n">
        <v>15</v>
      </c>
    </row>
    <row r="863">
      <c r="A863" s="8" t="n">
        <v>862</v>
      </c>
      <c r="B863" s="8" t="inlineStr">
        <is>
          <t>Produto</t>
        </is>
      </c>
      <c r="C863" t="inlineStr">
        <is>
          <t>Short esportivo profissional azul tam. P</t>
        </is>
      </c>
      <c r="D863" s="10">
        <f>ROUND(D863*(1+(E863/100)),2)</f>
        <v/>
      </c>
      <c r="E863" s="8" t="n">
        <v>15</v>
      </c>
    </row>
    <row r="864">
      <c r="A864" s="8" t="n">
        <v>863</v>
      </c>
      <c r="B864" s="8" t="inlineStr">
        <is>
          <t>Produto</t>
        </is>
      </c>
      <c r="C864" t="inlineStr">
        <is>
          <t>Touca de natação unissex laranja tam. 44</t>
        </is>
      </c>
      <c r="D864" s="10">
        <f>ROUND(D864*(1+(E864/100)),2)</f>
        <v/>
      </c>
      <c r="E864" s="8" t="n">
        <v>15</v>
      </c>
    </row>
    <row r="865">
      <c r="A865" s="8" t="n">
        <v>864</v>
      </c>
      <c r="B865" s="8" t="inlineStr">
        <is>
          <t>Produto</t>
        </is>
      </c>
      <c r="C865" t="inlineStr">
        <is>
          <t>Bola de vôlei premium rosa</t>
        </is>
      </c>
      <c r="D865" s="10">
        <f>ROUND(D865*(1+(E865/100)),2)</f>
        <v/>
      </c>
      <c r="E865" s="8" t="n">
        <v>15</v>
      </c>
    </row>
    <row r="866">
      <c r="A866" s="8" t="n">
        <v>865</v>
      </c>
      <c r="B866" s="8" t="inlineStr">
        <is>
          <t>Produto</t>
        </is>
      </c>
      <c r="C866" t="inlineStr">
        <is>
          <t>Chuteira society para uso diário verde tam. 44</t>
        </is>
      </c>
      <c r="D866" s="10">
        <f>ROUND(D866*(1+(E866/100)),2)</f>
        <v/>
      </c>
      <c r="E866" s="8" t="n">
        <v>15</v>
      </c>
    </row>
    <row r="867">
      <c r="A867" s="8" t="n">
        <v>866</v>
      </c>
      <c r="B867" s="8" t="inlineStr">
        <is>
          <t>Produto</t>
        </is>
      </c>
      <c r="C867" t="inlineStr">
        <is>
          <t>Garrafa squeeze com ajuste azul</t>
        </is>
      </c>
      <c r="D867" s="10">
        <f>ROUND(D867*(1+(E867/100)),2)</f>
        <v/>
      </c>
      <c r="E867" s="8" t="n">
        <v>15</v>
      </c>
    </row>
    <row r="868">
      <c r="A868" s="8" t="n">
        <v>867</v>
      </c>
      <c r="B868" s="8" t="inlineStr">
        <is>
          <t>Produto</t>
        </is>
      </c>
      <c r="C868" t="inlineStr">
        <is>
          <t>Relógio esportivo compacto vermelho</t>
        </is>
      </c>
      <c r="D868" s="10">
        <f>ROUND(D868*(1+(E868/100)),2)</f>
        <v/>
      </c>
      <c r="E868" s="8" t="n">
        <v>15</v>
      </c>
    </row>
    <row r="869">
      <c r="A869" s="8" t="n">
        <v>868</v>
      </c>
      <c r="B869" s="8" t="inlineStr">
        <is>
          <t>Produto</t>
        </is>
      </c>
      <c r="C869" t="inlineStr">
        <is>
          <t>Chuteira de campo leve vermelho tam. 44</t>
        </is>
      </c>
      <c r="D869" s="10">
        <f>ROUND(D869*(1+(E869/100)),2)</f>
        <v/>
      </c>
      <c r="E869" s="8" t="n">
        <v>15</v>
      </c>
    </row>
    <row r="870">
      <c r="A870" s="8" t="n">
        <v>869</v>
      </c>
      <c r="B870" s="8" t="inlineStr">
        <is>
          <t>Produto</t>
        </is>
      </c>
      <c r="C870" t="inlineStr">
        <is>
          <t>Prancha de natação ergonômico branco</t>
        </is>
      </c>
      <c r="D870" s="10">
        <f>ROUND(D870*(1+(E870/100)),2)</f>
        <v/>
      </c>
      <c r="E870" s="8" t="n">
        <v>15</v>
      </c>
    </row>
    <row r="871">
      <c r="A871" s="8" t="n">
        <v>870</v>
      </c>
      <c r="B871" s="8" t="inlineStr">
        <is>
          <t>Produto</t>
        </is>
      </c>
      <c r="C871" t="inlineStr">
        <is>
          <t>Step de ginástica compacto azul</t>
        </is>
      </c>
      <c r="D871" s="10">
        <f>ROUND(D871*(1+(E871/100)),2)</f>
        <v/>
      </c>
      <c r="E871" s="8" t="n">
        <v>15</v>
      </c>
    </row>
    <row r="872">
      <c r="A872" s="8" t="n">
        <v>871</v>
      </c>
      <c r="B872" s="8" t="inlineStr">
        <is>
          <t>Produto</t>
        </is>
      </c>
      <c r="C872" t="inlineStr">
        <is>
          <t>Jaqueta esportiva reforçado branco tam. 38</t>
        </is>
      </c>
      <c r="D872" s="10">
        <f>ROUND(D872*(1+(E872/100)),2)</f>
        <v/>
      </c>
      <c r="E872" s="8" t="n">
        <v>15</v>
      </c>
    </row>
    <row r="873">
      <c r="A873" s="8" t="n">
        <v>872</v>
      </c>
      <c r="B873" s="8" t="inlineStr">
        <is>
          <t>Produto</t>
        </is>
      </c>
      <c r="C873" t="inlineStr">
        <is>
          <t>Capacete de ciclismo juvenil branco</t>
        </is>
      </c>
      <c r="D873" s="10">
        <f>ROUND(D873*(1+(E873/100)),2)</f>
        <v/>
      </c>
      <c r="E873" s="8" t="n">
        <v>15</v>
      </c>
    </row>
    <row r="874">
      <c r="A874" s="8" t="n">
        <v>873</v>
      </c>
      <c r="B874" s="8" t="inlineStr">
        <is>
          <t>Produto</t>
        </is>
      </c>
      <c r="C874" t="inlineStr">
        <is>
          <t>Monitor cardíaco premium vermelho</t>
        </is>
      </c>
      <c r="D874" s="10">
        <f>ROUND(D874*(1+(E874/100)),2)</f>
        <v/>
      </c>
      <c r="E874" s="8" t="n">
        <v>15</v>
      </c>
    </row>
    <row r="875">
      <c r="A875" s="8" t="n">
        <v>874</v>
      </c>
      <c r="B875" s="8" t="inlineStr">
        <is>
          <t>Produto</t>
        </is>
      </c>
      <c r="C875" t="inlineStr">
        <is>
          <t>Bloco para yoga unissex azul</t>
        </is>
      </c>
      <c r="D875" s="10">
        <f>ROUND(D875*(1+(E875/100)),2)</f>
        <v/>
      </c>
      <c r="E875" s="8" t="n">
        <v>15</v>
      </c>
    </row>
    <row r="876">
      <c r="A876" s="8" t="n">
        <v>875</v>
      </c>
      <c r="B876" s="8" t="inlineStr">
        <is>
          <t>Produto</t>
        </is>
      </c>
      <c r="C876" t="inlineStr">
        <is>
          <t>Bloco para yoga resistente laranja</t>
        </is>
      </c>
      <c r="D876" s="10">
        <f>ROUND(D876*(1+(E876/100)),2)</f>
        <v/>
      </c>
      <c r="E876" s="8" t="n">
        <v>15</v>
      </c>
    </row>
    <row r="877">
      <c r="A877" s="8" t="n">
        <v>876</v>
      </c>
      <c r="B877" s="8" t="inlineStr">
        <is>
          <t>Produto</t>
        </is>
      </c>
      <c r="C877" t="inlineStr">
        <is>
          <t>Colchonete de exercício ergonômico preto</t>
        </is>
      </c>
      <c r="D877" s="10">
        <f>ROUND(D877*(1+(E877/100)),2)</f>
        <v/>
      </c>
      <c r="E877" s="8" t="n">
        <v>15</v>
      </c>
    </row>
    <row r="878">
      <c r="A878" s="8" t="n">
        <v>877</v>
      </c>
      <c r="B878" s="8" t="inlineStr">
        <is>
          <t>Produto</t>
        </is>
      </c>
      <c r="C878" t="inlineStr">
        <is>
          <t>Chuteira de campo leve verde tam. M</t>
        </is>
      </c>
      <c r="D878" s="10">
        <f>ROUND(D878*(1+(E878/100)),2)</f>
        <v/>
      </c>
      <c r="E878" s="8" t="n">
        <v>15</v>
      </c>
    </row>
    <row r="879">
      <c r="A879" s="8" t="n">
        <v>878</v>
      </c>
      <c r="B879" s="8" t="inlineStr">
        <is>
          <t>Produto</t>
        </is>
      </c>
      <c r="C879" t="inlineStr">
        <is>
          <t>Bolsa de academia recreativo vermelho</t>
        </is>
      </c>
      <c r="D879" s="10">
        <f>ROUND(D879*(1+(E879/100)),2)</f>
        <v/>
      </c>
      <c r="E879" s="8" t="n">
        <v>15</v>
      </c>
    </row>
    <row r="880">
      <c r="A880" s="8" t="n">
        <v>879</v>
      </c>
      <c r="B880" s="8" t="inlineStr">
        <is>
          <t>Produto</t>
        </is>
      </c>
      <c r="C880" t="inlineStr">
        <is>
          <t>Saco de pancadas compacto laranja</t>
        </is>
      </c>
      <c r="D880" s="10">
        <f>ROUND(D880*(1+(E880/100)),2)</f>
        <v/>
      </c>
      <c r="E880" s="8" t="n">
        <v>15</v>
      </c>
    </row>
    <row r="881">
      <c r="A881" s="8" t="n">
        <v>880</v>
      </c>
      <c r="B881" s="8" t="inlineStr">
        <is>
          <t>Produto</t>
        </is>
      </c>
      <c r="C881" t="inlineStr">
        <is>
          <t>Bastão de caminhada ergonômico rosa</t>
        </is>
      </c>
      <c r="D881" s="10">
        <f>ROUND(D881*(1+(E881/100)),2)</f>
        <v/>
      </c>
      <c r="E881" s="8" t="n">
        <v>15</v>
      </c>
    </row>
    <row r="882">
      <c r="A882" s="8" t="n">
        <v>881</v>
      </c>
      <c r="B882" s="8" t="inlineStr">
        <is>
          <t>Produto</t>
        </is>
      </c>
      <c r="C882" t="inlineStr">
        <is>
          <t>Luva de boxe alta performance preto tam. GG</t>
        </is>
      </c>
      <c r="D882" s="10">
        <f>ROUND(D882*(1+(E882/100)),2)</f>
        <v/>
      </c>
      <c r="E882" s="8" t="n">
        <v>15</v>
      </c>
    </row>
    <row r="883">
      <c r="A883" s="8" t="n">
        <v>882</v>
      </c>
      <c r="B883" s="8" t="inlineStr">
        <is>
          <t>Produto</t>
        </is>
      </c>
      <c r="C883" t="inlineStr">
        <is>
          <t>Protetor bucal leve vermelho</t>
        </is>
      </c>
      <c r="D883" s="10">
        <f>ROUND(D883*(1+(E883/100)),2)</f>
        <v/>
      </c>
      <c r="E883" s="8" t="n">
        <v>15</v>
      </c>
    </row>
    <row r="884">
      <c r="A884" s="8" t="n">
        <v>883</v>
      </c>
      <c r="B884" s="8" t="inlineStr">
        <is>
          <t>Produto</t>
        </is>
      </c>
      <c r="C884" t="inlineStr">
        <is>
          <t>Bola de vôlei recreativo preto</t>
        </is>
      </c>
      <c r="D884" s="10">
        <f>ROUND(D884*(1+(E884/100)),2)</f>
        <v/>
      </c>
      <c r="E884" s="8" t="n">
        <v>15</v>
      </c>
    </row>
    <row r="885">
      <c r="A885" s="8" t="n">
        <v>884</v>
      </c>
      <c r="B885" s="8" t="inlineStr">
        <is>
          <t>Produto</t>
        </is>
      </c>
      <c r="C885" t="inlineStr">
        <is>
          <t>Regata esportiva para uso diário preto tam. 34</t>
        </is>
      </c>
      <c r="D885" s="10">
        <f>ROUND(D885*(1+(E885/100)),2)</f>
        <v/>
      </c>
      <c r="E885" s="8" t="n">
        <v>15</v>
      </c>
    </row>
    <row r="886">
      <c r="A886" s="8" t="n">
        <v>885</v>
      </c>
      <c r="B886" s="8" t="inlineStr">
        <is>
          <t>Produto</t>
        </is>
      </c>
      <c r="C886" t="inlineStr">
        <is>
          <t>Calça legging versão 2026 rosa tam. 40</t>
        </is>
      </c>
      <c r="D886" s="10">
        <f>ROUND(D886*(1+(E886/100)),2)</f>
        <v/>
      </c>
      <c r="E886" s="8" t="n">
        <v>15</v>
      </c>
    </row>
    <row r="887">
      <c r="A887" s="8" t="n">
        <v>886</v>
      </c>
      <c r="B887" s="8" t="inlineStr">
        <is>
          <t>Produto</t>
        </is>
      </c>
      <c r="C887" t="inlineStr">
        <is>
          <t>Corda de pular recreativo vermelho</t>
        </is>
      </c>
      <c r="D887" s="10">
        <f>ROUND(D887*(1+(E887/100)),2)</f>
        <v/>
      </c>
      <c r="E887" s="8" t="n">
        <v>15</v>
      </c>
    </row>
    <row r="888">
      <c r="A888" s="8" t="n">
        <v>887</v>
      </c>
      <c r="B888" s="8" t="inlineStr">
        <is>
          <t>Produto</t>
        </is>
      </c>
      <c r="C888" t="inlineStr">
        <is>
          <t>Relógio esportivo leve branco</t>
        </is>
      </c>
      <c r="D888" s="10">
        <f>ROUND(D888*(1+(E888/100)),2)</f>
        <v/>
      </c>
      <c r="E888" s="8" t="n">
        <v>15</v>
      </c>
    </row>
    <row r="889">
      <c r="A889" s="8" t="n">
        <v>888</v>
      </c>
      <c r="B889" s="8" t="inlineStr">
        <is>
          <t>Produto</t>
        </is>
      </c>
      <c r="C889" t="inlineStr">
        <is>
          <t>Saco de pancadas profissional verde</t>
        </is>
      </c>
      <c r="D889" s="10">
        <f>ROUND(D889*(1+(E889/100)),2)</f>
        <v/>
      </c>
      <c r="E889" s="8" t="n">
        <v>15</v>
      </c>
    </row>
    <row r="890">
      <c r="A890" s="8" t="n">
        <v>889</v>
      </c>
      <c r="B890" s="8" t="inlineStr">
        <is>
          <t>Produto</t>
        </is>
      </c>
      <c r="C890" t="inlineStr">
        <is>
          <t>Chuteira de campo adulto verde tam. 42</t>
        </is>
      </c>
      <c r="D890" s="10">
        <f>ROUND(D890*(1+(E890/100)),2)</f>
        <v/>
      </c>
      <c r="E890" s="8" t="n">
        <v>15</v>
      </c>
    </row>
    <row r="891">
      <c r="A891" s="8" t="n">
        <v>890</v>
      </c>
      <c r="B891" s="8" t="inlineStr">
        <is>
          <t>Produto</t>
        </is>
      </c>
      <c r="C891" t="inlineStr">
        <is>
          <t>Relógio esportivo recreativo azul</t>
        </is>
      </c>
      <c r="D891" s="10">
        <f>ROUND(D891*(1+(E891/100)),2)</f>
        <v/>
      </c>
      <c r="E891" s="8" t="n">
        <v>15</v>
      </c>
    </row>
    <row r="892">
      <c r="A892" s="8" t="n">
        <v>891</v>
      </c>
      <c r="B892" s="8" t="inlineStr">
        <is>
          <t>Produto</t>
        </is>
      </c>
      <c r="C892" t="inlineStr">
        <is>
          <t>Kimono de judô juvenil azul tam. M</t>
        </is>
      </c>
      <c r="D892" s="10">
        <f>ROUND(D892*(1+(E892/100)),2)</f>
        <v/>
      </c>
      <c r="E892" s="8" t="n">
        <v>15</v>
      </c>
    </row>
    <row r="893">
      <c r="A893" s="8" t="n">
        <v>892</v>
      </c>
      <c r="B893" s="8" t="inlineStr">
        <is>
          <t>Produto</t>
        </is>
      </c>
      <c r="C893" t="inlineStr">
        <is>
          <t>Chuteira de campo ventilado preto tam. 38</t>
        </is>
      </c>
      <c r="D893" s="10">
        <f>ROUND(D893*(1+(E893/100)),2)</f>
        <v/>
      </c>
      <c r="E893" s="8" t="n">
        <v>15</v>
      </c>
    </row>
    <row r="894">
      <c r="A894" s="8" t="n">
        <v>893</v>
      </c>
      <c r="B894" s="8" t="inlineStr">
        <is>
          <t>Produto</t>
        </is>
      </c>
      <c r="C894" t="inlineStr">
        <is>
          <t>Tapete de yoga resistente laranja</t>
        </is>
      </c>
      <c r="D894" s="10">
        <f>ROUND(D894*(1+(E894/100)),2)</f>
        <v/>
      </c>
      <c r="E894" s="8" t="n">
        <v>15</v>
      </c>
    </row>
    <row r="895">
      <c r="A895" s="8" t="n">
        <v>894</v>
      </c>
      <c r="B895" s="8" t="inlineStr">
        <is>
          <t>Produto</t>
        </is>
      </c>
      <c r="C895" t="inlineStr">
        <is>
          <t>Luva de ciclismo modelo avançado azul tam. 38</t>
        </is>
      </c>
      <c r="D895" s="10">
        <f>ROUND(D895*(1+(E895/100)),2)</f>
        <v/>
      </c>
      <c r="E895" s="8" t="n">
        <v>15</v>
      </c>
    </row>
    <row r="896">
      <c r="A896" s="8" t="n">
        <v>895</v>
      </c>
      <c r="B896" s="8" t="inlineStr">
        <is>
          <t>Produto</t>
        </is>
      </c>
      <c r="C896" t="inlineStr">
        <is>
          <t>Luva de ciclismo profissional cinza tam. 44</t>
        </is>
      </c>
      <c r="D896" s="10">
        <f>ROUND(D896*(1+(E896/100)),2)</f>
        <v/>
      </c>
      <c r="E896" s="8" t="n">
        <v>15</v>
      </c>
    </row>
    <row r="897">
      <c r="A897" s="8" t="n">
        <v>896</v>
      </c>
      <c r="B897" s="8" t="inlineStr">
        <is>
          <t>Produto</t>
        </is>
      </c>
      <c r="C897" t="inlineStr">
        <is>
          <t>Corda de pular reforçado preto</t>
        </is>
      </c>
      <c r="D897" s="10">
        <f>ROUND(D897*(1+(E897/100)),2)</f>
        <v/>
      </c>
      <c r="E897" s="8" t="n">
        <v>15</v>
      </c>
    </row>
    <row r="898">
      <c r="A898" s="8" t="n">
        <v>897</v>
      </c>
      <c r="B898" s="8" t="inlineStr">
        <is>
          <t>Produto</t>
        </is>
      </c>
      <c r="C898" t="inlineStr">
        <is>
          <t>Bola de futebol resistente azul</t>
        </is>
      </c>
      <c r="D898" s="10">
        <f>ROUND(D898*(1+(E898/100)),2)</f>
        <v/>
      </c>
      <c r="E898" s="8" t="n">
        <v>15</v>
      </c>
    </row>
    <row r="899">
      <c r="A899" s="8" t="n">
        <v>898</v>
      </c>
      <c r="B899" s="8" t="inlineStr">
        <is>
          <t>Produto</t>
        </is>
      </c>
      <c r="C899" t="inlineStr">
        <is>
          <t>Bloco para yoga modelo básico laranja</t>
        </is>
      </c>
      <c r="D899" s="10">
        <f>ROUND(D899*(1+(E899/100)),2)</f>
        <v/>
      </c>
      <c r="E899" s="8" t="n">
        <v>15</v>
      </c>
    </row>
    <row r="900">
      <c r="A900" s="8" t="n">
        <v>899</v>
      </c>
      <c r="B900" s="8" t="inlineStr">
        <is>
          <t>Produto</t>
        </is>
      </c>
      <c r="C900" t="inlineStr">
        <is>
          <t>Chuteira society unissex cinza tam. 34</t>
        </is>
      </c>
      <c r="D900" s="10">
        <f>ROUND(D900*(1+(E900/100)),2)</f>
        <v/>
      </c>
      <c r="E900" s="8" t="n">
        <v>15</v>
      </c>
    </row>
    <row r="901">
      <c r="A901" s="8" t="n">
        <v>900</v>
      </c>
      <c r="B901" s="8" t="inlineStr">
        <is>
          <t>Produto</t>
        </is>
      </c>
      <c r="C901" t="inlineStr">
        <is>
          <t>Bicicleta ergométrica modelo avançado cinza</t>
        </is>
      </c>
      <c r="D901" s="10">
        <f>ROUND(D901*(1+(E901/100)),2)</f>
        <v/>
      </c>
      <c r="E901" s="8" t="n">
        <v>15</v>
      </c>
    </row>
    <row r="902">
      <c r="A902" s="8" t="n">
        <v>901</v>
      </c>
      <c r="B902" s="8" t="inlineStr">
        <is>
          <t>Produto</t>
        </is>
      </c>
      <c r="C902" t="inlineStr">
        <is>
          <t>Elástico de resistência alta performance rosa</t>
        </is>
      </c>
      <c r="D902" s="10">
        <f>ROUND(D902*(1+(E902/100)),2)</f>
        <v/>
      </c>
      <c r="E902" s="8" t="n">
        <v>15</v>
      </c>
    </row>
    <row r="903">
      <c r="A903" s="8" t="n">
        <v>902</v>
      </c>
      <c r="B903" s="8" t="inlineStr">
        <is>
          <t>Produto</t>
        </is>
      </c>
      <c r="C903" t="inlineStr">
        <is>
          <t>Luva de goleiro ergonômico cinza tam. 34</t>
        </is>
      </c>
      <c r="D903" s="10">
        <f>ROUND(D903*(1+(E903/100)),2)</f>
        <v/>
      </c>
      <c r="E903" s="8" t="n">
        <v>15</v>
      </c>
    </row>
    <row r="904">
      <c r="A904" s="8" t="n">
        <v>903</v>
      </c>
      <c r="B904" s="8" t="inlineStr">
        <is>
          <t>Produto</t>
        </is>
      </c>
      <c r="C904" t="inlineStr">
        <is>
          <t>Banco de musculação recreativo azul</t>
        </is>
      </c>
      <c r="D904" s="10">
        <f>ROUND(D904*(1+(E904/100)),2)</f>
        <v/>
      </c>
      <c r="E904" s="8" t="n">
        <v>15</v>
      </c>
    </row>
    <row r="905">
      <c r="A905" s="8" t="n">
        <v>904</v>
      </c>
      <c r="B905" s="8" t="inlineStr">
        <is>
          <t>Produto</t>
        </is>
      </c>
      <c r="C905" t="inlineStr">
        <is>
          <t>Bicicleta urbana treino verde</t>
        </is>
      </c>
      <c r="D905" s="10">
        <f>ROUND(D905*(1+(E905/100)),2)</f>
        <v/>
      </c>
      <c r="E905" s="8" t="n">
        <v>15</v>
      </c>
    </row>
    <row r="906">
      <c r="A906" s="8" t="n">
        <v>905</v>
      </c>
      <c r="B906" s="8" t="inlineStr">
        <is>
          <t>Produto</t>
        </is>
      </c>
      <c r="C906" t="inlineStr">
        <is>
          <t>Kettlebell versão 2026 preto</t>
        </is>
      </c>
      <c r="D906" s="10">
        <f>ROUND(D906*(1+(E906/100)),2)</f>
        <v/>
      </c>
      <c r="E906" s="8" t="n">
        <v>15</v>
      </c>
    </row>
    <row r="907">
      <c r="A907" s="8" t="n">
        <v>906</v>
      </c>
      <c r="B907" s="8" t="inlineStr">
        <is>
          <t>Produto</t>
        </is>
      </c>
      <c r="C907" t="inlineStr">
        <is>
          <t>Touca de natação profissional vermelho tam. 40</t>
        </is>
      </c>
      <c r="D907" s="10">
        <f>ROUND(D907*(1+(E907/100)),2)</f>
        <v/>
      </c>
      <c r="E907" s="8" t="n">
        <v>15</v>
      </c>
    </row>
    <row r="908">
      <c r="A908" s="8" t="n">
        <v>907</v>
      </c>
      <c r="B908" s="8" t="inlineStr">
        <is>
          <t>Produto</t>
        </is>
      </c>
      <c r="C908" t="inlineStr">
        <is>
          <t>Bicicleta ergométrica profissional cinza</t>
        </is>
      </c>
      <c r="D908" s="10">
        <f>ROUND(D908*(1+(E908/100)),2)</f>
        <v/>
      </c>
      <c r="E908" s="8" t="n">
        <v>15</v>
      </c>
    </row>
    <row r="909">
      <c r="A909" s="8" t="n">
        <v>908</v>
      </c>
      <c r="B909" s="8" t="inlineStr">
        <is>
          <t>Produto</t>
        </is>
      </c>
      <c r="C909" t="inlineStr">
        <is>
          <t>Raquete de badminton juvenil laranja</t>
        </is>
      </c>
      <c r="D909" s="10">
        <f>ROUND(D909*(1+(E909/100)),2)</f>
        <v/>
      </c>
      <c r="E909" s="8" t="n">
        <v>15</v>
      </c>
    </row>
    <row r="910">
      <c r="A910" s="8" t="n">
        <v>909</v>
      </c>
      <c r="B910" s="8" t="inlineStr">
        <is>
          <t>Produto</t>
        </is>
      </c>
      <c r="C910" t="inlineStr">
        <is>
          <t>Elástico de resistência resistente cinza</t>
        </is>
      </c>
      <c r="D910" s="10">
        <f>ROUND(D910*(1+(E910/100)),2)</f>
        <v/>
      </c>
      <c r="E910" s="8" t="n">
        <v>15</v>
      </c>
    </row>
    <row r="911">
      <c r="A911" s="8" t="n">
        <v>910</v>
      </c>
      <c r="B911" s="8" t="inlineStr">
        <is>
          <t>Produto</t>
        </is>
      </c>
      <c r="C911" t="inlineStr">
        <is>
          <t>Saco de pancadas leve rosa</t>
        </is>
      </c>
      <c r="D911" s="10">
        <f>ROUND(D911*(1+(E911/100)),2)</f>
        <v/>
      </c>
      <c r="E911" s="8" t="n">
        <v>15</v>
      </c>
    </row>
    <row r="912">
      <c r="A912" s="8" t="n">
        <v>911</v>
      </c>
      <c r="B912" s="8" t="inlineStr">
        <is>
          <t>Produto</t>
        </is>
      </c>
      <c r="C912" t="inlineStr">
        <is>
          <t>Short esportivo iniciante verde tam. P</t>
        </is>
      </c>
      <c r="D912" s="10">
        <f>ROUND(D912*(1+(E912/100)),2)</f>
        <v/>
      </c>
      <c r="E912" s="8" t="n">
        <v>15</v>
      </c>
    </row>
    <row r="913">
      <c r="A913" s="8" t="n">
        <v>912</v>
      </c>
      <c r="B913" s="8" t="inlineStr">
        <is>
          <t>Produto</t>
        </is>
      </c>
      <c r="C913" t="inlineStr">
        <is>
          <t>Relógio esportivo compacto vermelho</t>
        </is>
      </c>
      <c r="D913" s="10">
        <f>ROUND(D913*(1+(E913/100)),2)</f>
        <v/>
      </c>
      <c r="E913" s="8" t="n">
        <v>15</v>
      </c>
    </row>
    <row r="914">
      <c r="A914" s="8" t="n">
        <v>913</v>
      </c>
      <c r="B914" s="8" t="inlineStr">
        <is>
          <t>Produto</t>
        </is>
      </c>
      <c r="C914" t="inlineStr">
        <is>
          <t>Tapete de yoga adulto vermelho</t>
        </is>
      </c>
      <c r="D914" s="10">
        <f>ROUND(D914*(1+(E914/100)),2)</f>
        <v/>
      </c>
      <c r="E914" s="8" t="n">
        <v>15</v>
      </c>
    </row>
    <row r="915">
      <c r="A915" s="8" t="n">
        <v>914</v>
      </c>
      <c r="B915" s="8" t="inlineStr">
        <is>
          <t>Produto</t>
        </is>
      </c>
      <c r="C915" t="inlineStr">
        <is>
          <t>Bolsa de academia modelo avançado laranja</t>
        </is>
      </c>
      <c r="D915" s="10">
        <f>ROUND(D915*(1+(E915/100)),2)</f>
        <v/>
      </c>
      <c r="E915" s="8" t="n">
        <v>15</v>
      </c>
    </row>
    <row r="916">
      <c r="A916" s="8" t="n">
        <v>915</v>
      </c>
      <c r="B916" s="8" t="inlineStr">
        <is>
          <t>Produto</t>
        </is>
      </c>
      <c r="C916" t="inlineStr">
        <is>
          <t>Short esportivo adulto azul tam. M</t>
        </is>
      </c>
      <c r="D916" s="10">
        <f>ROUND(D916*(1+(E916/100)),2)</f>
        <v/>
      </c>
      <c r="E916" s="8" t="n">
        <v>15</v>
      </c>
    </row>
    <row r="917">
      <c r="A917" s="8" t="n">
        <v>916</v>
      </c>
      <c r="B917" s="8" t="inlineStr">
        <is>
          <t>Produto</t>
        </is>
      </c>
      <c r="C917" t="inlineStr">
        <is>
          <t>Bastão de caminhada unissex branco</t>
        </is>
      </c>
      <c r="D917" s="10">
        <f>ROUND(D917*(1+(E917/100)),2)</f>
        <v/>
      </c>
      <c r="E917" s="8" t="n">
        <v>15</v>
      </c>
    </row>
    <row r="918">
      <c r="A918" s="8" t="n">
        <v>917</v>
      </c>
      <c r="B918" s="8" t="inlineStr">
        <is>
          <t>Produto</t>
        </is>
      </c>
      <c r="C918" t="inlineStr">
        <is>
          <t>Bolsa de academia versão 2026 verde</t>
        </is>
      </c>
      <c r="D918" s="10">
        <f>ROUND(D918*(1+(E918/100)),2)</f>
        <v/>
      </c>
      <c r="E918" s="8" t="n">
        <v>15</v>
      </c>
    </row>
    <row r="919">
      <c r="A919" s="8" t="n">
        <v>918</v>
      </c>
      <c r="B919" s="8" t="inlineStr">
        <is>
          <t>Produto</t>
        </is>
      </c>
      <c r="C919" t="inlineStr">
        <is>
          <t>Elástico de resistência adulto cinza</t>
        </is>
      </c>
      <c r="D919" s="10">
        <f>ROUND(D919*(1+(E919/100)),2)</f>
        <v/>
      </c>
      <c r="E919" s="8" t="n">
        <v>15</v>
      </c>
    </row>
    <row r="920">
      <c r="A920" s="8" t="n">
        <v>919</v>
      </c>
      <c r="B920" s="8" t="inlineStr">
        <is>
          <t>Produto</t>
        </is>
      </c>
      <c r="C920" t="inlineStr">
        <is>
          <t>Relógio esportivo ventilado azul</t>
        </is>
      </c>
      <c r="D920" s="10">
        <f>ROUND(D920*(1+(E920/100)),2)</f>
        <v/>
      </c>
      <c r="E920" s="8" t="n">
        <v>15</v>
      </c>
    </row>
    <row r="921">
      <c r="A921" s="8" t="n">
        <v>920</v>
      </c>
      <c r="B921" s="8" t="inlineStr">
        <is>
          <t>Produto</t>
        </is>
      </c>
      <c r="C921" t="inlineStr">
        <is>
          <t>Kettlebell resistente cinza</t>
        </is>
      </c>
      <c r="D921" s="10">
        <f>ROUND(D921*(1+(E921/100)),2)</f>
        <v/>
      </c>
      <c r="E921" s="8" t="n">
        <v>15</v>
      </c>
    </row>
    <row r="922">
      <c r="A922" s="8" t="n">
        <v>921</v>
      </c>
      <c r="B922" s="8" t="inlineStr">
        <is>
          <t>Produto</t>
        </is>
      </c>
      <c r="C922" t="inlineStr">
        <is>
          <t>Protetor bucal com ajuste laranja</t>
        </is>
      </c>
      <c r="D922" s="10">
        <f>ROUND(D922*(1+(E922/100)),2)</f>
        <v/>
      </c>
      <c r="E922" s="8" t="n">
        <v>15</v>
      </c>
    </row>
    <row r="923">
      <c r="A923" s="8" t="n">
        <v>922</v>
      </c>
      <c r="B923" s="8" t="inlineStr">
        <is>
          <t>Produto</t>
        </is>
      </c>
      <c r="C923" t="inlineStr">
        <is>
          <t>Banco de musculação modelo básico rosa</t>
        </is>
      </c>
      <c r="D923" s="10">
        <f>ROUND(D923*(1+(E923/100)),2)</f>
        <v/>
      </c>
      <c r="E923" s="8" t="n">
        <v>15</v>
      </c>
    </row>
    <row r="924">
      <c r="A924" s="8" t="n">
        <v>923</v>
      </c>
      <c r="B924" s="8" t="inlineStr">
        <is>
          <t>Produto</t>
        </is>
      </c>
      <c r="C924" t="inlineStr">
        <is>
          <t>Luva de boxe ergonômico azul tam. 34</t>
        </is>
      </c>
      <c r="D924" s="10">
        <f>ROUND(D924*(1+(E924/100)),2)</f>
        <v/>
      </c>
      <c r="E924" s="8" t="n">
        <v>15</v>
      </c>
    </row>
    <row r="925">
      <c r="A925" s="8" t="n">
        <v>924</v>
      </c>
      <c r="B925" s="8" t="inlineStr">
        <is>
          <t>Produto</t>
        </is>
      </c>
      <c r="C925" t="inlineStr">
        <is>
          <t>Touca de natação compacto branco tam. 38</t>
        </is>
      </c>
      <c r="D925" s="10">
        <f>ROUND(D925*(1+(E925/100)),2)</f>
        <v/>
      </c>
      <c r="E925" s="8" t="n">
        <v>15</v>
      </c>
    </row>
    <row r="926">
      <c r="A926" s="8" t="n">
        <v>925</v>
      </c>
      <c r="B926" s="8" t="inlineStr">
        <is>
          <t>Produto</t>
        </is>
      </c>
      <c r="C926" t="inlineStr">
        <is>
          <t>Monitor cardíaco adulto cinza</t>
        </is>
      </c>
      <c r="D926" s="10">
        <f>ROUND(D926*(1+(E926/100)),2)</f>
        <v/>
      </c>
      <c r="E926" s="8" t="n">
        <v>15</v>
      </c>
    </row>
    <row r="927">
      <c r="A927" s="8" t="n">
        <v>926</v>
      </c>
      <c r="B927" s="8" t="inlineStr">
        <is>
          <t>Produto</t>
        </is>
      </c>
      <c r="C927" t="inlineStr">
        <is>
          <t>Raquete de badminton modelo básico azul</t>
        </is>
      </c>
      <c r="D927" s="10">
        <f>ROUND(D927*(1+(E927/100)),2)</f>
        <v/>
      </c>
      <c r="E927" s="8" t="n">
        <v>15</v>
      </c>
    </row>
    <row r="928">
      <c r="A928" s="8" t="n">
        <v>927</v>
      </c>
      <c r="B928" s="8" t="inlineStr">
        <is>
          <t>Produto</t>
        </is>
      </c>
      <c r="C928" t="inlineStr">
        <is>
          <t>Regata esportiva modelo básico branco tam. GG</t>
        </is>
      </c>
      <c r="D928" s="10">
        <f>ROUND(D928*(1+(E928/100)),2)</f>
        <v/>
      </c>
      <c r="E928" s="8" t="n">
        <v>15</v>
      </c>
    </row>
    <row r="929">
      <c r="A929" s="8" t="n">
        <v>928</v>
      </c>
      <c r="B929" s="8" t="inlineStr">
        <is>
          <t>Produto</t>
        </is>
      </c>
      <c r="C929" t="inlineStr">
        <is>
          <t>Bolsa de academia reforçado rosa</t>
        </is>
      </c>
      <c r="D929" s="10">
        <f>ROUND(D929*(1+(E929/100)),2)</f>
        <v/>
      </c>
      <c r="E929" s="8" t="n">
        <v>15</v>
      </c>
    </row>
    <row r="930">
      <c r="A930" s="8" t="n">
        <v>929</v>
      </c>
      <c r="B930" s="8" t="inlineStr">
        <is>
          <t>Produto</t>
        </is>
      </c>
      <c r="C930" t="inlineStr">
        <is>
          <t>Meias esportivas premium verde tam. GG</t>
        </is>
      </c>
      <c r="D930" s="10">
        <f>ROUND(D930*(1+(E930/100)),2)</f>
        <v/>
      </c>
      <c r="E930" s="8" t="n">
        <v>15</v>
      </c>
    </row>
    <row r="931">
      <c r="A931" s="8" t="n">
        <v>930</v>
      </c>
      <c r="B931" s="8" t="inlineStr">
        <is>
          <t>Produto</t>
        </is>
      </c>
      <c r="C931" t="inlineStr">
        <is>
          <t>Meias esportivas modelo avançado vermelho tam. M</t>
        </is>
      </c>
      <c r="D931" s="10">
        <f>ROUND(D931*(1+(E931/100)),2)</f>
        <v/>
      </c>
      <c r="E931" s="8" t="n">
        <v>15</v>
      </c>
    </row>
    <row r="932">
      <c r="A932" s="8" t="n">
        <v>931</v>
      </c>
      <c r="B932" s="8" t="inlineStr">
        <is>
          <t>Produto</t>
        </is>
      </c>
      <c r="C932" t="inlineStr">
        <is>
          <t>Raquete de badminton versão 2026 preto</t>
        </is>
      </c>
      <c r="D932" s="10">
        <f>ROUND(D932*(1+(E932/100)),2)</f>
        <v/>
      </c>
      <c r="E932" s="8" t="n">
        <v>15</v>
      </c>
    </row>
    <row r="933">
      <c r="A933" s="8" t="n">
        <v>932</v>
      </c>
      <c r="B933" s="8" t="inlineStr">
        <is>
          <t>Produto</t>
        </is>
      </c>
      <c r="C933" t="inlineStr">
        <is>
          <t>Caneleira de futebol ergonômico branco</t>
        </is>
      </c>
      <c r="D933" s="10">
        <f>ROUND(D933*(1+(E933/100)),2)</f>
        <v/>
      </c>
      <c r="E933" s="8" t="n">
        <v>15</v>
      </c>
    </row>
    <row r="934">
      <c r="A934" s="8" t="n">
        <v>933</v>
      </c>
      <c r="B934" s="8" t="inlineStr">
        <is>
          <t>Produto</t>
        </is>
      </c>
      <c r="C934" t="inlineStr">
        <is>
          <t>Óculos esportivos premium rosa</t>
        </is>
      </c>
      <c r="D934" s="10">
        <f>ROUND(D934*(1+(E934/100)),2)</f>
        <v/>
      </c>
      <c r="E934" s="8" t="n">
        <v>15</v>
      </c>
    </row>
    <row r="935">
      <c r="A935" s="8" t="n">
        <v>934</v>
      </c>
      <c r="B935" s="8" t="inlineStr">
        <is>
          <t>Produto</t>
        </is>
      </c>
      <c r="C935" t="inlineStr">
        <is>
          <t>Step de ginástica premium laranja</t>
        </is>
      </c>
      <c r="D935" s="10">
        <f>ROUND(D935*(1+(E935/100)),2)</f>
        <v/>
      </c>
      <c r="E935" s="8" t="n">
        <v>15</v>
      </c>
    </row>
    <row r="936">
      <c r="A936" s="8" t="n">
        <v>935</v>
      </c>
      <c r="B936" s="8" t="inlineStr">
        <is>
          <t>Produto</t>
        </is>
      </c>
      <c r="C936" t="inlineStr">
        <is>
          <t>Protetor bucal juvenil laranja</t>
        </is>
      </c>
      <c r="D936" s="10">
        <f>ROUND(D936*(1+(E936/100)),2)</f>
        <v/>
      </c>
      <c r="E936" s="8" t="n">
        <v>15</v>
      </c>
    </row>
    <row r="937">
      <c r="A937" s="8" t="n">
        <v>936</v>
      </c>
      <c r="B937" s="8" t="inlineStr">
        <is>
          <t>Produto</t>
        </is>
      </c>
      <c r="C937" t="inlineStr">
        <is>
          <t>Caneleira de futebol resistente branco</t>
        </is>
      </c>
      <c r="D937" s="10">
        <f>ROUND(D937*(1+(E937/100)),2)</f>
        <v/>
      </c>
      <c r="E937" s="8" t="n">
        <v>15</v>
      </c>
    </row>
    <row r="938">
      <c r="A938" s="8" t="n">
        <v>937</v>
      </c>
      <c r="B938" s="8" t="inlineStr">
        <is>
          <t>Produto</t>
        </is>
      </c>
      <c r="C938" t="inlineStr">
        <is>
          <t>Nadadeira com ajuste azul</t>
        </is>
      </c>
      <c r="D938" s="10">
        <f>ROUND(D938*(1+(E938/100)),2)</f>
        <v/>
      </c>
      <c r="E938" s="8" t="n">
        <v>15</v>
      </c>
    </row>
    <row r="939">
      <c r="A939" s="8" t="n">
        <v>938</v>
      </c>
      <c r="B939" s="8" t="inlineStr">
        <is>
          <t>Produto</t>
        </is>
      </c>
      <c r="C939" t="inlineStr">
        <is>
          <t>Capacete de ciclismo adulto preto</t>
        </is>
      </c>
      <c r="D939" s="10">
        <f>ROUND(D939*(1+(E939/100)),2)</f>
        <v/>
      </c>
      <c r="E939" s="8" t="n">
        <v>15</v>
      </c>
    </row>
    <row r="940">
      <c r="A940" s="8" t="n">
        <v>939</v>
      </c>
      <c r="B940" s="8" t="inlineStr">
        <is>
          <t>Produto</t>
        </is>
      </c>
      <c r="C940" t="inlineStr">
        <is>
          <t>Bloco para yoga treino branco</t>
        </is>
      </c>
      <c r="D940" s="10">
        <f>ROUND(D940*(1+(E940/100)),2)</f>
        <v/>
      </c>
      <c r="E940" s="8" t="n">
        <v>15</v>
      </c>
    </row>
    <row r="941">
      <c r="A941" s="8" t="n">
        <v>940</v>
      </c>
      <c r="B941" s="8" t="inlineStr">
        <is>
          <t>Produto</t>
        </is>
      </c>
      <c r="C941" t="inlineStr">
        <is>
          <t>Mochila esportiva ventilado cinza</t>
        </is>
      </c>
      <c r="D941" s="10">
        <f>ROUND(D941*(1+(E941/100)),2)</f>
        <v/>
      </c>
      <c r="E941" s="8" t="n">
        <v>15</v>
      </c>
    </row>
    <row r="942">
      <c r="A942" s="8" t="n">
        <v>941</v>
      </c>
      <c r="B942" s="8" t="inlineStr">
        <is>
          <t>Produto</t>
        </is>
      </c>
      <c r="C942" t="inlineStr">
        <is>
          <t>Luva de ciclismo modelo básico branco tam. G</t>
        </is>
      </c>
      <c r="D942" s="10">
        <f>ROUND(D942*(1+(E942/100)),2)</f>
        <v/>
      </c>
      <c r="E942" s="8" t="n">
        <v>15</v>
      </c>
    </row>
    <row r="943">
      <c r="A943" s="8" t="n">
        <v>942</v>
      </c>
      <c r="B943" s="8" t="inlineStr">
        <is>
          <t>Produto</t>
        </is>
      </c>
      <c r="C943" t="inlineStr">
        <is>
          <t>Calça legging modelo avançado branco tam. 38</t>
        </is>
      </c>
      <c r="D943" s="10">
        <f>ROUND(D943*(1+(E943/100)),2)</f>
        <v/>
      </c>
      <c r="E943" s="8" t="n">
        <v>15</v>
      </c>
    </row>
    <row r="944">
      <c r="A944" s="8" t="n">
        <v>943</v>
      </c>
      <c r="B944" s="8" t="inlineStr">
        <is>
          <t>Produto</t>
        </is>
      </c>
      <c r="C944" t="inlineStr">
        <is>
          <t>Regata esportiva recreativo verde tam. M</t>
        </is>
      </c>
      <c r="D944" s="10">
        <f>ROUND(D944*(1+(E944/100)),2)</f>
        <v/>
      </c>
      <c r="E944" s="8" t="n">
        <v>15</v>
      </c>
    </row>
    <row r="945">
      <c r="A945" s="8" t="n">
        <v>944</v>
      </c>
      <c r="B945" s="8" t="inlineStr">
        <is>
          <t>Produto</t>
        </is>
      </c>
      <c r="C945" t="inlineStr">
        <is>
          <t>Meias esportivas alta performance laranja tam. GG</t>
        </is>
      </c>
      <c r="D945" s="10">
        <f>ROUND(D945*(1+(E945/100)),2)</f>
        <v/>
      </c>
      <c r="E945" s="8" t="n">
        <v>15</v>
      </c>
    </row>
    <row r="946">
      <c r="A946" s="8" t="n">
        <v>945</v>
      </c>
      <c r="B946" s="8" t="inlineStr">
        <is>
          <t>Produto</t>
        </is>
      </c>
      <c r="C946" t="inlineStr">
        <is>
          <t>Bola de pilates ergonômico preto</t>
        </is>
      </c>
      <c r="D946" s="10">
        <f>ROUND(D946*(1+(E946/100)),2)</f>
        <v/>
      </c>
      <c r="E946" s="8" t="n">
        <v>15</v>
      </c>
    </row>
    <row r="947">
      <c r="A947" s="8" t="n">
        <v>946</v>
      </c>
      <c r="B947" s="8" t="inlineStr">
        <is>
          <t>Produto</t>
        </is>
      </c>
      <c r="C947" t="inlineStr">
        <is>
          <t>Óculos esportivos resistente branco</t>
        </is>
      </c>
      <c r="D947" s="10">
        <f>ROUND(D947*(1+(E947/100)),2)</f>
        <v/>
      </c>
      <c r="E947" s="8" t="n">
        <v>15</v>
      </c>
    </row>
    <row r="948">
      <c r="A948" s="8" t="n">
        <v>947</v>
      </c>
      <c r="B948" s="8" t="inlineStr">
        <is>
          <t>Produto</t>
        </is>
      </c>
      <c r="C948" t="inlineStr">
        <is>
          <t>Coqueteleira ventilado preto</t>
        </is>
      </c>
      <c r="D948" s="10">
        <f>ROUND(D948*(1+(E948/100)),2)</f>
        <v/>
      </c>
      <c r="E948" s="8" t="n">
        <v>15</v>
      </c>
    </row>
    <row r="949">
      <c r="A949" s="8" t="n">
        <v>948</v>
      </c>
      <c r="B949" s="8" t="inlineStr">
        <is>
          <t>Produto</t>
        </is>
      </c>
      <c r="C949" t="inlineStr">
        <is>
          <t>Skate juvenil verde</t>
        </is>
      </c>
      <c r="D949" s="10">
        <f>ROUND(D949*(1+(E949/100)),2)</f>
        <v/>
      </c>
      <c r="E949" s="8" t="n">
        <v>15</v>
      </c>
    </row>
    <row r="950">
      <c r="A950" s="8" t="n">
        <v>949</v>
      </c>
      <c r="B950" s="8" t="inlineStr">
        <is>
          <t>Produto</t>
        </is>
      </c>
      <c r="C950" t="inlineStr">
        <is>
          <t>Luva de ciclismo com ajuste branco tam. 34</t>
        </is>
      </c>
      <c r="D950" s="10">
        <f>ROUND(D950*(1+(E950/100)),2)</f>
        <v/>
      </c>
      <c r="E950" s="8" t="n">
        <v>15</v>
      </c>
    </row>
    <row r="951">
      <c r="A951" s="8" t="n">
        <v>950</v>
      </c>
      <c r="B951" s="8" t="inlineStr">
        <is>
          <t>Produto</t>
        </is>
      </c>
      <c r="C951" t="inlineStr">
        <is>
          <t>Luva de goleiro premium branco tam. P</t>
        </is>
      </c>
      <c r="D951" s="10">
        <f>ROUND(D951*(1+(E951/100)),2)</f>
        <v/>
      </c>
      <c r="E951" s="8" t="n">
        <v>15</v>
      </c>
    </row>
    <row r="952">
      <c r="A952" s="8" t="n">
        <v>951</v>
      </c>
      <c r="B952" s="8" t="inlineStr">
        <is>
          <t>Produto</t>
        </is>
      </c>
      <c r="C952" t="inlineStr">
        <is>
          <t>Colchonete de exercício reforçado vermelho</t>
        </is>
      </c>
      <c r="D952" s="10">
        <f>ROUND(D952*(1+(E952/100)),2)</f>
        <v/>
      </c>
      <c r="E952" s="8" t="n">
        <v>15</v>
      </c>
    </row>
    <row r="953">
      <c r="A953" s="8" t="n">
        <v>952</v>
      </c>
      <c r="B953" s="8" t="inlineStr">
        <is>
          <t>Produto</t>
        </is>
      </c>
      <c r="C953" t="inlineStr">
        <is>
          <t>Garrafa squeeze modelo básico rosa</t>
        </is>
      </c>
      <c r="D953" s="10">
        <f>ROUND(D953*(1+(E953/100)),2)</f>
        <v/>
      </c>
      <c r="E953" s="8" t="n">
        <v>15</v>
      </c>
    </row>
    <row r="954">
      <c r="A954" s="8" t="n">
        <v>953</v>
      </c>
      <c r="B954" s="8" t="inlineStr">
        <is>
          <t>Produto</t>
        </is>
      </c>
      <c r="C954" t="inlineStr">
        <is>
          <t>Bicicleta urbana para uso diário cinza</t>
        </is>
      </c>
      <c r="D954" s="10">
        <f>ROUND(D954*(1+(E954/100)),2)</f>
        <v/>
      </c>
      <c r="E954" s="8" t="n">
        <v>15</v>
      </c>
    </row>
    <row r="955">
      <c r="A955" s="8" t="n">
        <v>954</v>
      </c>
      <c r="B955" s="8" t="inlineStr">
        <is>
          <t>Produto</t>
        </is>
      </c>
      <c r="C955" t="inlineStr">
        <is>
          <t>Chuteira society modelo básico laranja tam. 44</t>
        </is>
      </c>
      <c r="D955" s="10">
        <f>ROUND(D955*(1+(E955/100)),2)</f>
        <v/>
      </c>
      <c r="E955" s="8" t="n">
        <v>15</v>
      </c>
    </row>
    <row r="956">
      <c r="A956" s="8" t="n">
        <v>955</v>
      </c>
      <c r="B956" s="8" t="inlineStr">
        <is>
          <t>Produto</t>
        </is>
      </c>
      <c r="C956" t="inlineStr">
        <is>
          <t>Raquete de beach tennis leve branco</t>
        </is>
      </c>
      <c r="D956" s="10">
        <f>ROUND(D956*(1+(E956/100)),2)</f>
        <v/>
      </c>
      <c r="E956" s="8" t="n">
        <v>15</v>
      </c>
    </row>
    <row r="957">
      <c r="A957" s="8" t="n">
        <v>956</v>
      </c>
      <c r="B957" s="8" t="inlineStr">
        <is>
          <t>Produto</t>
        </is>
      </c>
      <c r="C957" t="inlineStr">
        <is>
          <t>Halter premium laranja</t>
        </is>
      </c>
      <c r="D957" s="10">
        <f>ROUND(D957*(1+(E957/100)),2)</f>
        <v/>
      </c>
      <c r="E957" s="8" t="n">
        <v>15</v>
      </c>
    </row>
    <row r="958">
      <c r="A958" s="8" t="n">
        <v>957</v>
      </c>
      <c r="B958" s="8" t="inlineStr">
        <is>
          <t>Produto</t>
        </is>
      </c>
      <c r="C958" t="inlineStr">
        <is>
          <t>Bicicleta urbana unissex rosa</t>
        </is>
      </c>
      <c r="D958" s="10">
        <f>ROUND(D958*(1+(E958/100)),2)</f>
        <v/>
      </c>
      <c r="E958" s="8" t="n">
        <v>15</v>
      </c>
    </row>
    <row r="959">
      <c r="A959" s="8" t="n">
        <v>958</v>
      </c>
      <c r="B959" s="8" t="inlineStr">
        <is>
          <t>Produto</t>
        </is>
      </c>
      <c r="C959" t="inlineStr">
        <is>
          <t>Regata esportiva recreativo verde tam. 34</t>
        </is>
      </c>
      <c r="D959" s="10">
        <f>ROUND(D959*(1+(E959/100)),2)</f>
        <v/>
      </c>
      <c r="E959" s="8" t="n">
        <v>15</v>
      </c>
    </row>
    <row r="960">
      <c r="A960" s="8" t="n">
        <v>959</v>
      </c>
      <c r="B960" s="8" t="inlineStr">
        <is>
          <t>Produto</t>
        </is>
      </c>
      <c r="C960" t="inlineStr">
        <is>
          <t>Skate reforçado vermelho</t>
        </is>
      </c>
      <c r="D960" s="10">
        <f>ROUND(D960*(1+(E960/100)),2)</f>
        <v/>
      </c>
      <c r="E960" s="8" t="n">
        <v>15</v>
      </c>
    </row>
    <row r="961">
      <c r="A961" s="8" t="n">
        <v>960</v>
      </c>
      <c r="B961" s="8" t="inlineStr">
        <is>
          <t>Produto</t>
        </is>
      </c>
      <c r="C961" t="inlineStr">
        <is>
          <t>Tênis de corrida ergonômico preto tam. P</t>
        </is>
      </c>
      <c r="D961" s="10">
        <f>ROUND(D961*(1+(E961/100)),2)</f>
        <v/>
      </c>
      <c r="E961" s="8" t="n">
        <v>15</v>
      </c>
    </row>
    <row r="962">
      <c r="A962" s="8" t="n">
        <v>961</v>
      </c>
      <c r="B962" s="8" t="inlineStr">
        <is>
          <t>Produto</t>
        </is>
      </c>
      <c r="C962" t="inlineStr">
        <is>
          <t>Monitor cardíaco treino cinza</t>
        </is>
      </c>
      <c r="D962" s="10">
        <f>ROUND(D962*(1+(E962/100)),2)</f>
        <v/>
      </c>
      <c r="E962" s="8" t="n">
        <v>15</v>
      </c>
    </row>
    <row r="963">
      <c r="A963" s="8" t="n">
        <v>962</v>
      </c>
      <c r="B963" s="8" t="inlineStr">
        <is>
          <t>Produto</t>
        </is>
      </c>
      <c r="C963" t="inlineStr">
        <is>
          <t>Raquete de badminton iniciante verde</t>
        </is>
      </c>
      <c r="D963" s="10">
        <f>ROUND(D963*(1+(E963/100)),2)</f>
        <v/>
      </c>
      <c r="E963" s="8" t="n">
        <v>15</v>
      </c>
    </row>
    <row r="964">
      <c r="A964" s="8" t="n">
        <v>963</v>
      </c>
      <c r="B964" s="8" t="inlineStr">
        <is>
          <t>Produto</t>
        </is>
      </c>
      <c r="C964" t="inlineStr">
        <is>
          <t>Garrafa squeeze recreativo vermelho</t>
        </is>
      </c>
      <c r="D964" s="10">
        <f>ROUND(D964*(1+(E964/100)),2)</f>
        <v/>
      </c>
      <c r="E964" s="8" t="n">
        <v>15</v>
      </c>
    </row>
    <row r="965">
      <c r="A965" s="8" t="n">
        <v>964</v>
      </c>
      <c r="B965" s="8" t="inlineStr">
        <is>
          <t>Produto</t>
        </is>
      </c>
      <c r="C965" t="inlineStr">
        <is>
          <t>Camiseta esportiva juvenil branco tam. 36</t>
        </is>
      </c>
      <c r="D965" s="10">
        <f>ROUND(D965*(1+(E965/100)),2)</f>
        <v/>
      </c>
      <c r="E965" s="8" t="n">
        <v>15</v>
      </c>
    </row>
    <row r="966">
      <c r="A966" s="8" t="n">
        <v>965</v>
      </c>
      <c r="B966" s="8" t="inlineStr">
        <is>
          <t>Produto</t>
        </is>
      </c>
      <c r="C966" t="inlineStr">
        <is>
          <t>Capacete de ciclismo premium rosa</t>
        </is>
      </c>
      <c r="D966" s="10">
        <f>ROUND(D966*(1+(E966/100)),2)</f>
        <v/>
      </c>
      <c r="E966" s="8" t="n">
        <v>15</v>
      </c>
    </row>
    <row r="967">
      <c r="A967" s="8" t="n">
        <v>966</v>
      </c>
      <c r="B967" s="8" t="inlineStr">
        <is>
          <t>Produto</t>
        </is>
      </c>
      <c r="C967" t="inlineStr">
        <is>
          <t>Skate leve rosa</t>
        </is>
      </c>
      <c r="D967" s="10">
        <f>ROUND(D967*(1+(E967/100)),2)</f>
        <v/>
      </c>
      <c r="E967" s="8" t="n">
        <v>15</v>
      </c>
    </row>
    <row r="968">
      <c r="A968" s="8" t="n">
        <v>967</v>
      </c>
      <c r="B968" s="8" t="inlineStr">
        <is>
          <t>Produto</t>
        </is>
      </c>
      <c r="C968" t="inlineStr">
        <is>
          <t>Touca de natação alta performance cinza tam. 36</t>
        </is>
      </c>
      <c r="D968" s="10">
        <f>ROUND(D968*(1+(E968/100)),2)</f>
        <v/>
      </c>
      <c r="E968" s="8" t="n">
        <v>15</v>
      </c>
    </row>
    <row r="969">
      <c r="A969" s="8" t="n">
        <v>968</v>
      </c>
      <c r="B969" s="8" t="inlineStr">
        <is>
          <t>Produto</t>
        </is>
      </c>
      <c r="C969" t="inlineStr">
        <is>
          <t>Jaqueta esportiva com ajuste cinza tam. 36</t>
        </is>
      </c>
      <c r="D969" s="10">
        <f>ROUND(D969*(1+(E969/100)),2)</f>
        <v/>
      </c>
      <c r="E969" s="8" t="n">
        <v>15</v>
      </c>
    </row>
    <row r="970">
      <c r="A970" s="8" t="n">
        <v>969</v>
      </c>
      <c r="B970" s="8" t="inlineStr">
        <is>
          <t>Produto</t>
        </is>
      </c>
      <c r="C970" t="inlineStr">
        <is>
          <t>Chuteira society adulto preto tam. 42</t>
        </is>
      </c>
      <c r="D970" s="10">
        <f>ROUND(D970*(1+(E970/100)),2)</f>
        <v/>
      </c>
      <c r="E970" s="8" t="n">
        <v>15</v>
      </c>
    </row>
    <row r="971">
      <c r="A971" s="8" t="n">
        <v>970</v>
      </c>
      <c r="B971" s="8" t="inlineStr">
        <is>
          <t>Produto</t>
        </is>
      </c>
      <c r="C971" t="inlineStr">
        <is>
          <t>Chuteira de campo iniciante rosa tam. 42</t>
        </is>
      </c>
      <c r="D971" s="10">
        <f>ROUND(D971*(1+(E971/100)),2)</f>
        <v/>
      </c>
      <c r="E971" s="8" t="n">
        <v>15</v>
      </c>
    </row>
    <row r="972">
      <c r="A972" s="8" t="n">
        <v>971</v>
      </c>
      <c r="B972" s="8" t="inlineStr">
        <is>
          <t>Produto</t>
        </is>
      </c>
      <c r="C972" t="inlineStr">
        <is>
          <t>Óculos esportivos iniciante preto</t>
        </is>
      </c>
      <c r="D972" s="10">
        <f>ROUND(D972*(1+(E972/100)),2)</f>
        <v/>
      </c>
      <c r="E972" s="8" t="n">
        <v>15</v>
      </c>
    </row>
    <row r="973">
      <c r="A973" s="8" t="n">
        <v>972</v>
      </c>
      <c r="B973" s="8" t="inlineStr">
        <is>
          <t>Produto</t>
        </is>
      </c>
      <c r="C973" t="inlineStr">
        <is>
          <t>Garrafa squeeze compacto preto</t>
        </is>
      </c>
      <c r="D973" s="10">
        <f>ROUND(D973*(1+(E973/100)),2)</f>
        <v/>
      </c>
      <c r="E973" s="8" t="n">
        <v>15</v>
      </c>
    </row>
    <row r="974">
      <c r="A974" s="8" t="n">
        <v>973</v>
      </c>
      <c r="B974" s="8" t="inlineStr">
        <is>
          <t>Produto</t>
        </is>
      </c>
      <c r="C974" t="inlineStr">
        <is>
          <t>Short esportivo ventilado laranja tam. 38</t>
        </is>
      </c>
      <c r="D974" s="10">
        <f>ROUND(D974*(1+(E974/100)),2)</f>
        <v/>
      </c>
      <c r="E974" s="8" t="n">
        <v>15</v>
      </c>
    </row>
    <row r="975">
      <c r="A975" s="8" t="n">
        <v>974</v>
      </c>
      <c r="B975" s="8" t="inlineStr">
        <is>
          <t>Produto</t>
        </is>
      </c>
      <c r="C975" t="inlineStr">
        <is>
          <t>Patins para uso diário verde</t>
        </is>
      </c>
      <c r="D975" s="10">
        <f>ROUND(D975*(1+(E975/100)),2)</f>
        <v/>
      </c>
      <c r="E975" s="8" t="n">
        <v>15</v>
      </c>
    </row>
    <row r="976">
      <c r="A976" s="8" t="n">
        <v>975</v>
      </c>
      <c r="B976" s="8" t="inlineStr">
        <is>
          <t>Produto</t>
        </is>
      </c>
      <c r="C976" t="inlineStr">
        <is>
          <t>Bicicleta ergométrica resistente cinza</t>
        </is>
      </c>
      <c r="D976" s="10">
        <f>ROUND(D976*(1+(E976/100)),2)</f>
        <v/>
      </c>
      <c r="E976" s="8" t="n">
        <v>15</v>
      </c>
    </row>
    <row r="977">
      <c r="A977" s="8" t="n">
        <v>976</v>
      </c>
      <c r="B977" s="8" t="inlineStr">
        <is>
          <t>Produto</t>
        </is>
      </c>
      <c r="C977" t="inlineStr">
        <is>
          <t>Bola de pilates premium laranja</t>
        </is>
      </c>
      <c r="D977" s="10">
        <f>ROUND(D977*(1+(E977/100)),2)</f>
        <v/>
      </c>
      <c r="E977" s="8" t="n">
        <v>15</v>
      </c>
    </row>
    <row r="978">
      <c r="A978" s="8" t="n">
        <v>977</v>
      </c>
      <c r="B978" s="8" t="inlineStr">
        <is>
          <t>Produto</t>
        </is>
      </c>
      <c r="C978" t="inlineStr">
        <is>
          <t>Raquete de beach tennis recreativo cinza</t>
        </is>
      </c>
      <c r="D978" s="10">
        <f>ROUND(D978*(1+(E978/100)),2)</f>
        <v/>
      </c>
      <c r="E978" s="8" t="n">
        <v>15</v>
      </c>
    </row>
    <row r="979">
      <c r="A979" s="8" t="n">
        <v>978</v>
      </c>
      <c r="B979" s="8" t="inlineStr">
        <is>
          <t>Produto</t>
        </is>
      </c>
      <c r="C979" t="inlineStr">
        <is>
          <t>Capacete de ciclismo com ajuste cinza</t>
        </is>
      </c>
      <c r="D979" s="10">
        <f>ROUND(D979*(1+(E979/100)),2)</f>
        <v/>
      </c>
      <c r="E979" s="8" t="n">
        <v>15</v>
      </c>
    </row>
    <row r="980">
      <c r="A980" s="8" t="n">
        <v>979</v>
      </c>
      <c r="B980" s="8" t="inlineStr">
        <is>
          <t>Produto</t>
        </is>
      </c>
      <c r="C980" t="inlineStr">
        <is>
          <t>Óculos esportivos modelo básico preto</t>
        </is>
      </c>
      <c r="D980" s="10">
        <f>ROUND(D980*(1+(E980/100)),2)</f>
        <v/>
      </c>
      <c r="E980" s="8" t="n">
        <v>15</v>
      </c>
    </row>
    <row r="981">
      <c r="A981" s="8" t="n">
        <v>980</v>
      </c>
      <c r="B981" s="8" t="inlineStr">
        <is>
          <t>Produto</t>
        </is>
      </c>
      <c r="C981" t="inlineStr">
        <is>
          <t>Caneleira de futebol leve azul</t>
        </is>
      </c>
      <c r="D981" s="10">
        <f>ROUND(D981*(1+(E981/100)),2)</f>
        <v/>
      </c>
      <c r="E981" s="8" t="n">
        <v>15</v>
      </c>
    </row>
    <row r="982">
      <c r="A982" s="8" t="n">
        <v>981</v>
      </c>
      <c r="B982" s="8" t="inlineStr">
        <is>
          <t>Produto</t>
        </is>
      </c>
      <c r="C982" t="inlineStr">
        <is>
          <t>Chuteira de campo adulto verde tam. M</t>
        </is>
      </c>
      <c r="D982" s="10">
        <f>ROUND(D982*(1+(E982/100)),2)</f>
        <v/>
      </c>
      <c r="E982" s="8" t="n">
        <v>15</v>
      </c>
    </row>
    <row r="983">
      <c r="A983" s="8" t="n">
        <v>982</v>
      </c>
      <c r="B983" s="8" t="inlineStr">
        <is>
          <t>Produto</t>
        </is>
      </c>
      <c r="C983" t="inlineStr">
        <is>
          <t>Óculos esportivos modelo básico laranja</t>
        </is>
      </c>
      <c r="D983" s="10">
        <f>ROUND(D983*(1+(E983/100)),2)</f>
        <v/>
      </c>
      <c r="E983" s="8" t="n">
        <v>15</v>
      </c>
    </row>
    <row r="984">
      <c r="A984" s="8" t="n">
        <v>983</v>
      </c>
      <c r="B984" s="8" t="inlineStr">
        <is>
          <t>Produto</t>
        </is>
      </c>
      <c r="C984" t="inlineStr">
        <is>
          <t>Óculos esportivos com ajuste preto</t>
        </is>
      </c>
      <c r="D984" s="10">
        <f>ROUND(D984*(1+(E984/100)),2)</f>
        <v/>
      </c>
      <c r="E984" s="8" t="n">
        <v>15</v>
      </c>
    </row>
    <row r="985">
      <c r="A985" s="8" t="n">
        <v>984</v>
      </c>
      <c r="B985" s="8" t="inlineStr">
        <is>
          <t>Produto</t>
        </is>
      </c>
      <c r="C985" t="inlineStr">
        <is>
          <t>Step de ginástica juvenil cinza</t>
        </is>
      </c>
      <c r="D985" s="10">
        <f>ROUND(D985*(1+(E985/100)),2)</f>
        <v/>
      </c>
      <c r="E985" s="8" t="n">
        <v>15</v>
      </c>
    </row>
    <row r="986">
      <c r="A986" s="8" t="n">
        <v>985</v>
      </c>
      <c r="B986" s="8" t="inlineStr">
        <is>
          <t>Produto</t>
        </is>
      </c>
      <c r="C986" t="inlineStr">
        <is>
          <t>Raquete de beach tennis ergonômico vermelho</t>
        </is>
      </c>
      <c r="D986" s="10">
        <f>ROUND(D986*(1+(E986/100)),2)</f>
        <v/>
      </c>
      <c r="E986" s="8" t="n">
        <v>15</v>
      </c>
    </row>
    <row r="987">
      <c r="A987" s="8" t="n">
        <v>986</v>
      </c>
      <c r="B987" s="8" t="inlineStr">
        <is>
          <t>Produto</t>
        </is>
      </c>
      <c r="C987" t="inlineStr">
        <is>
          <t>Mochila esportiva adulto azul</t>
        </is>
      </c>
      <c r="D987" s="10">
        <f>ROUND(D987*(1+(E987/100)),2)</f>
        <v/>
      </c>
      <c r="E987" s="8" t="n">
        <v>15</v>
      </c>
    </row>
    <row r="988">
      <c r="A988" s="8" t="n">
        <v>987</v>
      </c>
      <c r="B988" s="8" t="inlineStr">
        <is>
          <t>Produto</t>
        </is>
      </c>
      <c r="C988" t="inlineStr">
        <is>
          <t>Patins para uso diário rosa</t>
        </is>
      </c>
      <c r="D988" s="10">
        <f>ROUND(D988*(1+(E988/100)),2)</f>
        <v/>
      </c>
      <c r="E988" s="8" t="n">
        <v>15</v>
      </c>
    </row>
    <row r="989">
      <c r="A989" s="8" t="n">
        <v>988</v>
      </c>
      <c r="B989" s="8" t="inlineStr">
        <is>
          <t>Produto</t>
        </is>
      </c>
      <c r="C989" t="inlineStr">
        <is>
          <t>Bola de vôlei com ajuste azul</t>
        </is>
      </c>
      <c r="D989" s="10">
        <f>ROUND(D989*(1+(E989/100)),2)</f>
        <v/>
      </c>
      <c r="E989" s="8" t="n">
        <v>15</v>
      </c>
    </row>
    <row r="990">
      <c r="A990" s="8" t="n">
        <v>989</v>
      </c>
      <c r="B990" s="8" t="inlineStr">
        <is>
          <t>Produto</t>
        </is>
      </c>
      <c r="C990" t="inlineStr">
        <is>
          <t>Calça legging para uso diário cinza tam. 36</t>
        </is>
      </c>
      <c r="D990" s="10">
        <f>ROUND(D990*(1+(E990/100)),2)</f>
        <v/>
      </c>
      <c r="E990" s="8" t="n">
        <v>15</v>
      </c>
    </row>
    <row r="991">
      <c r="A991" s="8" t="n">
        <v>990</v>
      </c>
      <c r="B991" s="8" t="inlineStr">
        <is>
          <t>Produto</t>
        </is>
      </c>
      <c r="C991" t="inlineStr">
        <is>
          <t>Bastão de caminhada ventilado azul</t>
        </is>
      </c>
      <c r="D991" s="10">
        <f>ROUND(D991*(1+(E991/100)),2)</f>
        <v/>
      </c>
      <c r="E991" s="8" t="n">
        <v>15</v>
      </c>
    </row>
    <row r="992">
      <c r="A992" s="8" t="n">
        <v>991</v>
      </c>
      <c r="B992" s="8" t="inlineStr">
        <is>
          <t>Produto</t>
        </is>
      </c>
      <c r="C992" t="inlineStr">
        <is>
          <t>Touca de natação reforçado branco tam. P</t>
        </is>
      </c>
      <c r="D992" s="10">
        <f>ROUND(D992*(1+(E992/100)),2)</f>
        <v/>
      </c>
      <c r="E992" s="8" t="n">
        <v>15</v>
      </c>
    </row>
    <row r="993">
      <c r="A993" s="8" t="n">
        <v>992</v>
      </c>
      <c r="B993" s="8" t="inlineStr">
        <is>
          <t>Produto</t>
        </is>
      </c>
      <c r="C993" t="inlineStr">
        <is>
          <t>Calça legging compacto laranja tam. 36</t>
        </is>
      </c>
      <c r="D993" s="10">
        <f>ROUND(D993*(1+(E993/100)),2)</f>
        <v/>
      </c>
      <c r="E993" s="8" t="n">
        <v>15</v>
      </c>
    </row>
    <row r="994">
      <c r="A994" s="8" t="n">
        <v>993</v>
      </c>
      <c r="B994" s="8" t="inlineStr">
        <is>
          <t>Produto</t>
        </is>
      </c>
      <c r="C994" t="inlineStr">
        <is>
          <t>Bolsa de academia treino laranja</t>
        </is>
      </c>
      <c r="D994" s="10">
        <f>ROUND(D994*(1+(E994/100)),2)</f>
        <v/>
      </c>
      <c r="E994" s="8" t="n">
        <v>15</v>
      </c>
    </row>
    <row r="995">
      <c r="A995" s="8" t="n">
        <v>994</v>
      </c>
      <c r="B995" s="8" t="inlineStr">
        <is>
          <t>Produto</t>
        </is>
      </c>
      <c r="C995" t="inlineStr">
        <is>
          <t>Bola de futebol unissex rosa</t>
        </is>
      </c>
      <c r="D995" s="10">
        <f>ROUND(D995*(1+(E995/100)),2)</f>
        <v/>
      </c>
      <c r="E995" s="8" t="n">
        <v>15</v>
      </c>
    </row>
    <row r="996">
      <c r="A996" s="8" t="n">
        <v>995</v>
      </c>
      <c r="B996" s="8" t="inlineStr">
        <is>
          <t>Produto</t>
        </is>
      </c>
      <c r="C996" t="inlineStr">
        <is>
          <t>Chuteira society profissional verde tam. G</t>
        </is>
      </c>
      <c r="D996" s="10">
        <f>ROUND(D996*(1+(E996/100)),2)</f>
        <v/>
      </c>
      <c r="E996" s="8" t="n">
        <v>15</v>
      </c>
    </row>
    <row r="997">
      <c r="A997" s="8" t="n">
        <v>996</v>
      </c>
      <c r="B997" s="8" t="inlineStr">
        <is>
          <t>Produto</t>
        </is>
      </c>
      <c r="C997" t="inlineStr">
        <is>
          <t>Nadadeira modelo básico preto</t>
        </is>
      </c>
      <c r="D997" s="10">
        <f>ROUND(D997*(1+(E997/100)),2)</f>
        <v/>
      </c>
      <c r="E997" s="8" t="n">
        <v>0</v>
      </c>
    </row>
    <row r="998">
      <c r="A998" s="8" t="n">
        <v>997</v>
      </c>
      <c r="B998" s="8" t="inlineStr">
        <is>
          <t>Produto</t>
        </is>
      </c>
      <c r="C998" t="inlineStr">
        <is>
          <t>Óculos de natação ventilado azul</t>
        </is>
      </c>
      <c r="D998" s="10">
        <f>ROUND(D998*(1+(E998/100)),2)</f>
        <v/>
      </c>
      <c r="E998" s="8" t="n">
        <v>15</v>
      </c>
    </row>
    <row r="999">
      <c r="A999" s="8" t="n">
        <v>998</v>
      </c>
      <c r="B999" s="8" t="inlineStr">
        <is>
          <t>Produto</t>
        </is>
      </c>
      <c r="C999" t="inlineStr">
        <is>
          <t>Jaqueta esportiva ventilado branco tam. 40</t>
        </is>
      </c>
      <c r="D999" s="10">
        <f>ROUND(D999*(1+(E999/100)),2)</f>
        <v/>
      </c>
      <c r="E999" s="8" t="n">
        <v>15</v>
      </c>
    </row>
    <row r="1000">
      <c r="A1000" s="8" t="n">
        <v>999</v>
      </c>
      <c r="B1000" s="8" t="inlineStr">
        <is>
          <t>Produto</t>
        </is>
      </c>
      <c r="C1000" t="inlineStr">
        <is>
          <t>Bola de basquete modelo avançado vermelho</t>
        </is>
      </c>
      <c r="D1000" s="10">
        <f>ROUND(D1000*(1+(E1000/100)),2)</f>
        <v/>
      </c>
      <c r="E1000" s="8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1" workbookViewId="0">
      <selection activeCell="A1" sqref="A1"/>
    </sheetView>
  </sheetViews>
  <sheetFormatPr baseColWidth="8" defaultRowHeight="15"/>
  <cols>
    <col width="2.6640625" customWidth="1" min="1" max="1"/>
    <col width="19.1328125" customWidth="1" min="2" max="2"/>
    <col width="13.46484375" customWidth="1" min="3" max="3"/>
    <col width="13.9296875" customWidth="1" min="4" max="4"/>
    <col width="23" customWidth="1" min="5" max="5"/>
    <col width="24.19921875" customWidth="1" min="6" max="6"/>
    <col width="14.19921875" customWidth="1" min="7" max="7"/>
    <col width="16.73046875" customWidth="1" min="8" max="8"/>
    <col width="5.73046875" customWidth="1" min="9" max="9"/>
  </cols>
  <sheetData>
    <row r="1" ht="15.4" customHeight="1">
      <c r="A1" s="11" t="inlineStr">
        <is>
          <t>ID</t>
        </is>
      </c>
      <c r="B1" s="11" t="inlineStr">
        <is>
          <t>NOME</t>
        </is>
      </c>
      <c r="C1" s="11" t="inlineStr">
        <is>
          <t>CPF_CNPJ</t>
        </is>
      </c>
      <c r="D1" s="11" t="inlineStr">
        <is>
          <t>TELEFONE</t>
        </is>
      </c>
      <c r="E1" s="11" t="inlineStr">
        <is>
          <t>EMAIL</t>
        </is>
      </c>
      <c r="F1" s="11" t="inlineStr">
        <is>
          <t>ENDERECO</t>
        </is>
      </c>
      <c r="G1" s="12" t="inlineStr">
        <is>
          <t>BAIRRO</t>
        </is>
      </c>
      <c r="H1" s="12" t="inlineStr">
        <is>
          <t>DATA_NASCIMENTO</t>
        </is>
      </c>
      <c r="I1" s="12" t="inlineStr">
        <is>
          <t>IDADE</t>
        </is>
      </c>
    </row>
    <row r="2">
      <c r="A2" t="n">
        <v>1</v>
      </c>
      <c r="B2" t="inlineStr">
        <is>
          <t>Carlos Alberto da Silva</t>
        </is>
      </c>
      <c r="C2" t="inlineStr">
        <is>
          <t>123.456.789-00</t>
        </is>
      </c>
      <c r="D2" t="inlineStr">
        <is>
          <t>(11) 98765-4321</t>
        </is>
      </c>
      <c r="E2" t="inlineStr">
        <is>
          <t>carlos.silva@email.com</t>
        </is>
      </c>
      <c r="F2" t="inlineStr">
        <is>
          <t>Rua das Flores, 120 - SP</t>
        </is>
      </c>
      <c r="G2" t="inlineStr">
        <is>
          <t>Jardim das Flores</t>
        </is>
      </c>
      <c r="H2" t="inlineStr">
        <is>
          <t>15/03/1985</t>
        </is>
      </c>
      <c r="I2" t="n">
        <v>41</v>
      </c>
    </row>
    <row r="3">
      <c r="A3" t="n">
        <v>2</v>
      </c>
      <c r="B3" t="inlineStr">
        <is>
          <t>Mariana Oliveira Santos</t>
        </is>
      </c>
      <c r="C3" t="inlineStr">
        <is>
          <t>234.567.890-11</t>
        </is>
      </c>
      <c r="D3" t="inlineStr">
        <is>
          <t>(21) 99887-6655</t>
        </is>
      </c>
      <c r="E3" t="inlineStr">
        <is>
          <t>mariana.santos@email.com</t>
        </is>
      </c>
      <c r="F3" t="inlineStr">
        <is>
          <t>Av. Brasil, 4500 - RJ</t>
        </is>
      </c>
      <c r="G3" t="inlineStr">
        <is>
          <t>Copacabana</t>
        </is>
      </c>
      <c r="H3" t="inlineStr">
        <is>
          <t>22/07/1992</t>
        </is>
      </c>
      <c r="I3" t="n">
        <v>34</v>
      </c>
    </row>
    <row r="4">
      <c r="A4" t="n">
        <v>3</v>
      </c>
      <c r="B4" t="inlineStr">
        <is>
          <t>Lucas Fernandes Souza</t>
        </is>
      </c>
      <c r="C4" t="inlineStr">
        <is>
          <t>345.678.901-22</t>
        </is>
      </c>
      <c r="D4" t="inlineStr">
        <is>
          <t>(31) 98452-1133</t>
        </is>
      </c>
      <c r="E4" t="inlineStr">
        <is>
          <t>lucas.souza@email.com</t>
        </is>
      </c>
      <c r="F4" t="inlineStr">
        <is>
          <t>Rua Bahia, 88 - MG</t>
        </is>
      </c>
      <c r="G4" t="inlineStr">
        <is>
          <t>Savassi</t>
        </is>
      </c>
      <c r="H4" s="13" t="n">
        <v>32427</v>
      </c>
      <c r="I4" t="n">
        <v>37</v>
      </c>
    </row>
    <row r="5">
      <c r="A5" t="n">
        <v>4</v>
      </c>
      <c r="B5" t="inlineStr">
        <is>
          <t>Beatriz Souza Almeida</t>
        </is>
      </c>
      <c r="C5" t="inlineStr">
        <is>
          <t>456.789.012-33</t>
        </is>
      </c>
      <c r="D5" t="inlineStr">
        <is>
          <t>(41) 97123-9988</t>
        </is>
      </c>
      <c r="E5" t="inlineStr">
        <is>
          <t>beatriz.almeida@email.com</t>
        </is>
      </c>
      <c r="F5" t="inlineStr">
        <is>
          <t>Rua XV de Novembro, 200 - PR</t>
        </is>
      </c>
      <c r="G5" t="inlineStr">
        <is>
          <t>Batel</t>
        </is>
      </c>
      <c r="H5" s="13" t="n">
        <v>34828</v>
      </c>
      <c r="I5" t="n">
        <v>31</v>
      </c>
    </row>
    <row r="6">
      <c r="A6" t="n">
        <v>6</v>
      </c>
      <c r="B6" t="inlineStr">
        <is>
          <t>vivaben</t>
        </is>
      </c>
      <c r="C6" t="n">
        <v>5823813120</v>
      </c>
      <c r="D6" t="n">
        <v>61982880812</v>
      </c>
      <c r="E6" t="inlineStr">
        <is>
          <t>sdASDDA!@gmail.com</t>
        </is>
      </c>
      <c r="F6" t="inlineStr">
        <is>
          <t>QND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"/>
  <sheetViews>
    <sheetView showGridLines="1" workbookViewId="0">
      <selection activeCell="A1" sqref="A1"/>
    </sheetView>
  </sheetViews>
  <sheetFormatPr baseColWidth="8" defaultRowHeight="15"/>
  <cols>
    <col width="9.53125" customWidth="1" min="1" max="1"/>
    <col width="12.53125" customWidth="1" min="2" max="2"/>
    <col width="10.3984375" customWidth="1" min="3" max="3"/>
    <col width="18" customWidth="1" min="4" max="4"/>
    <col width="13.265625" customWidth="1" min="5" max="5"/>
    <col width="10.265625" customWidth="1" min="6" max="6"/>
    <col width="14.6640625" customWidth="1" min="7" max="7"/>
    <col width="14.06640625" customWidth="1" min="8" max="8"/>
    <col width="8.73046875" customWidth="1" min="9" max="9"/>
    <col width="9.59765625" customWidth="1" min="10" max="10"/>
    <col width="13.59765625" customWidth="1" min="11" max="11"/>
    <col width="23.265625" customWidth="1" min="12" max="12"/>
    <col width="18.59765625" customWidth="1" min="13" max="13"/>
  </cols>
  <sheetData>
    <row r="1" ht="16.5" customHeight="1">
      <c r="A1" s="14" t="inlineStr">
        <is>
          <t>ID_VENDA</t>
        </is>
      </c>
      <c r="B1" s="14" t="inlineStr">
        <is>
          <t>DATA_VENDA</t>
        </is>
      </c>
      <c r="C1" s="14" t="inlineStr">
        <is>
          <t>ID_CLIENTE</t>
        </is>
      </c>
      <c r="D1" s="14" t="inlineStr">
        <is>
          <t>NOME_CLIENTE</t>
        </is>
      </c>
      <c r="E1" s="15" t="inlineStr">
        <is>
          <t>TOTAL_BRUTO</t>
        </is>
      </c>
      <c r="F1" s="15" t="inlineStr">
        <is>
          <t>DESCONTO</t>
        </is>
      </c>
      <c r="G1" s="15" t="inlineStr">
        <is>
          <t>TOTAL_LIQUIDO</t>
        </is>
      </c>
      <c r="H1" s="14" t="inlineStr">
        <is>
          <t>FORMA_PAGTO</t>
        </is>
      </c>
      <c r="I1" s="14" t="inlineStr">
        <is>
          <t>STATUS</t>
        </is>
      </c>
      <c r="J1" s="14" t="inlineStr">
        <is>
          <t>PARCELAS</t>
        </is>
      </c>
      <c r="K1" s="16" t="inlineStr">
        <is>
          <t>TAXA_CARTAO</t>
        </is>
      </c>
      <c r="L1" s="15" t="inlineStr">
        <is>
          <t>VALOR_LIQUIDO_RECEBER</t>
        </is>
      </c>
      <c r="M1" s="17" t="inlineStr">
        <is>
          <t>OPERADOR</t>
        </is>
      </c>
    </row>
    <row r="2">
      <c r="A2" t="n">
        <v>1</v>
      </c>
      <c r="B2" s="13" t="n">
        <v>46310</v>
      </c>
      <c r="C2" t="n">
        <v>4</v>
      </c>
      <c r="D2" t="inlineStr">
        <is>
          <t>Beatriz Souza Almeida</t>
        </is>
      </c>
      <c r="E2" s="18" t="n">
        <v>206.83</v>
      </c>
      <c r="F2" s="18" t="n">
        <v>0</v>
      </c>
      <c r="G2" s="18" t="n">
        <v>206.83</v>
      </c>
      <c r="H2" t="inlineStr">
        <is>
          <t>PIX</t>
        </is>
      </c>
      <c r="I2" t="inlineStr">
        <is>
          <t>Concluída</t>
        </is>
      </c>
      <c r="J2" t="inlineStr">
        <is>
          <t>1x</t>
        </is>
      </c>
      <c r="K2" s="19" t="n">
        <v>0</v>
      </c>
      <c r="L2" s="18" t="n">
        <v>206.83</v>
      </c>
      <c r="M2" t="inlineStr">
        <is>
          <t>Vitória Karollyne</t>
        </is>
      </c>
    </row>
    <row r="3">
      <c r="A3" t="n">
        <v>2</v>
      </c>
      <c r="B3" s="20" t="n">
        <v>46305.125</v>
      </c>
      <c r="C3" t="n">
        <v>1</v>
      </c>
      <c r="D3" t="inlineStr">
        <is>
          <t>Carlos Alberto da Silva</t>
        </is>
      </c>
      <c r="E3" s="18" t="n">
        <v>550</v>
      </c>
      <c r="F3" s="18" t="n">
        <v>50</v>
      </c>
      <c r="G3" s="18" t="n">
        <v>500</v>
      </c>
      <c r="H3" t="inlineStr">
        <is>
          <t>Cartão de Crédito</t>
        </is>
      </c>
      <c r="I3" t="inlineStr">
        <is>
          <t>Concluída</t>
        </is>
      </c>
      <c r="J3" t="inlineStr">
        <is>
          <t>3x</t>
        </is>
      </c>
      <c r="K3" s="19" t="n">
        <v>0.035</v>
      </c>
      <c r="L3" s="18" t="n">
        <v>482.5</v>
      </c>
      <c r="M3" t="inlineStr">
        <is>
          <t>Vitória Karollyne</t>
        </is>
      </c>
    </row>
    <row r="4">
      <c r="A4" t="n">
        <v>3</v>
      </c>
      <c r="B4" s="20" t="n">
        <v>46307.125</v>
      </c>
      <c r="C4" t="n">
        <v>2</v>
      </c>
      <c r="D4" t="inlineStr">
        <is>
          <t>Mariana Oliveira Santos</t>
        </is>
      </c>
      <c r="E4" s="18" t="n">
        <v>320</v>
      </c>
      <c r="F4" s="18" t="n">
        <v>0</v>
      </c>
      <c r="G4" s="18" t="n">
        <v>320</v>
      </c>
      <c r="H4" t="inlineStr">
        <is>
          <t>PIX</t>
        </is>
      </c>
      <c r="I4" t="inlineStr">
        <is>
          <t>Concluída</t>
        </is>
      </c>
      <c r="J4" t="inlineStr">
        <is>
          <t>1x</t>
        </is>
      </c>
      <c r="K4" s="19" t="n">
        <v>0</v>
      </c>
      <c r="L4" s="18" t="n">
        <v>320</v>
      </c>
      <c r="M4" t="inlineStr">
        <is>
          <t>Geovana</t>
        </is>
      </c>
    </row>
    <row r="5">
      <c r="A5" t="n">
        <v>4</v>
      </c>
      <c r="B5" s="20" t="n">
        <v>46308.125</v>
      </c>
      <c r="C5" t="n">
        <v>3</v>
      </c>
      <c r="D5" t="inlineStr">
        <is>
          <t>Ricardo Fernandes Souza</t>
        </is>
      </c>
      <c r="E5" s="18" t="n">
        <v>1200</v>
      </c>
      <c r="F5" s="18" t="n">
        <v>100</v>
      </c>
      <c r="G5" s="18" t="n">
        <v>1100</v>
      </c>
      <c r="H5" t="inlineStr">
        <is>
          <t>Cartão de Crédito</t>
        </is>
      </c>
      <c r="I5" t="inlineStr">
        <is>
          <t>Concluída</t>
        </is>
      </c>
      <c r="J5" t="inlineStr">
        <is>
          <t>6x</t>
        </is>
      </c>
      <c r="K5" s="19" t="n">
        <v>0.045</v>
      </c>
      <c r="L5" s="18" t="n">
        <v>1050.5</v>
      </c>
      <c r="M5" t="inlineStr">
        <is>
          <t>Geovana</t>
        </is>
      </c>
    </row>
    <row r="6">
      <c r="A6" t="n">
        <v>5</v>
      </c>
      <c r="B6" s="20" t="n">
        <v>46309.125</v>
      </c>
      <c r="C6" t="n">
        <v>5</v>
      </c>
      <c r="D6" t="inlineStr">
        <is>
          <t>Lucas Martins Pereira</t>
        </is>
      </c>
      <c r="E6" s="18" t="n">
        <v>180</v>
      </c>
      <c r="F6" s="18" t="n">
        <v>0</v>
      </c>
      <c r="G6" s="18" t="n">
        <v>180</v>
      </c>
      <c r="H6" t="inlineStr">
        <is>
          <t>Cartão de Débito</t>
        </is>
      </c>
      <c r="I6" t="inlineStr">
        <is>
          <t>Concluída</t>
        </is>
      </c>
      <c r="J6" t="inlineStr">
        <is>
          <t>1x</t>
        </is>
      </c>
      <c r="K6" s="19" t="n">
        <v>0.015</v>
      </c>
      <c r="L6" s="18" t="n">
        <v>177.3</v>
      </c>
      <c r="M6" t="inlineStr">
        <is>
          <t>Administrador</t>
        </is>
      </c>
    </row>
    <row r="7">
      <c r="A7" t="n">
        <v>6</v>
      </c>
      <c r="B7" s="20" t="n">
        <v>46310.125</v>
      </c>
      <c r="C7" t="n">
        <v>1</v>
      </c>
      <c r="D7" t="inlineStr">
        <is>
          <t>Carlos Alberto da Silva</t>
        </is>
      </c>
      <c r="E7" s="18" t="n">
        <v>450</v>
      </c>
      <c r="F7" s="18" t="n">
        <v>0</v>
      </c>
      <c r="G7" s="18" t="n">
        <v>450</v>
      </c>
      <c r="H7" t="inlineStr">
        <is>
          <t>Dinheiro</t>
        </is>
      </c>
      <c r="I7" t="inlineStr">
        <is>
          <t>Cancelada</t>
        </is>
      </c>
      <c r="J7" t="inlineStr">
        <is>
          <t>1x</t>
        </is>
      </c>
      <c r="K7" s="19" t="n">
        <v>0</v>
      </c>
      <c r="L7" s="18" t="n">
        <v>450</v>
      </c>
      <c r="M7" t="inlineStr">
        <is>
          <t>Ana Silva</t>
        </is>
      </c>
    </row>
    <row r="8">
      <c r="A8" t="n">
        <v>7</v>
      </c>
      <c r="B8" s="13" t="n">
        <v>46311</v>
      </c>
      <c r="C8" t="n">
        <v>6</v>
      </c>
      <c r="D8" t="inlineStr">
        <is>
          <t>vivaben</t>
        </is>
      </c>
      <c r="E8" s="18" t="n">
        <v>241.49</v>
      </c>
      <c r="F8" s="18" t="n">
        <v>0</v>
      </c>
      <c r="G8" s="18" t="n">
        <v>241.49</v>
      </c>
      <c r="H8" t="inlineStr">
        <is>
          <t>Cartão de Crédito</t>
        </is>
      </c>
      <c r="I8" t="inlineStr">
        <is>
          <t>Cancelada</t>
        </is>
      </c>
      <c r="J8" t="inlineStr">
        <is>
          <t>1x</t>
        </is>
      </c>
      <c r="K8" s="19" t="n">
        <v>0.0089</v>
      </c>
      <c r="L8" s="18" t="n">
        <v>239.34</v>
      </c>
      <c r="M8" t="inlineStr">
        <is>
          <t>Vitória Karollyne Bezerra da Fonseca</t>
        </is>
      </c>
    </row>
    <row r="9">
      <c r="A9" t="n">
        <v>8</v>
      </c>
      <c r="B9" s="13" t="n">
        <v>46311</v>
      </c>
      <c r="C9" t="n">
        <v>4</v>
      </c>
      <c r="D9" t="inlineStr">
        <is>
          <t>Beatriz Souza Almeida</t>
        </is>
      </c>
      <c r="E9" s="18" t="n">
        <v>542.5</v>
      </c>
      <c r="F9" s="18" t="n">
        <v>0</v>
      </c>
      <c r="G9" s="18" t="n">
        <v>542.5</v>
      </c>
      <c r="H9" t="inlineStr">
        <is>
          <t>Dinheiro</t>
        </is>
      </c>
      <c r="I9" t="inlineStr">
        <is>
          <t>Concluida</t>
        </is>
      </c>
      <c r="J9" t="inlineStr">
        <is>
          <t>1x</t>
        </is>
      </c>
      <c r="K9" s="19" t="n">
        <v>0</v>
      </c>
      <c r="L9" s="18" t="n">
        <v>542.5</v>
      </c>
      <c r="M9" t="inlineStr">
        <is>
          <t>Administrador</t>
        </is>
      </c>
    </row>
    <row r="10">
      <c r="A10" t="n">
        <v>9</v>
      </c>
      <c r="B10" s="13" t="n">
        <v>46314</v>
      </c>
      <c r="C10" t="n">
        <v>1</v>
      </c>
      <c r="D10" t="inlineStr">
        <is>
          <t>Carlos Alberto da Silva</t>
        </is>
      </c>
      <c r="E10" s="18" t="n">
        <v>2385.47</v>
      </c>
      <c r="F10" s="18" t="n">
        <v>200</v>
      </c>
      <c r="G10" s="18" t="n">
        <v>2185.47</v>
      </c>
      <c r="H10" t="inlineStr">
        <is>
          <t>Cartão de Crédito</t>
        </is>
      </c>
      <c r="I10" t="inlineStr">
        <is>
          <t>Concluida</t>
        </is>
      </c>
      <c r="J10" t="inlineStr">
        <is>
          <t>1x</t>
        </is>
      </c>
      <c r="K10" s="19" t="n">
        <v>0.035</v>
      </c>
      <c r="L10" s="21" t="n">
        <v>2108.98</v>
      </c>
      <c r="M10" t="inlineStr">
        <is>
          <t>Administrador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2026-10-22T14:18:57Z</dcterms:created>
  <dcterms:modified xmlns:dcterms="http://purl.org/dc/terms/" xmlns:xsi="http://www.w3.org/2001/XMLSchema-instance" xsi:type="dcterms:W3CDTF">2026-10-22T14:18:58Z</dcterms:modified>
</cp:coreProperties>
</file>