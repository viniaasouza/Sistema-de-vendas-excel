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ÍCIO" sheetId="1" state="visible" r:id="rId1"/>
    <sheet xmlns:r="http://schemas.openxmlformats.org/officeDocument/2006/relationships" name="APURACAO_RESULTADOS" sheetId="2" state="visible" r:id="rId2"/>
    <sheet xmlns:r="http://schemas.openxmlformats.org/officeDocument/2006/relationships" name="FLUXO_CAIXA" sheetId="3" state="visible" r:id="rId3"/>
    <sheet xmlns:r="http://schemas.openxmlformats.org/officeDocument/2006/relationships" name="DESPESAS" sheetId="4" state="visible" r:id="rId4"/>
    <sheet xmlns:r="http://schemas.openxmlformats.org/officeDocument/2006/relationships" name="INVENTARIO" sheetId="5" state="visible" r:id="rId5"/>
    <sheet xmlns:r="http://schemas.openxmlformats.org/officeDocument/2006/relationships" name="VENDAS" sheetId="6" state="visible" r:id="rId6"/>
    <sheet xmlns:r="http://schemas.openxmlformats.org/officeDocument/2006/relationships" name="ITENS_VENDA" sheetId="7" state="visible" r:id="rId7"/>
    <sheet xmlns:r="http://schemas.openxmlformats.org/officeDocument/2006/relationships" name="PRODUTOS_SERVICOS" sheetId="8" state="visible" r:id="rId8"/>
    <sheet xmlns:r="http://schemas.openxmlformats.org/officeDocument/2006/relationships" name="CLIENTES" sheetId="9" state="visible" r:id="rId9"/>
    <sheet xmlns:r="http://schemas.openxmlformats.org/officeDocument/2006/relationships" name="USUARIOS" sheetId="10" state="visible" r:id="rId10"/>
    <sheet xmlns:r="http://schemas.openxmlformats.org/officeDocument/2006/relationships"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\R&quot;R$&quot;\ #,##0.00"/>
    <numFmt numFmtId="165" formatCode="[$R$-416]\ #,##0.00"/>
    <numFmt numFmtId="166" formatCode="dd/mm/\y\y\y\y"/>
    <numFmt numFmtId="167" formatCode="yyyy-mm-dd h:mm:ss"/>
    <numFmt numFmtId="168" formatCode="#,##0&quot; un.&quot;"/>
    <numFmt numFmtId="169" formatCode="#,##0&quot; alertas&quot;"/>
    <numFmt numFmtId="170" formatCode="0.0&quot;%&quot;"/>
    <numFmt numFmtId="171" formatCode="#,#00&quot;%&quot;"/>
    <numFmt numFmtId="172" formatCode="&quot;R$&quot;\ #,##0.00"/>
  </numFmts>
  <fonts count="35">
    <font>
      <name val="Calibri"/>
      <family val="2"/>
      <color theme="1"/>
      <sz val="11"/>
      <scheme val="minor"/>
    </font>
    <font>
      <name val="Segoe UI"/>
      <b val="1"/>
      <color rgb="FFFFFFFF"/>
      <sz val="15"/>
    </font>
    <font>
      <name val="Segoe UI"/>
      <color rgb="FFD3D3D3"/>
      <sz val="9.5"/>
    </font>
    <font>
      <name val="Segoe UI"/>
      <b val="1"/>
      <color rgb="FF006400"/>
      <sz val="9.5"/>
    </font>
    <font>
      <name val="Aptos Narrow"/>
      <color theme="1"/>
      <sz val="11"/>
    </font>
    <font>
      <name val="Segoe UI"/>
      <b val="1"/>
      <color rgb="FF333333"/>
      <sz val="10"/>
    </font>
    <font>
      <name val="Segoe UI"/>
      <b val="1"/>
      <color rgb="FF666666"/>
      <sz val="8"/>
    </font>
    <font>
      <name val="Segoe UI"/>
      <b val="1"/>
      <color rgb="FF006400"/>
      <sz val="12"/>
    </font>
    <font>
      <name val="Segoe UI"/>
      <b val="1"/>
      <color rgb="FF3333CC"/>
      <sz val="12"/>
    </font>
    <font>
      <name val="Segoe UI"/>
      <b val="1"/>
      <color rgb="FFC84303"/>
      <sz val="12"/>
    </font>
    <font>
      <name val="Segoe UI"/>
      <b val="1"/>
      <color rgb="FF09764B"/>
      <sz val="12"/>
    </font>
    <font>
      <name val="Segoe UI"/>
      <b val="1"/>
      <color rgb="FFFFFFFF"/>
      <sz val="9.5"/>
    </font>
    <font>
      <name val="Segoe UI"/>
      <b val="1"/>
      <color rgb="FFFFFFFF"/>
      <sz val="8.5"/>
    </font>
    <font>
      <name val="Segoe UI"/>
      <color theme="1"/>
      <sz val="8.5"/>
    </font>
    <font>
      <name val="Segoe UI"/>
      <b val="1"/>
      <color rgb="FFFFFFFF"/>
      <sz val="9"/>
    </font>
    <font>
      <name val="Segoe UI"/>
      <b val="1"/>
      <color theme="1"/>
      <sz val="8.5"/>
    </font>
    <font>
      <name val="Segoe UI"/>
      <i val="1"/>
      <color rgb="FF505050"/>
      <sz val="8"/>
    </font>
    <font>
      <name val="Segoe UI"/>
      <b val="1"/>
      <color rgb="FFFFFFFF"/>
      <sz val="13"/>
    </font>
    <font>
      <name val="Aptos Narrow"/>
      <b val="1"/>
      <color theme="1"/>
      <sz val="11"/>
    </font>
    <font>
      <name val="Aptos Narrow"/>
      <b val="1"/>
      <color rgb="FF6E4C1A"/>
      <sz val="11"/>
    </font>
    <font>
      <name val="Segoe UI"/>
      <b val="1"/>
      <color rgb="FF555555"/>
      <sz val="8"/>
    </font>
    <font>
      <name val="Segoe UI"/>
      <b val="1"/>
      <color rgb="FF6E4C1A"/>
      <sz val="12"/>
    </font>
    <font>
      <name val="Segoe UI"/>
      <b val="1"/>
      <color rgb="FF365C0A"/>
      <sz val="12"/>
    </font>
    <font>
      <name val="Segoe UI"/>
      <b val="1"/>
      <color rgb="FF4C3B2A"/>
      <sz val="12"/>
    </font>
    <font>
      <name val="Segoe UI"/>
      <b val="1"/>
      <color rgb="FF00008B"/>
      <sz val="12"/>
    </font>
    <font>
      <name val="Segoe UI"/>
      <b val="1"/>
      <color theme="1"/>
      <sz val="9"/>
    </font>
    <font>
      <name val="Segoe UI"/>
      <color theme="1"/>
      <sz val="9"/>
    </font>
    <font>
      <name val="Segoe UI"/>
      <b val="1"/>
      <color rgb="FFFFFFFF"/>
      <sz val="10"/>
    </font>
    <font>
      <name val="Segoe UI"/>
      <b val="1"/>
      <color rgb="FF0055CC"/>
      <sz val="12"/>
    </font>
    <font>
      <name val="Segoe UI"/>
      <i val="1"/>
      <color rgb="FF555555"/>
      <sz val="8"/>
    </font>
    <font>
      <name val="Segoe UI"/>
      <b val="1"/>
      <color rgb="FF7F7F7F"/>
      <sz val="9"/>
    </font>
    <font>
      <name val="Segoe UI"/>
      <color theme="1"/>
      <sz val="9.5"/>
    </font>
    <font>
      <name val="Segoe UI"/>
      <b val="1"/>
      <color rgb="FFFFFFFF"/>
      <sz val="11"/>
    </font>
    <font>
      <name val="Aptos Narrow"/>
      <b val="1"/>
      <color rgb="FFFFFFFF"/>
      <sz val="11"/>
    </font>
    <font>
      <name val="Segoe UI"/>
      <b val="1"/>
      <color rgb="FFFFFFFF"/>
      <sz val="12"/>
    </font>
  </fonts>
  <fills count="25">
    <fill>
      <patternFill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E0F5E6"/>
        <bgColor indexed="64"/>
      </patternFill>
    </fill>
    <fill>
      <patternFill patternType="solid">
        <fgColor rgb="FFD5EDFA"/>
        <bgColor indexed="64"/>
      </patternFill>
    </fill>
    <fill>
      <patternFill patternType="solid">
        <fgColor rgb="FFFFFAE3"/>
        <bgColor indexed="64"/>
      </patternFill>
    </fill>
    <fill>
      <patternFill patternType="solid">
        <fgColor rgb="FFE3F1EB"/>
        <bgColor indexed="64"/>
      </patternFill>
    </fill>
    <fill>
      <patternFill patternType="solid">
        <fgColor rgb="FF505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2F251A"/>
        <bgColor indexed="64"/>
      </patternFill>
    </fill>
    <fill>
      <patternFill patternType="solid">
        <fgColor rgb="FFF8F2EA"/>
        <bgColor indexed="64"/>
      </patternFill>
    </fill>
    <fill>
      <patternFill patternType="solid">
        <fgColor rgb="FFFAF9F8"/>
        <bgColor indexed="64"/>
      </patternFill>
    </fill>
    <fill>
      <patternFill patternType="solid">
        <fgColor rgb="FFF5F1EB"/>
        <bgColor indexed="64"/>
      </patternFill>
    </fill>
    <fill>
      <patternFill patternType="solid">
        <fgColor rgb="FFF8EAD6"/>
        <bgColor indexed="64"/>
      </patternFill>
    </fill>
    <fill>
      <patternFill patternType="solid">
        <fgColor rgb="FF365C0A"/>
        <bgColor indexed="64"/>
      </patternFill>
    </fill>
    <fill>
      <patternFill patternType="solid">
        <fgColor rgb="FF4C3B2A"/>
        <bgColor indexed="64"/>
      </patternFill>
    </fill>
    <fill>
      <patternFill patternType="solid">
        <fgColor rgb="FFDFEFD4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D8DBFA"/>
        <bgColor indexed="64"/>
      </patternFill>
    </fill>
    <fill>
      <patternFill patternType="solid">
        <fgColor rgb="FF6E4C1A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0F0F0"/>
        <bgColor indexed="64"/>
      </patternFill>
    </fill>
  </fills>
  <borders count="44">
    <border>
      <left/>
      <right/>
      <top/>
      <bottom/>
      <diagonal/>
    </border>
    <border>
      <left/>
      <right/>
      <top/>
      <bottom/>
    </border>
    <border>
      <left style="thin">
        <color rgb="FFA6DBAA"/>
      </left>
      <right style="thin">
        <color rgb="FFA6DBAA"/>
      </right>
      <top style="thin">
        <color rgb="FFA6DBAA"/>
      </top>
      <bottom style="thin">
        <color rgb="FFA6DBAA"/>
      </bottom>
    </border>
    <border>
      <left/>
      <right/>
      <top style="thin">
        <color rgb="FFA6DBAA"/>
      </top>
      <bottom style="thin">
        <color rgb="FFA6DBAA"/>
      </bottom>
    </border>
    <border>
      <left/>
      <right style="thin">
        <color rgb="FFA6DBAA"/>
      </right>
      <top style="thin">
        <color rgb="FFA6DBAA"/>
      </top>
      <bottom style="thin">
        <color rgb="FFA6DBAA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/>
      <right/>
      <top style="thin">
        <color rgb="FFC0C0C0"/>
      </top>
      <bottom style="thin">
        <color rgb="FFC0C0C0"/>
      </bottom>
    </border>
    <border>
      <left/>
      <right style="thin">
        <color rgb="FFC0C0C0"/>
      </right>
      <top style="thin">
        <color rgb="FFC0C0C0"/>
      </top>
      <bottom style="thin">
        <color rgb="FFC0C0C0"/>
      </bottom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A6DBAA"/>
      </top>
      <bottom/>
      <diagonal/>
    </border>
    <border>
      <left/>
      <right style="thin">
        <color rgb="FFA6DBAA"/>
      </right>
      <top style="thin">
        <color rgb="FFA6DBAA"/>
      </top>
      <bottom/>
      <diagonal/>
    </border>
    <border>
      <left/>
      <right/>
      <top style="thin">
        <color rgb="FFA6DBAA"/>
      </top>
      <bottom style="thin">
        <color rgb="FFA6DBAA"/>
      </bottom>
      <diagonal/>
    </border>
    <border>
      <left/>
      <right style="thin">
        <color rgb="FFA6DBAA"/>
      </right>
      <top style="thin">
        <color rgb="FFA6DBAA"/>
      </top>
      <bottom style="thin">
        <color rgb="FFA6DB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/>
    </border>
    <border>
      <left/>
      <right style="thin">
        <color indexed="64"/>
      </right>
      <top style="thin">
        <color indexed="64"/>
      </top>
      <bottom/>
    </border>
    <border>
      <left/>
      <right/>
      <top style="thin">
        <color indexed="64"/>
      </top>
      <bottom/>
    </border>
    <border>
      <left style="thin">
        <color indexed="64"/>
      </left>
      <right style="thin">
        <color indexed="64"/>
      </right>
      <top/>
      <bottom style="thin">
        <color indexed="64"/>
      </bottom>
    </border>
    <border>
      <left/>
      <right style="thin">
        <color indexed="64"/>
      </right>
      <top/>
      <bottom/>
    </border>
    <border>
      <left style="thin">
        <color indexed="64"/>
      </left>
      <right/>
      <top/>
      <bottom style="thin">
        <color indexed="64"/>
      </bottom>
    </border>
    <border>
      <left/>
      <right style="thin">
        <color indexed="64"/>
      </right>
      <top/>
      <bottom style="thin">
        <color indexed="64"/>
      </bottom>
    </border>
    <border>
      <left/>
      <right/>
      <top/>
      <bottom style="thin">
        <color indexed="64"/>
      </bottom>
    </border>
    <border>
      <left style="thin">
        <color rgb="FFDED7D0"/>
      </left>
      <right style="thin">
        <color rgb="FFDED7D0"/>
      </right>
      <top style="thin">
        <color rgb="FFDED7D0"/>
      </top>
      <bottom style="thin">
        <color rgb="FFDED7D0"/>
      </bottom>
    </border>
    <border>
      <left/>
      <right/>
      <top style="thin">
        <color rgb="FFDED7D0"/>
      </top>
      <bottom style="thin">
        <color rgb="FFDED7D0"/>
      </bottom>
    </border>
    <border>
      <left/>
      <right style="thin">
        <color rgb="FFDED7D0"/>
      </right>
      <top style="thin">
        <color rgb="FFDED7D0"/>
      </top>
      <bottom style="thin">
        <color rgb="FFDED7D0"/>
      </bottom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DED7D0"/>
      </top>
      <bottom/>
      <diagonal/>
    </border>
    <border>
      <left/>
      <right style="thin">
        <color rgb="FFDED7D0"/>
      </right>
      <top style="thin">
        <color rgb="FFDED7D0"/>
      </top>
      <bottom/>
      <diagonal/>
    </border>
    <border>
      <left/>
      <right/>
      <top style="thin">
        <color rgb="FFDED7D0"/>
      </top>
      <bottom style="thin">
        <color rgb="FFDED7D0"/>
      </bottom>
      <diagonal/>
    </border>
    <border>
      <left/>
      <right style="thin">
        <color rgb="FFDED7D0"/>
      </right>
      <top style="thin">
        <color rgb="FFDED7D0"/>
      </top>
      <bottom style="thin">
        <color rgb="FFDED7D0"/>
      </bottom>
      <diagonal/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4" borderId="1" applyAlignment="1" pivotButton="0" quotePrefix="0" xfId="0">
      <alignment horizontal="left"/>
    </xf>
    <xf numFmtId="0" fontId="6" fillId="5" borderId="5" applyAlignment="1" pivotButton="0" quotePrefix="0" xfId="0">
      <alignment horizontal="center" vertical="center"/>
    </xf>
    <xf numFmtId="0" fontId="0" fillId="0" borderId="12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6" fillId="8" borderId="5" applyAlignment="1" pivotButton="0" quotePrefix="0" xfId="0">
      <alignment horizontal="center" vertical="center"/>
    </xf>
    <xf numFmtId="164" fontId="7" fillId="5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center" vertical="center"/>
    </xf>
    <xf numFmtId="164" fontId="9" fillId="7" borderId="5" applyAlignment="1" pivotButton="0" quotePrefix="0" xfId="0">
      <alignment horizontal="center" vertical="center"/>
    </xf>
    <xf numFmtId="164" fontId="10" fillId="8" borderId="5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/>
    </xf>
    <xf numFmtId="0" fontId="0" fillId="0" borderId="16" pivotButton="0" quotePrefix="0" xfId="0"/>
    <xf numFmtId="0" fontId="0" fillId="0" borderId="15" pivotButton="0" quotePrefix="0" xfId="0"/>
    <xf numFmtId="0" fontId="12" fillId="9" borderId="7" applyAlignment="1" pivotButton="0" quotePrefix="0" xfId="0">
      <alignment horizontal="center"/>
    </xf>
    <xf numFmtId="0" fontId="13" fillId="10" borderId="7" applyAlignment="1" pivotButton="0" quotePrefix="0" xfId="0">
      <alignment horizontal="center"/>
    </xf>
    <xf numFmtId="0" fontId="13" fillId="10" borderId="7" pivotButton="0" quotePrefix="0" xfId="0"/>
    <xf numFmtId="164" fontId="13" fillId="10" borderId="7" pivotButton="0" quotePrefix="0" xfId="0"/>
    <xf numFmtId="0" fontId="4" fillId="4" borderId="1" pivotButton="0" quotePrefix="0" xfId="0"/>
    <xf numFmtId="0" fontId="13" fillId="11" borderId="7" applyAlignment="1" pivotButton="0" quotePrefix="0" xfId="0">
      <alignment horizontal="center"/>
    </xf>
    <xf numFmtId="0" fontId="13" fillId="11" borderId="7" pivotButton="0" quotePrefix="0" xfId="0"/>
    <xf numFmtId="164" fontId="13" fillId="11" borderId="7" pivotButton="0" quotePrefix="0" xfId="0"/>
    <xf numFmtId="0" fontId="14" fillId="2" borderId="7" applyAlignment="1" pivotButton="0" quotePrefix="0" xfId="0">
      <alignment horizontal="center"/>
    </xf>
    <xf numFmtId="164" fontId="15" fillId="11" borderId="7" pivotButton="0" quotePrefix="0" xfId="0"/>
    <xf numFmtId="164" fontId="15" fillId="10" borderId="7" pivotButton="0" quotePrefix="0" xfId="0"/>
    <xf numFmtId="0" fontId="16" fillId="4" borderId="1" applyAlignment="1" pivotButton="0" quotePrefix="0" xfId="0">
      <alignment horizontal="center"/>
    </xf>
    <xf numFmtId="0" fontId="17" fillId="12" borderId="1" applyAlignment="1" pivotButton="0" quotePrefix="0" xfId="0">
      <alignment horizontal="center" vertical="center"/>
    </xf>
    <xf numFmtId="0" fontId="18" fillId="0" borderId="1" pivotButton="0" quotePrefix="0" xfId="0"/>
    <xf numFmtId="0" fontId="19" fillId="0" borderId="1" pivotButton="0" quotePrefix="0" xfId="0"/>
    <xf numFmtId="0" fontId="18" fillId="0" borderId="1" applyAlignment="1" pivotButton="0" quotePrefix="0" xfId="0">
      <alignment horizontal="right"/>
    </xf>
    <xf numFmtId="0" fontId="18" fillId="13" borderId="21" applyAlignment="1" pivotButton="0" quotePrefix="0" xfId="0">
      <alignment horizontal="center"/>
    </xf>
    <xf numFmtId="0" fontId="20" fillId="14" borderId="22" applyAlignment="1" pivotButton="0" quotePrefix="0" xfId="0">
      <alignment horizontal="center"/>
    </xf>
    <xf numFmtId="0" fontId="0" fillId="0" borderId="34" pivotButton="0" quotePrefix="0" xfId="0"/>
    <xf numFmtId="0" fontId="0" fillId="0" borderId="33" pivotButton="0" quotePrefix="0" xfId="0"/>
    <xf numFmtId="165" fontId="21" fillId="14" borderId="25" applyAlignment="1" pivotButton="0" quotePrefix="0" xfId="0">
      <alignment horizontal="center" vertical="center"/>
    </xf>
    <xf numFmtId="0" fontId="0" fillId="0" borderId="36" pivotButton="0" quotePrefix="0" xfId="0"/>
    <xf numFmtId="165" fontId="22" fillId="14" borderId="25" applyAlignment="1" pivotButton="0" quotePrefix="0" xfId="0">
      <alignment horizontal="center" vertical="center"/>
    </xf>
    <xf numFmtId="165" fontId="23" fillId="14" borderId="25" applyAlignment="1" pivotButton="0" quotePrefix="0" xfId="0">
      <alignment horizontal="center" vertical="center"/>
    </xf>
    <xf numFmtId="165" fontId="24" fillId="14" borderId="25" applyAlignment="1" pivotButton="0" quotePrefix="0" xfId="0">
      <alignment horizontal="center" vertical="center"/>
    </xf>
    <xf numFmtId="10" fontId="21" fillId="14" borderId="25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9" pivotButton="0" quotePrefix="0" xfId="0"/>
    <xf numFmtId="0" fontId="0" fillId="0" borderId="38" pivotButton="0" quotePrefix="0" xfId="0"/>
    <xf numFmtId="0" fontId="14" fillId="12" borderId="30" applyAlignment="1" pivotButton="0" quotePrefix="0" xfId="0">
      <alignment horizontal="center" vertical="center"/>
    </xf>
    <xf numFmtId="0" fontId="25" fillId="15" borderId="30" applyAlignment="1" pivotButton="0" quotePrefix="0" xfId="0">
      <alignment horizontal="center"/>
    </xf>
    <xf numFmtId="0" fontId="25" fillId="15" borderId="30" pivotButton="0" quotePrefix="0" xfId="0"/>
    <xf numFmtId="4" fontId="25" fillId="15" borderId="30" pivotButton="0" quotePrefix="0" xfId="0"/>
    <xf numFmtId="10" fontId="25" fillId="15" borderId="30" pivotButton="0" quotePrefix="0" xfId="0"/>
    <xf numFmtId="0" fontId="26" fillId="10" borderId="30" applyAlignment="1" pivotButton="0" quotePrefix="0" xfId="0">
      <alignment horizontal="center"/>
    </xf>
    <xf numFmtId="0" fontId="26" fillId="10" borderId="30" pivotButton="0" quotePrefix="0" xfId="0"/>
    <xf numFmtId="4" fontId="26" fillId="10" borderId="30" pivotButton="0" quotePrefix="0" xfId="0"/>
    <xf numFmtId="10" fontId="26" fillId="10" borderId="30" pivotButton="0" quotePrefix="0" xfId="0"/>
    <xf numFmtId="0" fontId="25" fillId="16" borderId="30" applyAlignment="1" pivotButton="0" quotePrefix="0" xfId="0">
      <alignment horizontal="center"/>
    </xf>
    <xf numFmtId="0" fontId="25" fillId="16" borderId="30" pivotButton="0" quotePrefix="0" xfId="0"/>
    <xf numFmtId="4" fontId="25" fillId="16" borderId="30" pivotButton="0" quotePrefix="0" xfId="0"/>
    <xf numFmtId="10" fontId="25" fillId="16" borderId="30" pivotButton="0" quotePrefix="0" xfId="0"/>
    <xf numFmtId="0" fontId="27" fillId="17" borderId="30" applyAlignment="1" pivotButton="0" quotePrefix="0" xfId="0">
      <alignment horizontal="center"/>
    </xf>
    <xf numFmtId="0" fontId="27" fillId="17" borderId="30" pivotButton="0" quotePrefix="0" xfId="0"/>
    <xf numFmtId="4" fontId="27" fillId="17" borderId="30" pivotButton="0" quotePrefix="0" xfId="0"/>
    <xf numFmtId="10" fontId="27" fillId="17" borderId="30" pivotButton="0" quotePrefix="0" xfId="0"/>
    <xf numFmtId="0" fontId="27" fillId="18" borderId="30" pivotButton="0" quotePrefix="0" xfId="0"/>
    <xf numFmtId="0" fontId="0" fillId="0" borderId="42" pivotButton="0" quotePrefix="0" xfId="0"/>
    <xf numFmtId="0" fontId="0" fillId="0" borderId="43" pivotButton="0" quotePrefix="0" xfId="0"/>
    <xf numFmtId="0" fontId="25" fillId="14" borderId="30" applyAlignment="1" pivotButton="0" quotePrefix="0" xfId="0">
      <alignment horizontal="center"/>
    </xf>
    <xf numFmtId="0" fontId="25" fillId="14" borderId="30" pivotButton="0" quotePrefix="0" xfId="0"/>
    <xf numFmtId="10" fontId="25" fillId="14" borderId="30" pivotButton="0" quotePrefix="0" xfId="0"/>
    <xf numFmtId="165" fontId="28" fillId="14" borderId="25" applyAlignment="1" pivotButton="0" quotePrefix="0" xfId="0">
      <alignment horizontal="center" vertical="center"/>
    </xf>
    <xf numFmtId="10" fontId="23" fillId="14" borderId="25" applyAlignment="1" pivotButton="0" quotePrefix="0" xfId="0">
      <alignment horizontal="center" vertical="center"/>
    </xf>
    <xf numFmtId="0" fontId="14" fillId="17" borderId="30" applyAlignment="1" pivotButton="0" quotePrefix="0" xfId="0">
      <alignment horizontal="center"/>
    </xf>
    <xf numFmtId="0" fontId="26" fillId="0" borderId="30" applyAlignment="1" pivotButton="0" quotePrefix="0" xfId="0">
      <alignment horizontal="center"/>
    </xf>
    <xf numFmtId="0" fontId="26" fillId="0" borderId="30" pivotButton="0" quotePrefix="0" xfId="0"/>
    <xf numFmtId="4" fontId="26" fillId="0" borderId="30" pivotButton="0" quotePrefix="0" xfId="0"/>
    <xf numFmtId="0" fontId="25" fillId="19" borderId="30" applyAlignment="1" pivotButton="0" quotePrefix="0" xfId="0">
      <alignment horizontal="center"/>
    </xf>
    <xf numFmtId="0" fontId="25" fillId="19" borderId="30" pivotButton="0" quotePrefix="0" xfId="0"/>
    <xf numFmtId="4" fontId="25" fillId="19" borderId="30" pivotButton="0" quotePrefix="0" xfId="0"/>
    <xf numFmtId="0" fontId="14" fillId="20" borderId="30" applyAlignment="1" pivotButton="0" quotePrefix="0" xfId="0">
      <alignment horizontal="center"/>
    </xf>
    <xf numFmtId="0" fontId="25" fillId="21" borderId="30" applyAlignment="1" pivotButton="0" quotePrefix="0" xfId="0">
      <alignment horizontal="center"/>
    </xf>
    <xf numFmtId="0" fontId="25" fillId="21" borderId="30" pivotButton="0" quotePrefix="0" xfId="0"/>
    <xf numFmtId="4" fontId="25" fillId="21" borderId="30" pivotButton="0" quotePrefix="0" xfId="0"/>
    <xf numFmtId="0" fontId="27" fillId="22" borderId="30" applyAlignment="1" pivotButton="0" quotePrefix="0" xfId="0">
      <alignment horizontal="center"/>
    </xf>
    <xf numFmtId="0" fontId="27" fillId="22" borderId="30" pivotButton="0" quotePrefix="0" xfId="0"/>
    <xf numFmtId="4" fontId="27" fillId="22" borderId="30" pivotButton="0" quotePrefix="0" xfId="0"/>
    <xf numFmtId="0" fontId="25" fillId="13" borderId="30" applyAlignment="1" pivotButton="0" quotePrefix="0" xfId="0">
      <alignment horizontal="center"/>
    </xf>
    <xf numFmtId="0" fontId="25" fillId="13" borderId="30" pivotButton="0" quotePrefix="0" xfId="0"/>
    <xf numFmtId="4" fontId="25" fillId="13" borderId="30" pivotButton="0" quotePrefix="0" xfId="0"/>
    <xf numFmtId="0" fontId="29" fillId="0" borderId="1" pivotButton="0" quotePrefix="0" xfId="0"/>
    <xf numFmtId="0" fontId="27" fillId="12" borderId="1" applyAlignment="1" pivotButton="0" quotePrefix="0" xfId="0">
      <alignment horizontal="center" vertical="center"/>
    </xf>
    <xf numFmtId="166" fontId="27" fillId="12" borderId="1" applyAlignment="1" pivotButton="0" quotePrefix="0" xfId="0">
      <alignment horizontal="center" vertical="center"/>
    </xf>
    <xf numFmtId="165" fontId="27" fillId="12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/>
    </xf>
    <xf numFmtId="166" fontId="26" fillId="0" borderId="1" applyAlignment="1" pivotButton="0" quotePrefix="0" xfId="0">
      <alignment horizontal="center"/>
    </xf>
    <xf numFmtId="0" fontId="26" fillId="0" borderId="1" pivotButton="0" quotePrefix="0" xfId="0"/>
    <xf numFmtId="165" fontId="26" fillId="0" borderId="1" pivotButton="0" quotePrefix="0" xfId="0"/>
    <xf numFmtId="0" fontId="30" fillId="14" borderId="22" pivotButton="0" quotePrefix="0" xfId="0"/>
    <xf numFmtId="168" fontId="23" fillId="14" borderId="25" applyAlignment="1" pivotButton="0" quotePrefix="0" xfId="0">
      <alignment horizontal="center" vertical="center"/>
    </xf>
    <xf numFmtId="164" fontId="24" fillId="14" borderId="25" applyAlignment="1" pivotButton="0" quotePrefix="0" xfId="0">
      <alignment horizontal="center" vertical="center"/>
    </xf>
    <xf numFmtId="164" fontId="22" fillId="14" borderId="25" applyAlignment="1" pivotButton="0" quotePrefix="0" xfId="0">
      <alignment horizontal="center" vertical="center"/>
    </xf>
    <xf numFmtId="164" fontId="21" fillId="14" borderId="25" applyAlignment="1" pivotButton="0" quotePrefix="0" xfId="0">
      <alignment horizontal="center" vertical="center"/>
    </xf>
    <xf numFmtId="169" fontId="28" fillId="14" borderId="25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/>
    </xf>
    <xf numFmtId="0" fontId="31" fillId="0" borderId="1" applyAlignment="1" pivotButton="0" quotePrefix="0" xfId="0">
      <alignment horizontal="center"/>
    </xf>
    <xf numFmtId="0" fontId="31" fillId="0" borderId="1" pivotButton="0" quotePrefix="0" xfId="0"/>
    <xf numFmtId="164" fontId="31" fillId="0" borderId="1" pivotButton="0" quotePrefix="0" xfId="0"/>
    <xf numFmtId="170" fontId="31" fillId="0" borderId="1" pivotButton="0" quotePrefix="0" xfId="0"/>
    <xf numFmtId="165" fontId="4" fillId="0" borderId="1" pivotButton="0" quotePrefix="0" xfId="0"/>
    <xf numFmtId="10" fontId="4" fillId="0" borderId="1" pivotButton="0" quotePrefix="0" xfId="0"/>
    <xf numFmtId="0" fontId="27" fillId="23" borderId="1" pivotButton="0" quotePrefix="0" xfId="0"/>
    <xf numFmtId="165" fontId="27" fillId="23" borderId="1" pivotButton="0" quotePrefix="0" xfId="0"/>
    <xf numFmtId="10" fontId="27" fillId="23" borderId="1" pivotButton="0" quotePrefix="0" xfId="0"/>
    <xf numFmtId="0" fontId="32" fillId="23" borderId="1" pivotButton="0" quotePrefix="0" xfId="0"/>
    <xf numFmtId="14" fontId="4" fillId="0" borderId="1" pivotButton="0" quotePrefix="0" xfId="0"/>
    <xf numFmtId="166" fontId="4" fillId="0" borderId="1" pivotButton="0" quotePrefix="0" xfId="0"/>
    <xf numFmtId="164" fontId="4" fillId="0" borderId="1" pivotButton="0" quotePrefix="0" xfId="0"/>
    <xf numFmtId="0" fontId="33" fillId="12" borderId="1" pivotButton="0" quotePrefix="0" xfId="0"/>
    <xf numFmtId="165" fontId="33" fillId="12" borderId="1" pivotButton="0" quotePrefix="0" xfId="0"/>
    <xf numFmtId="171" fontId="33" fillId="12" borderId="1" pivotButton="0" quotePrefix="0" xfId="0"/>
    <xf numFmtId="172" fontId="4" fillId="0" borderId="1" pivotButton="0" quotePrefix="0" xfId="0"/>
    <xf numFmtId="170" fontId="4" fillId="0" borderId="1" pivotButton="0" quotePrefix="0" xfId="0"/>
    <xf numFmtId="171" fontId="4" fillId="0" borderId="1" pivotButton="0" quotePrefix="0" xfId="0"/>
    <xf numFmtId="0" fontId="27" fillId="12" borderId="1" pivotButton="0" quotePrefix="0" xfId="0"/>
    <xf numFmtId="0" fontId="34" fillId="18" borderId="1" applyAlignment="1" pivotButton="0" quotePrefix="0" xfId="0">
      <alignment horizontal="center" vertical="center"/>
    </xf>
    <xf numFmtId="0" fontId="27" fillId="12" borderId="1" applyAlignment="1" pivotButton="0" quotePrefix="0" xfId="0">
      <alignment horizontal="center"/>
    </xf>
    <xf numFmtId="0" fontId="33" fillId="23" borderId="1" pivotButton="0" quotePrefix="0" xfId="0"/>
    <xf numFmtId="0" fontId="18" fillId="2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1" workbookViewId="0">
      <selection activeCell="A1" sqref="A1"/>
    </sheetView>
  </sheetViews>
  <sheetFormatPr baseColWidth="8" defaultRowHeight="15"/>
  <cols>
    <col width="3.59765625" customWidth="1" min="1" max="1"/>
    <col width="5.59765625" customWidth="1" min="2" max="2"/>
    <col width="26.59765625" customWidth="1" min="3" max="3"/>
    <col width="8.59765625" customWidth="1" min="4" max="4"/>
    <col width="14.59765625" customWidth="1" min="5" max="5"/>
    <col width="3.59765625" customWidth="1" min="6" max="6"/>
    <col width="5.59765625" customWidth="1" min="7" max="7"/>
    <col width="26.59765625" customWidth="1" min="8" max="8"/>
    <col width="8.59765625" customWidth="1" min="9" max="9"/>
    <col width="14.59765625" customWidth="1" min="10" max="10"/>
    <col width="3.59765625" customWidth="1" min="11" max="11"/>
    <col width="9.06640625" customWidth="1" min="12" max="12"/>
    <col width="13" customWidth="1" min="13" max="13"/>
  </cols>
  <sheetData>
    <row r="1" ht="20" customHeight="1"/>
    <row r="2" ht="34.05" customHeight="1">
      <c r="B2" s="1" t="inlineStr">
        <is>
          <t>SISTEMA DE VENDAS &amp; DASHBOARD GERENCIAL</t>
        </is>
      </c>
    </row>
    <row r="3" ht="22.05" customHeight="1">
      <c r="B3" s="2" t="inlineStr">
        <is>
          <t>Painel Executivo de Vendas, Indicadores de Desempenho (KPIs) e Controle de Acesso</t>
        </is>
      </c>
    </row>
    <row r="4" ht="20" customHeight="1"/>
    <row r="5" ht="26" customHeight="1">
      <c r="B5" s="3" t="inlineStr">
        <is>
          <t xml:space="preserve">  SISTEMA ONLINE  |  OPERADOR ATIVO: ADMINISTRADOR (ADMIN)</t>
        </is>
      </c>
      <c r="C5" s="4" t="n"/>
      <c r="D5" s="4" t="n"/>
      <c r="E5" s="4" t="n"/>
      <c r="F5" s="4" t="n"/>
      <c r="G5" s="4" t="n"/>
      <c r="H5" s="4" t="n"/>
      <c r="I5" s="4" t="n"/>
      <c r="J5" s="5" t="n"/>
    </row>
    <row r="6" ht="20" customHeight="1"/>
    <row r="7" ht="20" customHeight="1"/>
    <row r="8" ht="20" customHeight="1"/>
    <row r="9" ht="20" customHeight="1"/>
    <row r="10" ht="26" customHeight="1">
      <c r="B10" s="6" t="inlineStr">
        <is>
          <t>?? FILTRO ATIVO: Período: [ Este Mês (outubro/2026) ]  |  Operador: [ Vitória ]  |  Pedidos no Filtro: [ 2 pedidos ]</t>
        </is>
      </c>
    </row>
    <row r="11" ht="22.05" customHeight="1">
      <c r="B11" s="7" t="inlineStr">
        <is>
          <t>FATURAMENTO TOTAL</t>
        </is>
      </c>
      <c r="C11" s="8" t="n"/>
      <c r="D11" s="9" t="inlineStr">
        <is>
          <t>VENDAS CONCLUÍDAS</t>
        </is>
      </c>
      <c r="E11" s="8" t="n"/>
      <c r="G11" s="10" t="inlineStr">
        <is>
          <t>TICKET MÉDIO</t>
        </is>
      </c>
      <c r="H11" s="8" t="n"/>
      <c r="I11" s="11" t="inlineStr">
        <is>
          <t>LÍQUIDO A RECEBER</t>
        </is>
      </c>
      <c r="J11" s="8" t="n"/>
    </row>
    <row r="12" ht="28.05" customHeight="1">
      <c r="B12" s="12" t="n">
        <v>706.83</v>
      </c>
      <c r="C12" s="8" t="n"/>
      <c r="D12" s="13" t="inlineStr">
        <is>
          <t>2 ped. (4 itens)</t>
        </is>
      </c>
      <c r="E12" s="8" t="n"/>
      <c r="G12" s="14" t="n">
        <v>353.415</v>
      </c>
      <c r="H12" s="8" t="n"/>
      <c r="I12" s="15" t="n">
        <v>689.33</v>
      </c>
      <c r="J12" s="8" t="n"/>
    </row>
    <row r="13" ht="20" customHeight="1"/>
    <row r="14" ht="20" customHeight="1"/>
    <row r="15" ht="22.05" customHeight="1">
      <c r="B15" s="16" t="inlineStr">
        <is>
          <t>🏆 TOP 5 MELHORES CLIENTES (VOLUME COMPRADO)</t>
        </is>
      </c>
      <c r="C15" s="17" t="n"/>
      <c r="D15" s="17" t="n"/>
      <c r="E15" s="18" t="n"/>
      <c r="G15" s="16" t="inlineStr">
        <is>
          <t>?? TOP 5 PRODUTOS &amp; SERVIÇOS MAIS VENDIDOS</t>
        </is>
      </c>
      <c r="H15" s="17" t="n"/>
      <c r="I15" s="17" t="n"/>
      <c r="J15" s="18" t="n"/>
    </row>
    <row r="16" ht="20" customHeight="1">
      <c r="B16" s="19" t="inlineStr">
        <is>
          <t>Pos</t>
        </is>
      </c>
      <c r="C16" s="19" t="inlineStr">
        <is>
          <t>Cliente</t>
        </is>
      </c>
      <c r="D16" s="19" t="inlineStr">
        <is>
          <t>Vendas</t>
        </is>
      </c>
      <c r="E16" s="19" t="inlineStr">
        <is>
          <t>Total Gasto (R$)</t>
        </is>
      </c>
      <c r="G16" s="19" t="inlineStr">
        <is>
          <t>Pos</t>
        </is>
      </c>
      <c r="H16" s="19" t="inlineStr">
        <is>
          <t>Produto / Serviço</t>
        </is>
      </c>
      <c r="I16" s="19" t="inlineStr">
        <is>
          <t>Qtd</t>
        </is>
      </c>
      <c r="J16" s="19" t="inlineStr">
        <is>
          <t>Faturamento</t>
        </is>
      </c>
    </row>
    <row r="17" ht="20" customHeight="1">
      <c r="B17" s="20" t="inlineStr">
        <is>
          <t>1º</t>
        </is>
      </c>
      <c r="C17" s="21" t="inlineStr">
        <is>
          <t>Carlos Alberto da Silva</t>
        </is>
      </c>
      <c r="D17" s="20" t="n">
        <v>1</v>
      </c>
      <c r="E17" s="22" t="n">
        <v>500</v>
      </c>
      <c r="G17" s="20" t="inlineStr">
        <is>
          <t>1º</t>
        </is>
      </c>
      <c r="H17" s="21" t="inlineStr">
        <is>
          <t>Teclado Mecânico ABNT2</t>
        </is>
      </c>
      <c r="I17" s="20" t="n">
        <v>1</v>
      </c>
      <c r="J17" s="22" t="n">
        <v>350</v>
      </c>
      <c r="L17" s="23" t="inlineStr">
        <is>
          <t>Teclado Mecânico ABNT2</t>
        </is>
      </c>
      <c r="M17" s="23" t="n">
        <v>350</v>
      </c>
    </row>
    <row r="18" ht="20" customHeight="1">
      <c r="B18" s="24" t="inlineStr">
        <is>
          <t>2º</t>
        </is>
      </c>
      <c r="C18" s="25" t="inlineStr">
        <is>
          <t>Beatriz Souza Almeida</t>
        </is>
      </c>
      <c r="D18" s="24" t="n">
        <v>1</v>
      </c>
      <c r="E18" s="26" t="n">
        <v>206.83</v>
      </c>
      <c r="G18" s="24" t="inlineStr">
        <is>
          <t>2º</t>
        </is>
      </c>
      <c r="H18" s="25" t="inlineStr">
        <is>
          <t>Mouse Gamer RGB</t>
        </is>
      </c>
      <c r="I18" s="24" t="n">
        <v>1</v>
      </c>
      <c r="J18" s="26" t="n">
        <v>150</v>
      </c>
      <c r="L18" s="23" t="inlineStr">
        <is>
          <t>Mouse Gamer RGB</t>
        </is>
      </c>
      <c r="M18" s="23" t="n">
        <v>150</v>
      </c>
    </row>
    <row r="19" ht="20" customHeight="1">
      <c r="B19" s="20" t="inlineStr">
        <is>
          <t>3º</t>
        </is>
      </c>
      <c r="C19" s="21" t="inlineStr">
        <is>
          <t>-</t>
        </is>
      </c>
      <c r="D19" s="20" t="n">
        <v>0</v>
      </c>
      <c r="E19" s="22" t="n">
        <v>0</v>
      </c>
      <c r="G19" s="20" t="inlineStr">
        <is>
          <t>3º</t>
        </is>
      </c>
      <c r="H19" s="21" t="inlineStr">
        <is>
          <t>Bola de pilates ventilado azul</t>
        </is>
      </c>
      <c r="I19" s="20" t="n">
        <v>1</v>
      </c>
      <c r="J19" s="22" t="n">
        <v>134.38</v>
      </c>
      <c r="L19" s="23" t="inlineStr">
        <is>
          <t>Bola de pilates ventilado azul</t>
        </is>
      </c>
      <c r="M19" s="23" t="n">
        <v>134.38</v>
      </c>
    </row>
    <row r="20" ht="20" customHeight="1">
      <c r="B20" s="24" t="inlineStr">
        <is>
          <t>4º</t>
        </is>
      </c>
      <c r="C20" s="25" t="inlineStr">
        <is>
          <t>-</t>
        </is>
      </c>
      <c r="D20" s="24" t="n">
        <v>0</v>
      </c>
      <c r="E20" s="26" t="n">
        <v>0</v>
      </c>
      <c r="G20" s="24" t="inlineStr">
        <is>
          <t>4º</t>
        </is>
      </c>
      <c r="H20" s="25" t="inlineStr">
        <is>
          <t>Bola de vôlei profissional verde</t>
        </is>
      </c>
      <c r="I20" s="24" t="n">
        <v>1</v>
      </c>
      <c r="J20" s="26" t="n">
        <v>72.45</v>
      </c>
      <c r="L20" s="23" t="inlineStr">
        <is>
          <t>Bola de vôlei profissional verde</t>
        </is>
      </c>
      <c r="M20" s="23" t="n">
        <v>72.45</v>
      </c>
    </row>
    <row r="21" ht="20" customHeight="1">
      <c r="B21" s="20" t="inlineStr">
        <is>
          <t>5º</t>
        </is>
      </c>
      <c r="C21" s="21" t="inlineStr">
        <is>
          <t>-</t>
        </is>
      </c>
      <c r="D21" s="20" t="n">
        <v>0</v>
      </c>
      <c r="E21" s="22" t="n">
        <v>0</v>
      </c>
      <c r="G21" s="20" t="inlineStr">
        <is>
          <t>5º</t>
        </is>
      </c>
      <c r="H21" s="21" t="inlineStr">
        <is>
          <t>-</t>
        </is>
      </c>
      <c r="I21" s="20" t="n">
        <v>0</v>
      </c>
      <c r="J21" s="22" t="n">
        <v>0</v>
      </c>
      <c r="L21" s="23" t="inlineStr">
        <is>
          <t>-</t>
        </is>
      </c>
      <c r="M21" s="23" t="n">
        <v>0</v>
      </c>
    </row>
    <row r="22" ht="20" customHeight="1"/>
    <row r="23" ht="22.05" customHeight="1">
      <c r="B23" s="27" t="inlineStr">
        <is>
          <t>💳 FATURAMENTO POR FORMA DE PAGAMENTO</t>
        </is>
      </c>
      <c r="C23" s="17" t="n"/>
      <c r="D23" s="17" t="n"/>
      <c r="E23" s="18" t="n"/>
    </row>
    <row r="24" ht="20" customHeight="1">
      <c r="B24" s="25" t="inlineStr">
        <is>
          <t>Dinheiro</t>
        </is>
      </c>
      <c r="C24" s="18" t="n"/>
      <c r="D24" s="28" t="n">
        <v>0</v>
      </c>
      <c r="E24" s="18" t="n"/>
    </row>
    <row r="25" ht="20" customHeight="1">
      <c r="B25" s="21" t="inlineStr">
        <is>
          <t>PIX</t>
        </is>
      </c>
      <c r="C25" s="18" t="n"/>
      <c r="D25" s="29" t="n">
        <v>206.83</v>
      </c>
      <c r="E25" s="18" t="n"/>
    </row>
    <row r="26" ht="20" customHeight="1">
      <c r="B26" s="25" t="inlineStr">
        <is>
          <t>Cartão de Crédito</t>
        </is>
      </c>
      <c r="C26" s="18" t="n"/>
      <c r="D26" s="28" t="n">
        <v>500</v>
      </c>
      <c r="E26" s="18" t="n"/>
    </row>
    <row r="27" ht="20" customHeight="1">
      <c r="B27" s="21" t="inlineStr">
        <is>
          <t>Cartão de Débito</t>
        </is>
      </c>
      <c r="C27" s="18" t="n"/>
      <c r="D27" s="29" t="n">
        <v>0</v>
      </c>
      <c r="E27" s="18" t="n"/>
    </row>
    <row r="28" ht="20" customHeight="1">
      <c r="B28" s="25" t="inlineStr">
        <is>
          <t>Boleto Bancário</t>
        </is>
      </c>
      <c r="C28" s="18" t="n"/>
      <c r="D28" s="28" t="n">
        <v>0</v>
      </c>
      <c r="E28" s="18" t="n"/>
    </row>
    <row r="29" ht="20" customHeight="1"/>
    <row r="30" ht="20" customHeight="1">
      <c r="B30" s="30" t="inlineStr">
        <is>
          <t>Última atualização: 19/10/2026 19:14:52 | ?? Segurança Ativa: Acessos protegidos</t>
        </is>
      </c>
    </row>
  </sheetData>
  <mergeCells count="26">
    <mergeCell ref="G12:H12"/>
    <mergeCell ref="B25:C25"/>
    <mergeCell ref="G11:H11"/>
    <mergeCell ref="I11:J11"/>
    <mergeCell ref="B15:E15"/>
    <mergeCell ref="B27:C27"/>
    <mergeCell ref="B12:C12"/>
    <mergeCell ref="B10:J10"/>
    <mergeCell ref="B11:C11"/>
    <mergeCell ref="D11:E11"/>
    <mergeCell ref="D27:E27"/>
    <mergeCell ref="B30:J30"/>
    <mergeCell ref="I12:J12"/>
    <mergeCell ref="B5:J5"/>
    <mergeCell ref="B28:C28"/>
    <mergeCell ref="D28:E28"/>
    <mergeCell ref="D12:E12"/>
    <mergeCell ref="D25:E25"/>
    <mergeCell ref="B23:E23"/>
    <mergeCell ref="B24:C24"/>
    <mergeCell ref="B3:J3"/>
    <mergeCell ref="D24:E24"/>
    <mergeCell ref="G15:J15"/>
    <mergeCell ref="B26:C26"/>
    <mergeCell ref="D26:E26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4"/>
  <sheetViews>
    <sheetView showGridLines="1" workbookViewId="0">
      <selection activeCell="A1" sqref="A1"/>
    </sheetView>
  </sheetViews>
  <sheetFormatPr baseColWidth="8" defaultRowHeight="15"/>
  <cols>
    <col width="3.59765625" customWidth="1" min="1" max="1"/>
    <col width="8.59765625" customWidth="1" min="2" max="2"/>
    <col width="48.59765625" customWidth="1" min="3" max="3"/>
    <col width="12.132812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.59765625" customWidth="1" min="16" max="16"/>
    <col width="10.59765625" customWidth="1" min="17" max="17"/>
  </cols>
  <sheetData>
    <row r="1"/>
    <row r="2">
      <c r="B2" s="31" t="inlineStr">
        <is>
          <t>📊 APURAÇÃO MENSAL DE RESULTADOS (DRE - DEMONSTRATIVO DO EXERCÍCIO)</t>
        </is>
      </c>
    </row>
    <row r="3"/>
    <row r="4"/>
    <row r="5" ht="28.05" customHeight="1">
      <c r="B5" s="32" t="inlineStr">
        <is>
          <t>EMPRESA:</t>
        </is>
      </c>
      <c r="C5" s="33">
        <f>CONFIG!B2</f>
        <v/>
      </c>
      <c r="D5" s="34" t="inlineStr">
        <is>
          <t>ANO:</t>
        </is>
      </c>
      <c r="E5" s="35" t="n">
        <v>2026</v>
      </c>
    </row>
    <row r="6"/>
    <row r="7" ht="14.65" customHeight="1">
      <c r="B7" s="36" t="inlineStr">
        <is>
          <t>💰 VENDAS BRUTAS (ANO)</t>
        </is>
      </c>
      <c r="C7" s="37" t="n"/>
      <c r="D7" s="36" t="inlineStr">
        <is>
          <t>📈 VENDAS LÍQUIDAS (ANO)</t>
        </is>
      </c>
      <c r="E7" s="38" t="n"/>
      <c r="F7" s="37" t="n"/>
      <c r="G7" s="36" t="inlineStr">
        <is>
          <t>🏷️ LUCRO BRUTO (APÓS CMV)</t>
        </is>
      </c>
      <c r="H7" s="38" t="n"/>
      <c r="I7" s="37" t="n"/>
      <c r="J7" s="36" t="inlineStr">
        <is>
          <t>💸 DESPESAS &amp; CUSTOS</t>
        </is>
      </c>
      <c r="K7" s="38" t="n"/>
      <c r="L7" s="37" t="n"/>
      <c r="M7" s="36" t="inlineStr">
        <is>
          <t>🏆 RESULTADO LÍQUIDO</t>
        </is>
      </c>
      <c r="N7" s="38" t="n"/>
      <c r="O7" s="37" t="n"/>
      <c r="P7" s="36" t="inlineStr">
        <is>
          <t>📊 LUCRATIVIDADE (%)</t>
        </is>
      </c>
      <c r="Q7" s="37" t="n"/>
    </row>
    <row r="8">
      <c r="B8" s="39">
        <f>P12</f>
        <v/>
      </c>
      <c r="C8" s="40" t="n"/>
      <c r="D8" s="41">
        <f>P19</f>
        <v/>
      </c>
      <c r="F8" s="40" t="n"/>
      <c r="G8" s="42">
        <f>P23</f>
        <v/>
      </c>
      <c r="I8" s="40" t="n"/>
      <c r="J8" s="43">
        <f>P15+P20+P24+P30+P37+P46</f>
        <v/>
      </c>
      <c r="L8" s="40" t="n"/>
      <c r="M8" s="41">
        <f>P49</f>
        <v/>
      </c>
      <c r="O8" s="40" t="n"/>
      <c r="P8" s="44">
        <f>IFERROR(P49/P19,0)</f>
        <v/>
      </c>
      <c r="Q8" s="40" t="n"/>
    </row>
    <row r="9">
      <c r="B9" s="45" t="n"/>
      <c r="C9" s="46" t="n"/>
      <c r="D9" s="45" t="n"/>
      <c r="E9" s="47" t="n"/>
      <c r="F9" s="46" t="n"/>
      <c r="G9" s="45" t="n"/>
      <c r="H9" s="47" t="n"/>
      <c r="I9" s="46" t="n"/>
      <c r="J9" s="45" t="n"/>
      <c r="K9" s="47" t="n"/>
      <c r="L9" s="46" t="n"/>
      <c r="M9" s="45" t="n"/>
      <c r="N9" s="47" t="n"/>
      <c r="O9" s="46" t="n"/>
      <c r="P9" s="45" t="n"/>
      <c r="Q9" s="46" t="n"/>
    </row>
    <row r="10"/>
    <row r="11" ht="24" customHeight="1">
      <c r="B11" s="48" t="inlineStr">
        <is>
          <t>ITEM</t>
        </is>
      </c>
      <c r="C11" s="48" t="inlineStr">
        <is>
          <t>ESTRUTURA DE CONTAS (APURAÇÃO DE RESULTADOS)</t>
        </is>
      </c>
      <c r="D11" s="48" t="inlineStr">
        <is>
          <t>JAN</t>
        </is>
      </c>
      <c r="E11" s="48" t="inlineStr">
        <is>
          <t>FEV</t>
        </is>
      </c>
      <c r="F11" s="48" t="inlineStr">
        <is>
          <t>MAR</t>
        </is>
      </c>
      <c r="G11" s="48" t="inlineStr">
        <is>
          <t>ABR</t>
        </is>
      </c>
      <c r="H11" s="48" t="inlineStr">
        <is>
          <t>MAI</t>
        </is>
      </c>
      <c r="I11" s="48" t="inlineStr">
        <is>
          <t>JUN</t>
        </is>
      </c>
      <c r="J11" s="48" t="inlineStr">
        <is>
          <t>JUL</t>
        </is>
      </c>
      <c r="K11" s="48" t="inlineStr">
        <is>
          <t>AGO</t>
        </is>
      </c>
      <c r="L11" s="48" t="inlineStr">
        <is>
          <t>SET</t>
        </is>
      </c>
      <c r="M11" s="48" t="inlineStr">
        <is>
          <t>OUT</t>
        </is>
      </c>
      <c r="N11" s="48" t="inlineStr">
        <is>
          <t>NOV</t>
        </is>
      </c>
      <c r="O11" s="48" t="inlineStr">
        <is>
          <t>DEZ</t>
        </is>
      </c>
      <c r="P11" s="48" t="inlineStr">
        <is>
          <t>TOTAL ANUAL</t>
        </is>
      </c>
      <c r="Q11" s="48" t="inlineStr">
        <is>
          <t>A.V. (%)</t>
        </is>
      </c>
    </row>
    <row r="12" ht="19.05" customHeight="1">
      <c r="B12" s="49" t="inlineStr">
        <is>
          <t>1</t>
        </is>
      </c>
      <c r="C12" s="50" t="inlineStr">
        <is>
          <t>VENDAS BRUTAS</t>
        </is>
      </c>
      <c r="D12" s="51">
        <f>SUM(D13:D14)</f>
        <v/>
      </c>
      <c r="E12" s="51">
        <f>SUM(E13:E14)</f>
        <v/>
      </c>
      <c r="F12" s="51">
        <f>SUM(F13:F14)</f>
        <v/>
      </c>
      <c r="G12" s="51">
        <f>SUM(G13:G14)</f>
        <v/>
      </c>
      <c r="H12" s="51">
        <f>SUM(H13:H14)</f>
        <v/>
      </c>
      <c r="I12" s="51">
        <f>SUM(I13:I14)</f>
        <v/>
      </c>
      <c r="J12" s="51">
        <f>SUM(J13:J14)</f>
        <v/>
      </c>
      <c r="K12" s="51">
        <f>SUM(K13:K14)</f>
        <v/>
      </c>
      <c r="L12" s="51">
        <f>SUM(L13:L14)</f>
        <v/>
      </c>
      <c r="M12" s="51">
        <f>SUM(M13:M14)</f>
        <v/>
      </c>
      <c r="N12" s="51">
        <f>SUM(N13:N14)</f>
        <v/>
      </c>
      <c r="O12" s="51">
        <f>SUM(O13:O14)</f>
        <v/>
      </c>
      <c r="P12" s="51">
        <f>SUM(D12:O12)</f>
        <v/>
      </c>
      <c r="Q12" s="52">
        <f>IFERROR(P12/$P$19, 0)</f>
        <v/>
      </c>
    </row>
    <row r="13" ht="19.05" customHeight="1">
      <c r="B13" s="53" t="inlineStr">
        <is>
          <t>1.1</t>
        </is>
      </c>
      <c r="C13" s="54" t="inlineStr">
        <is>
          <t>Vendas de produtos</t>
        </is>
      </c>
      <c r="D13" s="55" t="n">
        <v>0</v>
      </c>
      <c r="E13" s="55" t="n">
        <v>0</v>
      </c>
      <c r="F13" s="55" t="n">
        <v>0</v>
      </c>
      <c r="G13" s="55" t="n">
        <v>0</v>
      </c>
      <c r="H13" s="55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5234.8</v>
      </c>
      <c r="N13" s="55" t="n">
        <v>0</v>
      </c>
      <c r="O13" s="55" t="n">
        <v>0</v>
      </c>
      <c r="P13" s="55">
        <f>SUM(D13:O13)</f>
        <v/>
      </c>
      <c r="Q13" s="56">
        <f>IFERROR(P13/$P$19, 0)</f>
        <v/>
      </c>
    </row>
    <row r="14" ht="19.05" customHeight="1">
      <c r="B14" s="53" t="inlineStr">
        <is>
          <t>1.2</t>
        </is>
      </c>
      <c r="C14" s="54" t="inlineStr">
        <is>
          <t>Prestação de serviços</t>
        </is>
      </c>
      <c r="D14" s="55" t="n">
        <v>0</v>
      </c>
      <c r="E14" s="55" t="n">
        <v>0</v>
      </c>
      <c r="F14" s="55" t="n">
        <v>0</v>
      </c>
      <c r="G14" s="55" t="n">
        <v>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55">
        <f>SUM(D14:O14)</f>
        <v/>
      </c>
      <c r="Q14" s="56">
        <f>IFERROR(P14/$P$19, 0)</f>
        <v/>
      </c>
    </row>
    <row r="15" ht="19.05" customHeight="1">
      <c r="B15" s="49" t="inlineStr">
        <is>
          <t>2</t>
        </is>
      </c>
      <c r="C15" s="50" t="inlineStr">
        <is>
          <t>(-) Deduções da Receita Bruta</t>
        </is>
      </c>
      <c r="D15" s="51">
        <f>SUM(D16:D18)</f>
        <v/>
      </c>
      <c r="E15" s="51">
        <f>SUM(E16:E18)</f>
        <v/>
      </c>
      <c r="F15" s="51">
        <f>SUM(F16:F18)</f>
        <v/>
      </c>
      <c r="G15" s="51">
        <f>SUM(G16:G18)</f>
        <v/>
      </c>
      <c r="H15" s="51">
        <f>SUM(H16:H18)</f>
        <v/>
      </c>
      <c r="I15" s="51">
        <f>SUM(I16:I18)</f>
        <v/>
      </c>
      <c r="J15" s="51">
        <f>SUM(J16:J18)</f>
        <v/>
      </c>
      <c r="K15" s="51">
        <f>SUM(K16:K18)</f>
        <v/>
      </c>
      <c r="L15" s="51">
        <f>SUM(L16:L18)</f>
        <v/>
      </c>
      <c r="M15" s="51">
        <f>SUM(M16:M18)</f>
        <v/>
      </c>
      <c r="N15" s="51">
        <f>SUM(N16:N18)</f>
        <v/>
      </c>
      <c r="O15" s="51">
        <f>SUM(O16:O18)</f>
        <v/>
      </c>
      <c r="P15" s="51">
        <f>SUM(D15:O15)</f>
        <v/>
      </c>
      <c r="Q15" s="52">
        <f>IFERROR(P15/$P$19, 0)</f>
        <v/>
      </c>
    </row>
    <row r="16" ht="19.05" customHeight="1">
      <c r="B16" s="53" t="inlineStr">
        <is>
          <t>2.1</t>
        </is>
      </c>
      <c r="C16" s="54" t="inlineStr">
        <is>
          <t>(-) Devoluções</t>
        </is>
      </c>
      <c r="D16" s="55">
        <f>SUMIFS(DESPESAS!$H:$H, DESPESAS!$E:$E, "2.1 (-) Devoluções", DESPESAS!$L:$L, 1, DESPESAS!$M:$M, $E$5, DESPESAS!$J:$J, "&lt;&gt;Cancelada")</f>
        <v/>
      </c>
      <c r="E16" s="55">
        <f>SUMIFS(DESPESAS!$H:$H, DESPESAS!$E:$E, "2.1 (-) Devoluções", DESPESAS!$L:$L, 2, DESPESAS!$M:$M, $E$5, DESPESAS!$J:$J, "&lt;&gt;Cancelada")</f>
        <v/>
      </c>
      <c r="F16" s="55">
        <f>SUMIFS(DESPESAS!$H:$H, DESPESAS!$E:$E, "2.1 (-) Devoluções", DESPESAS!$L:$L, 3, DESPESAS!$M:$M, $E$5, DESPESAS!$J:$J, "&lt;&gt;Cancelada")</f>
        <v/>
      </c>
      <c r="G16" s="55">
        <f>SUMIFS(DESPESAS!$H:$H, DESPESAS!$E:$E, "2.1 (-) Devoluções", DESPESAS!$L:$L, 4, DESPESAS!$M:$M, $E$5, DESPESAS!$J:$J, "&lt;&gt;Cancelada")</f>
        <v/>
      </c>
      <c r="H16" s="55">
        <f>SUMIFS(DESPESAS!$H:$H, DESPESAS!$E:$E, "2.1 (-) Devoluções", DESPESAS!$L:$L, 5, DESPESAS!$M:$M, $E$5, DESPESAS!$J:$J, "&lt;&gt;Cancelada")</f>
        <v/>
      </c>
      <c r="I16" s="55">
        <f>SUMIFS(DESPESAS!$H:$H, DESPESAS!$E:$E, "2.1 (-) Devoluções", DESPESAS!$L:$L, 6, DESPESAS!$M:$M, $E$5, DESPESAS!$J:$J, "&lt;&gt;Cancelada")</f>
        <v/>
      </c>
      <c r="J16" s="55">
        <f>SUMIFS(DESPESAS!$H:$H, DESPESAS!$E:$E, "2.1 (-) Devoluções", DESPESAS!$L:$L, 7, DESPESAS!$M:$M, $E$5, DESPESAS!$J:$J, "&lt;&gt;Cancelada")</f>
        <v/>
      </c>
      <c r="K16" s="55">
        <f>SUMIFS(DESPESAS!$H:$H, DESPESAS!$E:$E, "2.1 (-) Devoluções", DESPESAS!$L:$L, 8, DESPESAS!$M:$M, $E$5, DESPESAS!$J:$J, "&lt;&gt;Cancelada")</f>
        <v/>
      </c>
      <c r="L16" s="55">
        <f>SUMIFS(DESPESAS!$H:$H, DESPESAS!$E:$E, "2.1 (-) Devoluções", DESPESAS!$L:$L, 9, DESPESAS!$M:$M, $E$5, DESPESAS!$J:$J, "&lt;&gt;Cancelada")</f>
        <v/>
      </c>
      <c r="M16" s="55">
        <f>SUMIFS(DESPESAS!$H:$H, DESPESAS!$E:$E, "2.1 (-) Devoluções", DESPESAS!$L:$L, 10, DESPESAS!$M:$M, $E$5, DESPESAS!$J:$J, "&lt;&gt;Cancelada")</f>
        <v/>
      </c>
      <c r="N16" s="55">
        <f>SUMIFS(DESPESAS!$H:$H, DESPESAS!$E:$E, "2.1 (-) Devoluções", DESPESAS!$L:$L, 11, DESPESAS!$M:$M, $E$5, DESPESAS!$J:$J, "&lt;&gt;Cancelada")</f>
        <v/>
      </c>
      <c r="O16" s="55">
        <f>SUMIFS(DESPESAS!$H:$H, DESPESAS!$E:$E, "2.1 (-) Devoluções", DESPESAS!$L:$L, 12, DESPESAS!$M:$M, $E$5, DESPESAS!$J:$J, "&lt;&gt;Cancelada")</f>
        <v/>
      </c>
      <c r="P16" s="55">
        <f>SUM(D16:O16)</f>
        <v/>
      </c>
      <c r="Q16" s="56">
        <f>IFERROR(P16/$P$19, 0)</f>
        <v/>
      </c>
    </row>
    <row r="17" ht="19.05" customHeight="1">
      <c r="B17" s="53" t="inlineStr">
        <is>
          <t>2.2</t>
        </is>
      </c>
      <c r="C17" s="54" t="inlineStr">
        <is>
          <t>(-) Impostos e Contribuições sobre vendas</t>
        </is>
      </c>
      <c r="D17" s="55">
        <f>SUMIFS(DESPESAS!$H:$H, DESPESAS!$E:$E, "2.2 (-) Impostos e Contribuições sobre vendas", DESPESAS!$L:$L, 1, DESPESAS!$M:$M, $E$5, DESPESAS!$J:$J, "&lt;&gt;Cancelada")</f>
        <v/>
      </c>
      <c r="E17" s="55">
        <f>SUMIFS(DESPESAS!$H:$H, DESPESAS!$E:$E, "2.2 (-) Impostos e Contribuições sobre vendas", DESPESAS!$L:$L, 2, DESPESAS!$M:$M, $E$5, DESPESAS!$J:$J, "&lt;&gt;Cancelada")</f>
        <v/>
      </c>
      <c r="F17" s="55">
        <f>SUMIFS(DESPESAS!$H:$H, DESPESAS!$E:$E, "2.2 (-) Impostos e Contribuições sobre vendas", DESPESAS!$L:$L, 3, DESPESAS!$M:$M, $E$5, DESPESAS!$J:$J, "&lt;&gt;Cancelada")</f>
        <v/>
      </c>
      <c r="G17" s="55">
        <f>SUMIFS(DESPESAS!$H:$H, DESPESAS!$E:$E, "2.2 (-) Impostos e Contribuições sobre vendas", DESPESAS!$L:$L, 4, DESPESAS!$M:$M, $E$5, DESPESAS!$J:$J, "&lt;&gt;Cancelada")</f>
        <v/>
      </c>
      <c r="H17" s="55">
        <f>SUMIFS(DESPESAS!$H:$H, DESPESAS!$E:$E, "2.2 (-) Impostos e Contribuições sobre vendas", DESPESAS!$L:$L, 5, DESPESAS!$M:$M, $E$5, DESPESAS!$J:$J, "&lt;&gt;Cancelada")</f>
        <v/>
      </c>
      <c r="I17" s="55">
        <f>SUMIFS(DESPESAS!$H:$H, DESPESAS!$E:$E, "2.2 (-) Impostos e Contribuições sobre vendas", DESPESAS!$L:$L, 6, DESPESAS!$M:$M, $E$5, DESPESAS!$J:$J, "&lt;&gt;Cancelada")</f>
        <v/>
      </c>
      <c r="J17" s="55">
        <f>SUMIFS(DESPESAS!$H:$H, DESPESAS!$E:$E, "2.2 (-) Impostos e Contribuições sobre vendas", DESPESAS!$L:$L, 7, DESPESAS!$M:$M, $E$5, DESPESAS!$J:$J, "&lt;&gt;Cancelada")</f>
        <v/>
      </c>
      <c r="K17" s="55">
        <f>SUMIFS(DESPESAS!$H:$H, DESPESAS!$E:$E, "2.2 (-) Impostos e Contribuições sobre vendas", DESPESAS!$L:$L, 8, DESPESAS!$M:$M, $E$5, DESPESAS!$J:$J, "&lt;&gt;Cancelada")</f>
        <v/>
      </c>
      <c r="L17" s="55">
        <f>SUMIFS(DESPESAS!$H:$H, DESPESAS!$E:$E, "2.2 (-) Impostos e Contribuições sobre vendas", DESPESAS!$L:$L, 9, DESPESAS!$M:$M, $E$5, DESPESAS!$J:$J, "&lt;&gt;Cancelada")</f>
        <v/>
      </c>
      <c r="M17" s="55">
        <f>SUMIFS(DESPESAS!$H:$H, DESPESAS!$E:$E, "2.2 (-) Impostos e Contribuições sobre vendas", DESPESAS!$L:$L, 10, DESPESAS!$M:$M, $E$5, DESPESAS!$J:$J, "&lt;&gt;Cancelada")</f>
        <v/>
      </c>
      <c r="N17" s="55">
        <f>SUMIFS(DESPESAS!$H:$H, DESPESAS!$E:$E, "2.2 (-) Impostos e Contribuições sobre vendas", DESPESAS!$L:$L, 11, DESPESAS!$M:$M, $E$5, DESPESAS!$J:$J, "&lt;&gt;Cancelada")</f>
        <v/>
      </c>
      <c r="O17" s="55">
        <f>SUMIFS(DESPESAS!$H:$H, DESPESAS!$E:$E, "2.2 (-) Impostos e Contribuições sobre vendas", DESPESAS!$L:$L, 12, DESPESAS!$M:$M, $E$5, DESPESAS!$J:$J, "&lt;&gt;Cancelada")</f>
        <v/>
      </c>
      <c r="P17" s="55">
        <f>SUM(D17:O17)</f>
        <v/>
      </c>
      <c r="Q17" s="56">
        <f>IFERROR(P17/$P$19, 0)</f>
        <v/>
      </c>
    </row>
    <row r="18" ht="19.05" customHeight="1">
      <c r="B18" s="53" t="inlineStr">
        <is>
          <t>2.3</t>
        </is>
      </c>
      <c r="C18" s="54" t="inlineStr">
        <is>
          <t>(-) Abatimentos e Descontos Concedidos</t>
        </is>
      </c>
      <c r="D18" s="55" t="n">
        <v>0</v>
      </c>
      <c r="E18" s="55" t="n">
        <v>0</v>
      </c>
      <c r="F18" s="55" t="n">
        <v>0</v>
      </c>
      <c r="G18" s="55" t="n">
        <v>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350</v>
      </c>
      <c r="N18" s="55" t="n">
        <v>0</v>
      </c>
      <c r="O18" s="55" t="n">
        <v>0</v>
      </c>
      <c r="P18" s="55">
        <f>SUM(D18:O18)</f>
        <v/>
      </c>
      <c r="Q18" s="56">
        <f>IFERROR(P18/$P$19, 0)</f>
        <v/>
      </c>
    </row>
    <row r="19" ht="19.05" customHeight="1">
      <c r="B19" s="57" t="inlineStr">
        <is>
          <t>3</t>
        </is>
      </c>
      <c r="C19" s="58" t="inlineStr">
        <is>
          <t>Vendas Líquidas (1 - 2)</t>
        </is>
      </c>
      <c r="D19" s="59">
        <f>D12-D15</f>
        <v/>
      </c>
      <c r="E19" s="59">
        <f>E12-E15</f>
        <v/>
      </c>
      <c r="F19" s="59">
        <f>F12-F15</f>
        <v/>
      </c>
      <c r="G19" s="59">
        <f>G12-G15</f>
        <v/>
      </c>
      <c r="H19" s="59">
        <f>H12-H15</f>
        <v/>
      </c>
      <c r="I19" s="59">
        <f>I12-I15</f>
        <v/>
      </c>
      <c r="J19" s="59">
        <f>J12-J15</f>
        <v/>
      </c>
      <c r="K19" s="59">
        <f>K12-K15</f>
        <v/>
      </c>
      <c r="L19" s="59">
        <f>L12-L15</f>
        <v/>
      </c>
      <c r="M19" s="59">
        <f>M12-M15</f>
        <v/>
      </c>
      <c r="N19" s="59">
        <f>N12-N15</f>
        <v/>
      </c>
      <c r="O19" s="59">
        <f>O12-O15</f>
        <v/>
      </c>
      <c r="P19" s="59">
        <f>SUM(D19:O19)</f>
        <v/>
      </c>
      <c r="Q19" s="60">
        <f>IFERROR(P19/$P$19, 0)</f>
        <v/>
      </c>
    </row>
    <row r="20" ht="19.05" customHeight="1">
      <c r="B20" s="49" t="inlineStr">
        <is>
          <t>4</t>
        </is>
      </c>
      <c r="C20" s="50" t="inlineStr">
        <is>
          <t>Custos das Vendas (CMV / CSP)</t>
        </is>
      </c>
      <c r="D20" s="51">
        <f>SUM(D21:D22)</f>
        <v/>
      </c>
      <c r="E20" s="51">
        <f>SUM(E21:E22)</f>
        <v/>
      </c>
      <c r="F20" s="51">
        <f>SUM(F21:F22)</f>
        <v/>
      </c>
      <c r="G20" s="51">
        <f>SUM(G21:G22)</f>
        <v/>
      </c>
      <c r="H20" s="51">
        <f>SUM(H21:H22)</f>
        <v/>
      </c>
      <c r="I20" s="51">
        <f>SUM(I21:I22)</f>
        <v/>
      </c>
      <c r="J20" s="51">
        <f>SUM(J21:J22)</f>
        <v/>
      </c>
      <c r="K20" s="51">
        <f>SUM(K21:K22)</f>
        <v/>
      </c>
      <c r="L20" s="51">
        <f>SUM(L21:L22)</f>
        <v/>
      </c>
      <c r="M20" s="51">
        <f>SUM(M21:M22)</f>
        <v/>
      </c>
      <c r="N20" s="51">
        <f>SUM(N21:N22)</f>
        <v/>
      </c>
      <c r="O20" s="51">
        <f>SUM(O21:O22)</f>
        <v/>
      </c>
      <c r="P20" s="51">
        <f>SUM(D20:O20)</f>
        <v/>
      </c>
      <c r="Q20" s="52">
        <f>IFERROR(P20/$P$19, 0)</f>
        <v/>
      </c>
    </row>
    <row r="21" ht="19.05" customHeight="1">
      <c r="B21" s="53" t="inlineStr">
        <is>
          <t>4.1</t>
        </is>
      </c>
      <c r="C21" s="54" t="inlineStr">
        <is>
          <t>(-) Custo das Mercadorias Vendidas</t>
        </is>
      </c>
      <c r="D21" s="55">
        <f>0+SUMIFS(DESPESAS!$H:$H,DESPESAS!$E:$E,"4.1 (-) Custo das Mercadorias Vendidas",DESPESAS!$L:$L,1,DESPESAS!$M:$M,$E$5,DESPESAS!$J:$J,"&lt;&gt;Cancelada")</f>
        <v/>
      </c>
      <c r="E21" s="55">
        <f>0+SUMIFS(DESPESAS!$H:$H,DESPESAS!$E:$E,"4.1 (-) Custo das Mercadorias Vendidas",DESPESAS!$L:$L,2,DESPESAS!$M:$M,$E$5,DESPESAS!$J:$J,"&lt;&gt;Cancelada")</f>
        <v/>
      </c>
      <c r="F21" s="55">
        <f>0+SUMIFS(DESPESAS!$H:$H,DESPESAS!$E:$E,"4.1 (-) Custo das Mercadorias Vendidas",DESPESAS!$L:$L,3,DESPESAS!$M:$M,$E$5,DESPESAS!$J:$J,"&lt;&gt;Cancelada")</f>
        <v/>
      </c>
      <c r="G21" s="55">
        <f>0+SUMIFS(DESPESAS!$H:$H,DESPESAS!$E:$E,"4.1 (-) Custo das Mercadorias Vendidas",DESPESAS!$L:$L,4,DESPESAS!$M:$M,$E$5,DESPESAS!$J:$J,"&lt;&gt;Cancelada")</f>
        <v/>
      </c>
      <c r="H21" s="55">
        <f>0+SUMIFS(DESPESAS!$H:$H,DESPESAS!$E:$E,"4.1 (-) Custo das Mercadorias Vendidas",DESPESAS!$L:$L,5,DESPESAS!$M:$M,$E$5,DESPESAS!$J:$J,"&lt;&gt;Cancelada")</f>
        <v/>
      </c>
      <c r="I21" s="55">
        <f>0+SUMIFS(DESPESAS!$H:$H,DESPESAS!$E:$E,"4.1 (-) Custo das Mercadorias Vendidas",DESPESAS!$L:$L,6,DESPESAS!$M:$M,$E$5,DESPESAS!$J:$J,"&lt;&gt;Cancelada")</f>
        <v/>
      </c>
      <c r="J21" s="55">
        <f>0+SUMIFS(DESPESAS!$H:$H,DESPESAS!$E:$E,"4.1 (-) Custo das Mercadorias Vendidas",DESPESAS!$L:$L,7,DESPESAS!$M:$M,$E$5,DESPESAS!$J:$J,"&lt;&gt;Cancelada")</f>
        <v/>
      </c>
      <c r="K21" s="55">
        <f>0+SUMIFS(DESPESAS!$H:$H,DESPESAS!$E:$E,"4.1 (-) Custo das Mercadorias Vendidas",DESPESAS!$L:$L,8,DESPESAS!$M:$M,$E$5,DESPESAS!$J:$J,"&lt;&gt;Cancelada")</f>
        <v/>
      </c>
      <c r="L21" s="55">
        <f>0+SUMIFS(DESPESAS!$H:$H,DESPESAS!$E:$E,"4.1 (-) Custo das Mercadorias Vendidas",DESPESAS!$L:$L,9,DESPESAS!$M:$M,$E$5,DESPESAS!$J:$J,"&lt;&gt;Cancelada")</f>
        <v/>
      </c>
      <c r="M21" s="55">
        <f>2674.86+SUMIFS(DESPESAS!$H:$H,DESPESAS!$E:$E,"4.1 (-) Custo das Mercadorias Vendidas",DESPESAS!$L:$L,10,DESPESAS!$M:$M,$E$5,DESPESAS!$J:$J,"&lt;&gt;Cancelada")</f>
        <v/>
      </c>
      <c r="N21" s="55">
        <f>0+SUMIFS(DESPESAS!$H:$H,DESPESAS!$E:$E,"4.1 (-) Custo das Mercadorias Vendidas",DESPESAS!$L:$L,11,DESPESAS!$M:$M,$E$5,DESPESAS!$J:$J,"&lt;&gt;Cancelada")</f>
        <v/>
      </c>
      <c r="O21" s="55">
        <f>0+SUMIFS(DESPESAS!$H:$H,DESPESAS!$E:$E,"4.1 (-) Custo das Mercadorias Vendidas",DESPESAS!$L:$L,12,DESPESAS!$M:$M,$E$5,DESPESAS!$J:$J,"&lt;&gt;Cancelada")</f>
        <v/>
      </c>
      <c r="P21" s="55">
        <f>SUM(D21:O21)</f>
        <v/>
      </c>
      <c r="Q21" s="56">
        <f>IFERROR(P21/$P$19, 0)</f>
        <v/>
      </c>
    </row>
    <row r="22" ht="19.05" customHeight="1">
      <c r="B22" s="53" t="inlineStr">
        <is>
          <t>4.2</t>
        </is>
      </c>
      <c r="C22" s="54" t="inlineStr">
        <is>
          <t>(-) Custo dos Serviços Prestados</t>
        </is>
      </c>
      <c r="D22" s="55">
        <f>0+SUMIFS(DESPESAS!$H:$H,DESPESAS!$E:$E,"4.2 (-) Custo dos Serviços Prestados",DESPESAS!$L:$L,1,DESPESAS!$M:$M,$E$5,DESPESAS!$J:$J,"&lt;&gt;Cancelada")</f>
        <v/>
      </c>
      <c r="E22" s="55">
        <f>0+SUMIFS(DESPESAS!$H:$H,DESPESAS!$E:$E,"4.2 (-) Custo dos Serviços Prestados",DESPESAS!$L:$L,2,DESPESAS!$M:$M,$E$5,DESPESAS!$J:$J,"&lt;&gt;Cancelada")</f>
        <v/>
      </c>
      <c r="F22" s="55">
        <f>0+SUMIFS(DESPESAS!$H:$H,DESPESAS!$E:$E,"4.2 (-) Custo dos Serviços Prestados",DESPESAS!$L:$L,3,DESPESAS!$M:$M,$E$5,DESPESAS!$J:$J,"&lt;&gt;Cancelada")</f>
        <v/>
      </c>
      <c r="G22" s="55">
        <f>0+SUMIFS(DESPESAS!$H:$H,DESPESAS!$E:$E,"4.2 (-) Custo dos Serviços Prestados",DESPESAS!$L:$L,4,DESPESAS!$M:$M,$E$5,DESPESAS!$J:$J,"&lt;&gt;Cancelada")</f>
        <v/>
      </c>
      <c r="H22" s="55">
        <f>0+SUMIFS(DESPESAS!$H:$H,DESPESAS!$E:$E,"4.2 (-) Custo dos Serviços Prestados",DESPESAS!$L:$L,5,DESPESAS!$M:$M,$E$5,DESPESAS!$J:$J,"&lt;&gt;Cancelada")</f>
        <v/>
      </c>
      <c r="I22" s="55">
        <f>0+SUMIFS(DESPESAS!$H:$H,DESPESAS!$E:$E,"4.2 (-) Custo dos Serviços Prestados",DESPESAS!$L:$L,6,DESPESAS!$M:$M,$E$5,DESPESAS!$J:$J,"&lt;&gt;Cancelada")</f>
        <v/>
      </c>
      <c r="J22" s="55">
        <f>0+SUMIFS(DESPESAS!$H:$H,DESPESAS!$E:$E,"4.2 (-) Custo dos Serviços Prestados",DESPESAS!$L:$L,7,DESPESAS!$M:$M,$E$5,DESPESAS!$J:$J,"&lt;&gt;Cancelada")</f>
        <v/>
      </c>
      <c r="K22" s="55">
        <f>0+SUMIFS(DESPESAS!$H:$H,DESPESAS!$E:$E,"4.2 (-) Custo dos Serviços Prestados",DESPESAS!$L:$L,8,DESPESAS!$M:$M,$E$5,DESPESAS!$J:$J,"&lt;&gt;Cancelada")</f>
        <v/>
      </c>
      <c r="L22" s="55">
        <f>0+SUMIFS(DESPESAS!$H:$H,DESPESAS!$E:$E,"4.2 (-) Custo dos Serviços Prestados",DESPESAS!$L:$L,9,DESPESAS!$M:$M,$E$5,DESPESAS!$J:$J,"&lt;&gt;Cancelada")</f>
        <v/>
      </c>
      <c r="M22" s="55">
        <f>0+SUMIFS(DESPESAS!$H:$H,DESPESAS!$E:$E,"4.2 (-) Custo dos Serviços Prestados",DESPESAS!$L:$L,10,DESPESAS!$M:$M,$E$5,DESPESAS!$J:$J,"&lt;&gt;Cancelada")</f>
        <v/>
      </c>
      <c r="N22" s="55">
        <f>0+SUMIFS(DESPESAS!$H:$H,DESPESAS!$E:$E,"4.2 (-) Custo dos Serviços Prestados",DESPESAS!$L:$L,11,DESPESAS!$M:$M,$E$5,DESPESAS!$J:$J,"&lt;&gt;Cancelada")</f>
        <v/>
      </c>
      <c r="O22" s="55">
        <f>0+SUMIFS(DESPESAS!$H:$H,DESPESAS!$E:$E,"4.2 (-) Custo dos Serviços Prestados",DESPESAS!$L:$L,12,DESPESAS!$M:$M,$E$5,DESPESAS!$J:$J,"&lt;&gt;Cancelada")</f>
        <v/>
      </c>
      <c r="P22" s="55">
        <f>SUM(D22:O22)</f>
        <v/>
      </c>
      <c r="Q22" s="56">
        <f>IFERROR(P22/$P$19, 0)</f>
        <v/>
      </c>
    </row>
    <row r="23" ht="19.05" customHeight="1">
      <c r="B23" s="57" t="inlineStr">
        <is>
          <t>5</t>
        </is>
      </c>
      <c r="C23" s="58" t="inlineStr">
        <is>
          <t>Resultado Operacional Bruto (3 - 4)</t>
        </is>
      </c>
      <c r="D23" s="59">
        <f>D19-D20</f>
        <v/>
      </c>
      <c r="E23" s="59">
        <f>E19-E20</f>
        <v/>
      </c>
      <c r="F23" s="59">
        <f>F19-F20</f>
        <v/>
      </c>
      <c r="G23" s="59">
        <f>G19-G20</f>
        <v/>
      </c>
      <c r="H23" s="59">
        <f>H19-H20</f>
        <v/>
      </c>
      <c r="I23" s="59">
        <f>I19-I20</f>
        <v/>
      </c>
      <c r="J23" s="59">
        <f>J19-J20</f>
        <v/>
      </c>
      <c r="K23" s="59">
        <f>K19-K20</f>
        <v/>
      </c>
      <c r="L23" s="59">
        <f>L19-L20</f>
        <v/>
      </c>
      <c r="M23" s="59">
        <f>M19-M20</f>
        <v/>
      </c>
      <c r="N23" s="59">
        <f>N19-N20</f>
        <v/>
      </c>
      <c r="O23" s="59">
        <f>O19-O20</f>
        <v/>
      </c>
      <c r="P23" s="59">
        <f>SUM(D23:O23)</f>
        <v/>
      </c>
      <c r="Q23" s="60">
        <f>IFERROR(P23/$P$19, 0)</f>
        <v/>
      </c>
    </row>
    <row r="24" ht="19.05" customHeight="1">
      <c r="B24" s="49" t="inlineStr">
        <is>
          <t>6</t>
        </is>
      </c>
      <c r="C24" s="50" t="inlineStr">
        <is>
          <t>Despesas Operacionais</t>
        </is>
      </c>
      <c r="D24" s="51">
        <f>SUM(D25:D26)</f>
        <v/>
      </c>
      <c r="E24" s="51">
        <f>SUM(E25:E26)</f>
        <v/>
      </c>
      <c r="F24" s="51">
        <f>SUM(F25:F26)</f>
        <v/>
      </c>
      <c r="G24" s="51">
        <f>SUM(G25:G26)</f>
        <v/>
      </c>
      <c r="H24" s="51">
        <f>SUM(H25:H26)</f>
        <v/>
      </c>
      <c r="I24" s="51">
        <f>SUM(I25:I26)</f>
        <v/>
      </c>
      <c r="J24" s="51">
        <f>SUM(J25:J26)</f>
        <v/>
      </c>
      <c r="K24" s="51">
        <f>SUM(K25:K26)</f>
        <v/>
      </c>
      <c r="L24" s="51">
        <f>SUM(L25:L26)</f>
        <v/>
      </c>
      <c r="M24" s="51">
        <f>SUM(M25:M26)</f>
        <v/>
      </c>
      <c r="N24" s="51">
        <f>SUM(N25:N26)</f>
        <v/>
      </c>
      <c r="O24" s="51">
        <f>SUM(O25:O26)</f>
        <v/>
      </c>
      <c r="P24" s="51">
        <f>SUM(D24:O24)</f>
        <v/>
      </c>
      <c r="Q24" s="52">
        <f>IFERROR(P24/$P$19, 0)</f>
        <v/>
      </c>
    </row>
    <row r="25" ht="19.05" customHeight="1">
      <c r="B25" s="53" t="inlineStr">
        <is>
          <t>6.1</t>
        </is>
      </c>
      <c r="C25" s="54" t="inlineStr">
        <is>
          <t>Despesas com Vendas</t>
        </is>
      </c>
      <c r="D25" s="55">
        <f>SUMIFS(DESPESAS!$H:$H, DESPESAS!$E:$E, "6.1 Despesas com Vendas", DESPESAS!$L:$L, 1, DESPESAS!$M:$M, $E$5, DESPESAS!$J:$J, "&lt;&gt;Cancelada")</f>
        <v/>
      </c>
      <c r="E25" s="55">
        <f>SUMIFS(DESPESAS!$H:$H, DESPESAS!$E:$E, "6.1 Despesas com Vendas", DESPESAS!$L:$L, 2, DESPESAS!$M:$M, $E$5, DESPESAS!$J:$J, "&lt;&gt;Cancelada")</f>
        <v/>
      </c>
      <c r="F25" s="55">
        <f>SUMIFS(DESPESAS!$H:$H, DESPESAS!$E:$E, "6.1 Despesas com Vendas", DESPESAS!$L:$L, 3, DESPESAS!$M:$M, $E$5, DESPESAS!$J:$J, "&lt;&gt;Cancelada")</f>
        <v/>
      </c>
      <c r="G25" s="55">
        <f>SUMIFS(DESPESAS!$H:$H, DESPESAS!$E:$E, "6.1 Despesas com Vendas", DESPESAS!$L:$L, 4, DESPESAS!$M:$M, $E$5, DESPESAS!$J:$J, "&lt;&gt;Cancelada")</f>
        <v/>
      </c>
      <c r="H25" s="55">
        <f>SUMIFS(DESPESAS!$H:$H, DESPESAS!$E:$E, "6.1 Despesas com Vendas", DESPESAS!$L:$L, 5, DESPESAS!$M:$M, $E$5, DESPESAS!$J:$J, "&lt;&gt;Cancelada")</f>
        <v/>
      </c>
      <c r="I25" s="55">
        <f>SUMIFS(DESPESAS!$H:$H, DESPESAS!$E:$E, "6.1 Despesas com Vendas", DESPESAS!$L:$L, 6, DESPESAS!$M:$M, $E$5, DESPESAS!$J:$J, "&lt;&gt;Cancelada")</f>
        <v/>
      </c>
      <c r="J25" s="55">
        <f>SUMIFS(DESPESAS!$H:$H, DESPESAS!$E:$E, "6.1 Despesas com Vendas", DESPESAS!$L:$L, 7, DESPESAS!$M:$M, $E$5, DESPESAS!$J:$J, "&lt;&gt;Cancelada")</f>
        <v/>
      </c>
      <c r="K25" s="55">
        <f>SUMIFS(DESPESAS!$H:$H, DESPESAS!$E:$E, "6.1 Despesas com Vendas", DESPESAS!$L:$L, 8, DESPESAS!$M:$M, $E$5, DESPESAS!$J:$J, "&lt;&gt;Cancelada")</f>
        <v/>
      </c>
      <c r="L25" s="55">
        <f>SUMIFS(DESPESAS!$H:$H, DESPESAS!$E:$E, "6.1 Despesas com Vendas", DESPESAS!$L:$L, 9, DESPESAS!$M:$M, $E$5, DESPESAS!$J:$J, "&lt;&gt;Cancelada")</f>
        <v/>
      </c>
      <c r="M25" s="55">
        <f>SUMIFS(DESPESAS!$H:$H, DESPESAS!$E:$E, "6.1 Despesas com Vendas", DESPESAS!$L:$L, 10, DESPESAS!$M:$M, $E$5, DESPESAS!$J:$J, "&lt;&gt;Cancelada")</f>
        <v/>
      </c>
      <c r="N25" s="55">
        <f>SUMIFS(DESPESAS!$H:$H, DESPESAS!$E:$E, "6.1 Despesas com Vendas", DESPESAS!$L:$L, 11, DESPESAS!$M:$M, $E$5, DESPESAS!$J:$J, "&lt;&gt;Cancelada")</f>
        <v/>
      </c>
      <c r="O25" s="55">
        <f>SUMIFS(DESPESAS!$H:$H, DESPESAS!$E:$E, "6.1 Despesas com Vendas", DESPESAS!$L:$L, 12, DESPESAS!$M:$M, $E$5, DESPESAS!$J:$J, "&lt;&gt;Cancelada")</f>
        <v/>
      </c>
      <c r="P25" s="55">
        <f>SUM(D25:O25)</f>
        <v/>
      </c>
      <c r="Q25" s="56">
        <f>IFERROR(P25/$P$19, 0)</f>
        <v/>
      </c>
    </row>
    <row r="26" ht="19.05" customHeight="1">
      <c r="B26" s="53" t="inlineStr">
        <is>
          <t>6.2</t>
        </is>
      </c>
      <c r="C26" s="54" t="inlineStr">
        <is>
          <t>Despesas Administrativas (água, luz, telefone, aluguel, folha, etc.)</t>
        </is>
      </c>
      <c r="D26" s="55">
        <f>SUMIFS(DESPESAS!$H:$H, DESPESAS!$E:$E, "6.2 Despesas Administrativas", DESPESAS!$L:$L, 1, DESPESAS!$M:$M, $E$5, DESPESAS!$J:$J, "&lt;&gt;Cancelada")</f>
        <v/>
      </c>
      <c r="E26" s="55">
        <f>SUMIFS(DESPESAS!$H:$H, DESPESAS!$E:$E, "6.2 Despesas Administrativas", DESPESAS!$L:$L, 2, DESPESAS!$M:$M, $E$5, DESPESAS!$J:$J, "&lt;&gt;Cancelada")</f>
        <v/>
      </c>
      <c r="F26" s="55">
        <f>SUMIFS(DESPESAS!$H:$H, DESPESAS!$E:$E, "6.2 Despesas Administrativas", DESPESAS!$L:$L, 3, DESPESAS!$M:$M, $E$5, DESPESAS!$J:$J, "&lt;&gt;Cancelada")</f>
        <v/>
      </c>
      <c r="G26" s="55">
        <f>SUMIFS(DESPESAS!$H:$H, DESPESAS!$E:$E, "6.2 Despesas Administrativas", DESPESAS!$L:$L, 4, DESPESAS!$M:$M, $E$5, DESPESAS!$J:$J, "&lt;&gt;Cancelada")</f>
        <v/>
      </c>
      <c r="H26" s="55">
        <f>SUMIFS(DESPESAS!$H:$H, DESPESAS!$E:$E, "6.2 Despesas Administrativas", DESPESAS!$L:$L, 5, DESPESAS!$M:$M, $E$5, DESPESAS!$J:$J, "&lt;&gt;Cancelada")</f>
        <v/>
      </c>
      <c r="I26" s="55">
        <f>SUMIFS(DESPESAS!$H:$H, DESPESAS!$E:$E, "6.2 Despesas Administrativas", DESPESAS!$L:$L, 6, DESPESAS!$M:$M, $E$5, DESPESAS!$J:$J, "&lt;&gt;Cancelada")</f>
        <v/>
      </c>
      <c r="J26" s="55">
        <f>SUMIFS(DESPESAS!$H:$H, DESPESAS!$E:$E, "6.2 Despesas Administrativas", DESPESAS!$L:$L, 7, DESPESAS!$M:$M, $E$5, DESPESAS!$J:$J, "&lt;&gt;Cancelada")</f>
        <v/>
      </c>
      <c r="K26" s="55">
        <f>SUMIFS(DESPESAS!$H:$H, DESPESAS!$E:$E, "6.2 Despesas Administrativas", DESPESAS!$L:$L, 8, DESPESAS!$M:$M, $E$5, DESPESAS!$J:$J, "&lt;&gt;Cancelada")</f>
        <v/>
      </c>
      <c r="L26" s="55">
        <f>SUMIFS(DESPESAS!$H:$H, DESPESAS!$E:$E, "6.2 Despesas Administrativas", DESPESAS!$L:$L, 9, DESPESAS!$M:$M, $E$5, DESPESAS!$J:$J, "&lt;&gt;Cancelada")</f>
        <v/>
      </c>
      <c r="M26" s="55">
        <f>SUMIFS(DESPESAS!$H:$H, DESPESAS!$E:$E, "6.2 Despesas Administrativas", DESPESAS!$L:$L, 10, DESPESAS!$M:$M, $E$5, DESPESAS!$J:$J, "&lt;&gt;Cancelada")</f>
        <v/>
      </c>
      <c r="N26" s="55">
        <f>SUMIFS(DESPESAS!$H:$H, DESPESAS!$E:$E, "6.2 Despesas Administrativas", DESPESAS!$L:$L, 11, DESPESAS!$M:$M, $E$5, DESPESAS!$J:$J, "&lt;&gt;Cancelada")</f>
        <v/>
      </c>
      <c r="O26" s="55">
        <f>SUMIFS(DESPESAS!$H:$H, DESPESAS!$E:$E, "6.2 Despesas Administrativas", DESPESAS!$L:$L, 12, DESPESAS!$M:$M, $E$5, DESPESAS!$J:$J, "&lt;&gt;Cancelada")</f>
        <v/>
      </c>
      <c r="P26" s="55">
        <f>SUM(D26:O26)</f>
        <v/>
      </c>
      <c r="Q26" s="56">
        <f>IFERROR(P26/$P$19, 0)</f>
        <v/>
      </c>
    </row>
    <row r="27" ht="19.05" customHeight="1">
      <c r="B27" s="49" t="inlineStr">
        <is>
          <t>7</t>
        </is>
      </c>
      <c r="C27" s="50" t="inlineStr">
        <is>
          <t>Receitas Financeiras Líquidas</t>
        </is>
      </c>
      <c r="D27" s="51">
        <f>SUM(D28:D29)</f>
        <v/>
      </c>
      <c r="E27" s="51">
        <f>SUM(E28:E29)</f>
        <v/>
      </c>
      <c r="F27" s="51">
        <f>SUM(F28:F29)</f>
        <v/>
      </c>
      <c r="G27" s="51">
        <f>SUM(G28:G29)</f>
        <v/>
      </c>
      <c r="H27" s="51">
        <f>SUM(H28:H29)</f>
        <v/>
      </c>
      <c r="I27" s="51">
        <f>SUM(I28:I29)</f>
        <v/>
      </c>
      <c r="J27" s="51">
        <f>SUM(J28:J29)</f>
        <v/>
      </c>
      <c r="K27" s="51">
        <f>SUM(K28:K29)</f>
        <v/>
      </c>
      <c r="L27" s="51">
        <f>SUM(L28:L29)</f>
        <v/>
      </c>
      <c r="M27" s="51">
        <f>SUM(M28:M29)</f>
        <v/>
      </c>
      <c r="N27" s="51">
        <f>SUM(N28:N29)</f>
        <v/>
      </c>
      <c r="O27" s="51">
        <f>SUM(O28:O29)</f>
        <v/>
      </c>
      <c r="P27" s="51">
        <f>SUM(D27:O27)</f>
        <v/>
      </c>
      <c r="Q27" s="52">
        <f>IFERROR(P27/$P$19, 0)</f>
        <v/>
      </c>
    </row>
    <row r="28" ht="19.05" customHeight="1">
      <c r="B28" s="53" t="inlineStr">
        <is>
          <t>7.1</t>
        </is>
      </c>
      <c r="C28" s="54" t="inlineStr">
        <is>
          <t>Receitas Financeiras</t>
        </is>
      </c>
      <c r="D28" s="55">
        <f>SUMIFS(DESPESAS!$H:$H, DESPESAS!$E:$E, "7.1 Receitas Financeiras", DESPESAS!$L:$L, 1, DESPESAS!$M:$M, $E$5, DESPESAS!$J:$J, "&lt;&gt;Cancelada")</f>
        <v/>
      </c>
      <c r="E28" s="55">
        <f>SUMIFS(DESPESAS!$H:$H, DESPESAS!$E:$E, "7.1 Receitas Financeiras", DESPESAS!$L:$L, 2, DESPESAS!$M:$M, $E$5, DESPESAS!$J:$J, "&lt;&gt;Cancelada")</f>
        <v/>
      </c>
      <c r="F28" s="55">
        <f>SUMIFS(DESPESAS!$H:$H, DESPESAS!$E:$E, "7.1 Receitas Financeiras", DESPESAS!$L:$L, 3, DESPESAS!$M:$M, $E$5, DESPESAS!$J:$J, "&lt;&gt;Cancelada")</f>
        <v/>
      </c>
      <c r="G28" s="55">
        <f>SUMIFS(DESPESAS!$H:$H, DESPESAS!$E:$E, "7.1 Receitas Financeiras", DESPESAS!$L:$L, 4, DESPESAS!$M:$M, $E$5, DESPESAS!$J:$J, "&lt;&gt;Cancelada")</f>
        <v/>
      </c>
      <c r="H28" s="55">
        <f>SUMIFS(DESPESAS!$H:$H, DESPESAS!$E:$E, "7.1 Receitas Financeiras", DESPESAS!$L:$L, 5, DESPESAS!$M:$M, $E$5, DESPESAS!$J:$J, "&lt;&gt;Cancelada")</f>
        <v/>
      </c>
      <c r="I28" s="55">
        <f>SUMIFS(DESPESAS!$H:$H, DESPESAS!$E:$E, "7.1 Receitas Financeiras", DESPESAS!$L:$L, 6, DESPESAS!$M:$M, $E$5, DESPESAS!$J:$J, "&lt;&gt;Cancelada")</f>
        <v/>
      </c>
      <c r="J28" s="55">
        <f>SUMIFS(DESPESAS!$H:$H, DESPESAS!$E:$E, "7.1 Receitas Financeiras", DESPESAS!$L:$L, 7, DESPESAS!$M:$M, $E$5, DESPESAS!$J:$J, "&lt;&gt;Cancelada")</f>
        <v/>
      </c>
      <c r="K28" s="55">
        <f>SUMIFS(DESPESAS!$H:$H, DESPESAS!$E:$E, "7.1 Receitas Financeiras", DESPESAS!$L:$L, 8, DESPESAS!$M:$M, $E$5, DESPESAS!$J:$J, "&lt;&gt;Cancelada")</f>
        <v/>
      </c>
      <c r="L28" s="55">
        <f>SUMIFS(DESPESAS!$H:$H, DESPESAS!$E:$E, "7.1 Receitas Financeiras", DESPESAS!$L:$L, 9, DESPESAS!$M:$M, $E$5, DESPESAS!$J:$J, "&lt;&gt;Cancelada")</f>
        <v/>
      </c>
      <c r="M28" s="55">
        <f>SUMIFS(DESPESAS!$H:$H, DESPESAS!$E:$E, "7.1 Receitas Financeiras", DESPESAS!$L:$L, 10, DESPESAS!$M:$M, $E$5, DESPESAS!$J:$J, "&lt;&gt;Cancelada")</f>
        <v/>
      </c>
      <c r="N28" s="55">
        <f>SUMIFS(DESPESAS!$H:$H, DESPESAS!$E:$E, "7.1 Receitas Financeiras", DESPESAS!$L:$L, 11, DESPESAS!$M:$M, $E$5, DESPESAS!$J:$J, "&lt;&gt;Cancelada")</f>
        <v/>
      </c>
      <c r="O28" s="55">
        <f>SUMIFS(DESPESAS!$H:$H, DESPESAS!$E:$E, "7.1 Receitas Financeiras", DESPESAS!$L:$L, 12, DESPESAS!$M:$M, $E$5, DESPESAS!$J:$J, "&lt;&gt;Cancelada")</f>
        <v/>
      </c>
      <c r="P28" s="55">
        <f>SUM(D28:O28)</f>
        <v/>
      </c>
      <c r="Q28" s="56">
        <f>IFERROR(P28/$P$19, 0)</f>
        <v/>
      </c>
    </row>
    <row r="29" ht="19.05" customHeight="1">
      <c r="B29" s="53" t="inlineStr">
        <is>
          <t>7.2</t>
        </is>
      </c>
      <c r="C29" s="54" t="inlineStr">
        <is>
          <t>Variações Monetárias e Cambiais Ativas</t>
        </is>
      </c>
      <c r="D29" s="55">
        <f>SUMIFS(DESPESAS!$H:$H, DESPESAS!$E:$E, "7.2 Variações Monetárias e Cambiais Ativas", DESPESAS!$L:$L, 1, DESPESAS!$M:$M, $E$5, DESPESAS!$J:$J, "&lt;&gt;Cancelada")</f>
        <v/>
      </c>
      <c r="E29" s="55">
        <f>SUMIFS(DESPESAS!$H:$H, DESPESAS!$E:$E, "7.2 Variações Monetárias e Cambiais Ativas", DESPESAS!$L:$L, 2, DESPESAS!$M:$M, $E$5, DESPESAS!$J:$J, "&lt;&gt;Cancelada")</f>
        <v/>
      </c>
      <c r="F29" s="55">
        <f>SUMIFS(DESPESAS!$H:$H, DESPESAS!$E:$E, "7.2 Variações Monetárias e Cambiais Ativas", DESPESAS!$L:$L, 3, DESPESAS!$M:$M, $E$5, DESPESAS!$J:$J, "&lt;&gt;Cancelada")</f>
        <v/>
      </c>
      <c r="G29" s="55">
        <f>SUMIFS(DESPESAS!$H:$H, DESPESAS!$E:$E, "7.2 Variações Monetárias e Cambiais Ativas", DESPESAS!$L:$L, 4, DESPESAS!$M:$M, $E$5, DESPESAS!$J:$J, "&lt;&gt;Cancelada")</f>
        <v/>
      </c>
      <c r="H29" s="55">
        <f>SUMIFS(DESPESAS!$H:$H, DESPESAS!$E:$E, "7.2 Variações Monetárias e Cambiais Ativas", DESPESAS!$L:$L, 5, DESPESAS!$M:$M, $E$5, DESPESAS!$J:$J, "&lt;&gt;Cancelada")</f>
        <v/>
      </c>
      <c r="I29" s="55">
        <f>SUMIFS(DESPESAS!$H:$H, DESPESAS!$E:$E, "7.2 Variações Monetárias e Cambiais Ativas", DESPESAS!$L:$L, 6, DESPESAS!$M:$M, $E$5, DESPESAS!$J:$J, "&lt;&gt;Cancelada")</f>
        <v/>
      </c>
      <c r="J29" s="55">
        <f>SUMIFS(DESPESAS!$H:$H, DESPESAS!$E:$E, "7.2 Variações Monetárias e Cambiais Ativas", DESPESAS!$L:$L, 7, DESPESAS!$M:$M, $E$5, DESPESAS!$J:$J, "&lt;&gt;Cancelada")</f>
        <v/>
      </c>
      <c r="K29" s="55">
        <f>SUMIFS(DESPESAS!$H:$H, DESPESAS!$E:$E, "7.2 Variações Monetárias e Cambiais Ativas", DESPESAS!$L:$L, 8, DESPESAS!$M:$M, $E$5, DESPESAS!$J:$J, "&lt;&gt;Cancelada")</f>
        <v/>
      </c>
      <c r="L29" s="55">
        <f>SUMIFS(DESPESAS!$H:$H, DESPESAS!$E:$E, "7.2 Variações Monetárias e Cambiais Ativas", DESPESAS!$L:$L, 9, DESPESAS!$M:$M, $E$5, DESPESAS!$J:$J, "&lt;&gt;Cancelada")</f>
        <v/>
      </c>
      <c r="M29" s="55">
        <f>SUMIFS(DESPESAS!$H:$H, DESPESAS!$E:$E, "7.2 Variações Monetárias e Cambiais Ativas", DESPESAS!$L:$L, 10, DESPESAS!$M:$M, $E$5, DESPESAS!$J:$J, "&lt;&gt;Cancelada")</f>
        <v/>
      </c>
      <c r="N29" s="55">
        <f>SUMIFS(DESPESAS!$H:$H, DESPESAS!$E:$E, "7.2 Variações Monetárias e Cambiais Ativas", DESPESAS!$L:$L, 11, DESPESAS!$M:$M, $E$5, DESPESAS!$J:$J, "&lt;&gt;Cancelada")</f>
        <v/>
      </c>
      <c r="O29" s="55">
        <f>SUMIFS(DESPESAS!$H:$H, DESPESAS!$E:$E, "7.2 Variações Monetárias e Cambiais Ativas", DESPESAS!$L:$L, 12, DESPESAS!$M:$M, $E$5, DESPESAS!$J:$J, "&lt;&gt;Cancelada")</f>
        <v/>
      </c>
      <c r="P29" s="55">
        <f>SUM(D29:O29)</f>
        <v/>
      </c>
      <c r="Q29" s="56">
        <f>IFERROR(P29/$P$19, 0)</f>
        <v/>
      </c>
    </row>
    <row r="30" ht="19.05" customHeight="1">
      <c r="B30" s="49" t="inlineStr">
        <is>
          <t>8</t>
        </is>
      </c>
      <c r="C30" s="50" t="inlineStr">
        <is>
          <t>Despesas Financeiras Líquidas</t>
        </is>
      </c>
      <c r="D30" s="51">
        <f>SUM(D31:D32)</f>
        <v/>
      </c>
      <c r="E30" s="51">
        <f>SUM(E31:E32)</f>
        <v/>
      </c>
      <c r="F30" s="51">
        <f>SUM(F31:F32)</f>
        <v/>
      </c>
      <c r="G30" s="51">
        <f>SUM(G31:G32)</f>
        <v/>
      </c>
      <c r="H30" s="51">
        <f>SUM(H31:H32)</f>
        <v/>
      </c>
      <c r="I30" s="51">
        <f>SUM(I31:I32)</f>
        <v/>
      </c>
      <c r="J30" s="51">
        <f>SUM(J31:J32)</f>
        <v/>
      </c>
      <c r="K30" s="51">
        <f>SUM(K31:K32)</f>
        <v/>
      </c>
      <c r="L30" s="51">
        <f>SUM(L31:L32)</f>
        <v/>
      </c>
      <c r="M30" s="51">
        <f>SUM(M31:M32)</f>
        <v/>
      </c>
      <c r="N30" s="51">
        <f>SUM(N31:N32)</f>
        <v/>
      </c>
      <c r="O30" s="51">
        <f>SUM(O31:O32)</f>
        <v/>
      </c>
      <c r="P30" s="51">
        <f>SUM(D30:O30)</f>
        <v/>
      </c>
      <c r="Q30" s="52">
        <f>IFERROR(P30/$P$19, 0)</f>
        <v/>
      </c>
    </row>
    <row r="31" ht="19.05" customHeight="1">
      <c r="B31" s="53" t="inlineStr">
        <is>
          <t>8.1</t>
        </is>
      </c>
      <c r="C31" s="54" t="inlineStr">
        <is>
          <t>Despesas Financeiras (Taxas Cartão PDV, Juros e Tarifas Bancos)</t>
        </is>
      </c>
      <c r="D31" s="55">
        <f>0+SUMIFS(DESPESAS!$H:$H,DESPESAS!$E:$E,"8.1 Despesas Financeiras",DESPESAS!$L:$L,1,DESPESAS!$M:$M,$E$5,DESPESAS!$J:$J,"&lt;&gt;Cancelada")</f>
        <v/>
      </c>
      <c r="E31" s="55">
        <f>0+SUMIFS(DESPESAS!$H:$H,DESPESAS!$E:$E,"8.1 Despesas Financeiras",DESPESAS!$L:$L,2,DESPESAS!$M:$M,$E$5,DESPESAS!$J:$J,"&lt;&gt;Cancelada")</f>
        <v/>
      </c>
      <c r="F31" s="55">
        <f>0+SUMIFS(DESPESAS!$H:$H,DESPESAS!$E:$E,"8.1 Despesas Financeiras",DESPESAS!$L:$L,3,DESPESAS!$M:$M,$E$5,DESPESAS!$J:$J,"&lt;&gt;Cancelada")</f>
        <v/>
      </c>
      <c r="G31" s="55">
        <f>0+SUMIFS(DESPESAS!$H:$H,DESPESAS!$E:$E,"8.1 Despesas Financeiras",DESPESAS!$L:$L,4,DESPESAS!$M:$M,$E$5,DESPESAS!$J:$J,"&lt;&gt;Cancelada")</f>
        <v/>
      </c>
      <c r="H31" s="55">
        <f>0+SUMIFS(DESPESAS!$H:$H,DESPESAS!$E:$E,"8.1 Despesas Financeiras",DESPESAS!$L:$L,5,DESPESAS!$M:$M,$E$5,DESPESAS!$J:$J,"&lt;&gt;Cancelada")</f>
        <v/>
      </c>
      <c r="I31" s="55">
        <f>0+SUMIFS(DESPESAS!$H:$H,DESPESAS!$E:$E,"8.1 Despesas Financeiras",DESPESAS!$L:$L,6,DESPESAS!$M:$M,$E$5,DESPESAS!$J:$J,"&lt;&gt;Cancelada")</f>
        <v/>
      </c>
      <c r="J31" s="55">
        <f>0+SUMIFS(DESPESAS!$H:$H,DESPESAS!$E:$E,"8.1 Despesas Financeiras",DESPESAS!$L:$L,7,DESPESAS!$M:$M,$E$5,DESPESAS!$J:$J,"&lt;&gt;Cancelada")</f>
        <v/>
      </c>
      <c r="K31" s="55">
        <f>0+SUMIFS(DESPESAS!$H:$H,DESPESAS!$E:$E,"8.1 Despesas Financeiras",DESPESAS!$L:$L,8,DESPESAS!$M:$M,$E$5,DESPESAS!$J:$J,"&lt;&gt;Cancelada")</f>
        <v/>
      </c>
      <c r="L31" s="55">
        <f>0+SUMIFS(DESPESAS!$H:$H,DESPESAS!$E:$E,"8.1 Despesas Financeiras",DESPESAS!$L:$L,9,DESPESAS!$M:$M,$E$5,DESPESAS!$J:$J,"&lt;&gt;Cancelada")</f>
        <v/>
      </c>
      <c r="M31" s="55">
        <f>146.19+SUMIFS(DESPESAS!$H:$H,DESPESAS!$E:$E,"8.1 Despesas Financeiras",DESPESAS!$L:$L,10,DESPESAS!$M:$M,$E$5,DESPESAS!$J:$J,"&lt;&gt;Cancelada")</f>
        <v/>
      </c>
      <c r="N31" s="55">
        <f>0+SUMIFS(DESPESAS!$H:$H,DESPESAS!$E:$E,"8.1 Despesas Financeiras",DESPESAS!$L:$L,11,DESPESAS!$M:$M,$E$5,DESPESAS!$J:$J,"&lt;&gt;Cancelada")</f>
        <v/>
      </c>
      <c r="O31" s="55">
        <f>0+SUMIFS(DESPESAS!$H:$H,DESPESAS!$E:$E,"8.1 Despesas Financeiras",DESPESAS!$L:$L,12,DESPESAS!$M:$M,$E$5,DESPESAS!$J:$J,"&lt;&gt;Cancelada")</f>
        <v/>
      </c>
      <c r="P31" s="55">
        <f>SUM(D31:O31)</f>
        <v/>
      </c>
      <c r="Q31" s="56">
        <f>IFERROR(P31/$P$19, 0)</f>
        <v/>
      </c>
    </row>
    <row r="32" ht="19.05" customHeight="1">
      <c r="B32" s="53" t="inlineStr">
        <is>
          <t>8.2</t>
        </is>
      </c>
      <c r="C32" s="54" t="inlineStr">
        <is>
          <t>Variações Monetárias e Cambiais Passivas</t>
        </is>
      </c>
      <c r="D32" s="55">
        <f>SUMIFS(DESPESAS!$H:$H, DESPESAS!$E:$E, "8.2 Variações Monetárias e Cambiais Passivas", DESPESAS!$L:$L, 1, DESPESAS!$M:$M, $E$5, DESPESAS!$J:$J, "&lt;&gt;Cancelada")</f>
        <v/>
      </c>
      <c r="E32" s="55">
        <f>SUMIFS(DESPESAS!$H:$H, DESPESAS!$E:$E, "8.2 Variações Monetárias e Cambiais Passivas", DESPESAS!$L:$L, 2, DESPESAS!$M:$M, $E$5, DESPESAS!$J:$J, "&lt;&gt;Cancelada")</f>
        <v/>
      </c>
      <c r="F32" s="55">
        <f>SUMIFS(DESPESAS!$H:$H, DESPESAS!$E:$E, "8.2 Variações Monetárias e Cambiais Passivas", DESPESAS!$L:$L, 3, DESPESAS!$M:$M, $E$5, DESPESAS!$J:$J, "&lt;&gt;Cancelada")</f>
        <v/>
      </c>
      <c r="G32" s="55">
        <f>SUMIFS(DESPESAS!$H:$H, DESPESAS!$E:$E, "8.2 Variações Monetárias e Cambiais Passivas", DESPESAS!$L:$L, 4, DESPESAS!$M:$M, $E$5, DESPESAS!$J:$J, "&lt;&gt;Cancelada")</f>
        <v/>
      </c>
      <c r="H32" s="55">
        <f>SUMIFS(DESPESAS!$H:$H, DESPESAS!$E:$E, "8.2 Variações Monetárias e Cambiais Passivas", DESPESAS!$L:$L, 5, DESPESAS!$M:$M, $E$5, DESPESAS!$J:$J, "&lt;&gt;Cancelada")</f>
        <v/>
      </c>
      <c r="I32" s="55">
        <f>SUMIFS(DESPESAS!$H:$H, DESPESAS!$E:$E, "8.2 Variações Monetárias e Cambiais Passivas", DESPESAS!$L:$L, 6, DESPESAS!$M:$M, $E$5, DESPESAS!$J:$J, "&lt;&gt;Cancelada")</f>
        <v/>
      </c>
      <c r="J32" s="55">
        <f>SUMIFS(DESPESAS!$H:$H, DESPESAS!$E:$E, "8.2 Variações Monetárias e Cambiais Passivas", DESPESAS!$L:$L, 7, DESPESAS!$M:$M, $E$5, DESPESAS!$J:$J, "&lt;&gt;Cancelada")</f>
        <v/>
      </c>
      <c r="K32" s="55">
        <f>SUMIFS(DESPESAS!$H:$H, DESPESAS!$E:$E, "8.2 Variações Monetárias e Cambiais Passivas", DESPESAS!$L:$L, 8, DESPESAS!$M:$M, $E$5, DESPESAS!$J:$J, "&lt;&gt;Cancelada")</f>
        <v/>
      </c>
      <c r="L32" s="55">
        <f>SUMIFS(DESPESAS!$H:$H, DESPESAS!$E:$E, "8.2 Variações Monetárias e Cambiais Passivas", DESPESAS!$L:$L, 9, DESPESAS!$M:$M, $E$5, DESPESAS!$J:$J, "&lt;&gt;Cancelada")</f>
        <v/>
      </c>
      <c r="M32" s="55">
        <f>SUMIFS(DESPESAS!$H:$H, DESPESAS!$E:$E, "8.2 Variações Monetárias e Cambiais Passivas", DESPESAS!$L:$L, 10, DESPESAS!$M:$M, $E$5, DESPESAS!$J:$J, "&lt;&gt;Cancelada")</f>
        <v/>
      </c>
      <c r="N32" s="55">
        <f>SUMIFS(DESPESAS!$H:$H, DESPESAS!$E:$E, "8.2 Variações Monetárias e Cambiais Passivas", DESPESAS!$L:$L, 11, DESPESAS!$M:$M, $E$5, DESPESAS!$J:$J, "&lt;&gt;Cancelada")</f>
        <v/>
      </c>
      <c r="O32" s="55">
        <f>SUMIFS(DESPESAS!$H:$H, DESPESAS!$E:$E, "8.2 Variações Monetárias e Cambiais Passivas", DESPESAS!$L:$L, 12, DESPESAS!$M:$M, $E$5, DESPESAS!$J:$J, "&lt;&gt;Cancelada")</f>
        <v/>
      </c>
      <c r="P32" s="55">
        <f>SUM(D32:O32)</f>
        <v/>
      </c>
      <c r="Q32" s="56">
        <f>IFERROR(P32/$P$19, 0)</f>
        <v/>
      </c>
    </row>
    <row r="33" ht="19.05" customHeight="1">
      <c r="B33" s="57" t="inlineStr">
        <is>
          <t>9</t>
        </is>
      </c>
      <c r="C33" s="58" t="inlineStr">
        <is>
          <t>Resultado Financeiro Líquido (7 - 8)</t>
        </is>
      </c>
      <c r="D33" s="59">
        <f>D27-D30</f>
        <v/>
      </c>
      <c r="E33" s="59">
        <f>E27-E30</f>
        <v/>
      </c>
      <c r="F33" s="59">
        <f>F27-F30</f>
        <v/>
      </c>
      <c r="G33" s="59">
        <f>G27-G30</f>
        <v/>
      </c>
      <c r="H33" s="59">
        <f>H27-H30</f>
        <v/>
      </c>
      <c r="I33" s="59">
        <f>I27-I30</f>
        <v/>
      </c>
      <c r="J33" s="59">
        <f>J27-J30</f>
        <v/>
      </c>
      <c r="K33" s="59">
        <f>K27-K30</f>
        <v/>
      </c>
      <c r="L33" s="59">
        <f>L27-L30</f>
        <v/>
      </c>
      <c r="M33" s="59">
        <f>M27-M30</f>
        <v/>
      </c>
      <c r="N33" s="59">
        <f>N27-N30</f>
        <v/>
      </c>
      <c r="O33" s="59">
        <f>O27-O30</f>
        <v/>
      </c>
      <c r="P33" s="59">
        <f>SUM(D33:O33)</f>
        <v/>
      </c>
      <c r="Q33" s="60">
        <f>IFERROR(P33/$P$19, 0)</f>
        <v/>
      </c>
    </row>
    <row r="34" ht="19.05" customHeight="1">
      <c r="B34" s="49" t="inlineStr">
        <is>
          <t>10</t>
        </is>
      </c>
      <c r="C34" s="50" t="inlineStr">
        <is>
          <t>Outras Receitas</t>
        </is>
      </c>
      <c r="D34" s="51">
        <f>SUM(D35:D36)</f>
        <v/>
      </c>
      <c r="E34" s="51">
        <f>SUM(E35:E36)</f>
        <v/>
      </c>
      <c r="F34" s="51">
        <f>SUM(F35:F36)</f>
        <v/>
      </c>
      <c r="G34" s="51">
        <f>SUM(G35:G36)</f>
        <v/>
      </c>
      <c r="H34" s="51">
        <f>SUM(H35:H36)</f>
        <v/>
      </c>
      <c r="I34" s="51">
        <f>SUM(I35:I36)</f>
        <v/>
      </c>
      <c r="J34" s="51">
        <f>SUM(J35:J36)</f>
        <v/>
      </c>
      <c r="K34" s="51">
        <f>SUM(K35:K36)</f>
        <v/>
      </c>
      <c r="L34" s="51">
        <f>SUM(L35:L36)</f>
        <v/>
      </c>
      <c r="M34" s="51">
        <f>SUM(M35:M36)</f>
        <v/>
      </c>
      <c r="N34" s="51">
        <f>SUM(N35:N36)</f>
        <v/>
      </c>
      <c r="O34" s="51">
        <f>SUM(O35:O36)</f>
        <v/>
      </c>
      <c r="P34" s="51">
        <f>SUM(D34:O34)</f>
        <v/>
      </c>
      <c r="Q34" s="52">
        <f>IFERROR(P34/$P$19, 0)</f>
        <v/>
      </c>
    </row>
    <row r="35" ht="19.05" customHeight="1">
      <c r="B35" s="53" t="inlineStr">
        <is>
          <t>10.1</t>
        </is>
      </c>
      <c r="C35" s="54" t="inlineStr">
        <is>
          <t>Resultado de Equivalência Patrimonial</t>
        </is>
      </c>
      <c r="D35" s="55">
        <f>SUMIFS(DESPESAS!$H:$H, DESPESAS!$E:$E, "10.1 Resultado de Equivalência Patrimonial", DESPESAS!$L:$L, 1, DESPESAS!$M:$M, $E$5, DESPESAS!$J:$J, "&lt;&gt;Cancelada")</f>
        <v/>
      </c>
      <c r="E35" s="55">
        <f>SUMIFS(DESPESAS!$H:$H, DESPESAS!$E:$E, "10.1 Resultado de Equivalência Patrimonial", DESPESAS!$L:$L, 2, DESPESAS!$M:$M, $E$5, DESPESAS!$J:$J, "&lt;&gt;Cancelada")</f>
        <v/>
      </c>
      <c r="F35" s="55">
        <f>SUMIFS(DESPESAS!$H:$H, DESPESAS!$E:$E, "10.1 Resultado de Equivalência Patrimonial", DESPESAS!$L:$L, 3, DESPESAS!$M:$M, $E$5, DESPESAS!$J:$J, "&lt;&gt;Cancelada")</f>
        <v/>
      </c>
      <c r="G35" s="55">
        <f>SUMIFS(DESPESAS!$H:$H, DESPESAS!$E:$E, "10.1 Resultado de Equivalência Patrimonial", DESPESAS!$L:$L, 4, DESPESAS!$M:$M, $E$5, DESPESAS!$J:$J, "&lt;&gt;Cancelada")</f>
        <v/>
      </c>
      <c r="H35" s="55">
        <f>SUMIFS(DESPESAS!$H:$H, DESPESAS!$E:$E, "10.1 Resultado de Equivalência Patrimonial", DESPESAS!$L:$L, 5, DESPESAS!$M:$M, $E$5, DESPESAS!$J:$J, "&lt;&gt;Cancelada")</f>
        <v/>
      </c>
      <c r="I35" s="55">
        <f>SUMIFS(DESPESAS!$H:$H, DESPESAS!$E:$E, "10.1 Resultado de Equivalência Patrimonial", DESPESAS!$L:$L, 6, DESPESAS!$M:$M, $E$5, DESPESAS!$J:$J, "&lt;&gt;Cancelada")</f>
        <v/>
      </c>
      <c r="J35" s="55">
        <f>SUMIFS(DESPESAS!$H:$H, DESPESAS!$E:$E, "10.1 Resultado de Equivalência Patrimonial", DESPESAS!$L:$L, 7, DESPESAS!$M:$M, $E$5, DESPESAS!$J:$J, "&lt;&gt;Cancelada")</f>
        <v/>
      </c>
      <c r="K35" s="55">
        <f>SUMIFS(DESPESAS!$H:$H, DESPESAS!$E:$E, "10.1 Resultado de Equivalência Patrimonial", DESPESAS!$L:$L, 8, DESPESAS!$M:$M, $E$5, DESPESAS!$J:$J, "&lt;&gt;Cancelada")</f>
        <v/>
      </c>
      <c r="L35" s="55">
        <f>SUMIFS(DESPESAS!$H:$H, DESPESAS!$E:$E, "10.1 Resultado de Equivalência Patrimonial", DESPESAS!$L:$L, 9, DESPESAS!$M:$M, $E$5, DESPESAS!$J:$J, "&lt;&gt;Cancelada")</f>
        <v/>
      </c>
      <c r="M35" s="55">
        <f>SUMIFS(DESPESAS!$H:$H, DESPESAS!$E:$E, "10.1 Resultado de Equivalência Patrimonial", DESPESAS!$L:$L, 10, DESPESAS!$M:$M, $E$5, DESPESAS!$J:$J, "&lt;&gt;Cancelada")</f>
        <v/>
      </c>
      <c r="N35" s="55">
        <f>SUMIFS(DESPESAS!$H:$H, DESPESAS!$E:$E, "10.1 Resultado de Equivalência Patrimonial", DESPESAS!$L:$L, 11, DESPESAS!$M:$M, $E$5, DESPESAS!$J:$J, "&lt;&gt;Cancelada")</f>
        <v/>
      </c>
      <c r="O35" s="55">
        <f>SUMIFS(DESPESAS!$H:$H, DESPESAS!$E:$E, "10.1 Resultado de Equivalência Patrimonial", DESPESAS!$L:$L, 12, DESPESAS!$M:$M, $E$5, DESPESAS!$J:$J, "&lt;&gt;Cancelada")</f>
        <v/>
      </c>
      <c r="P35" s="55">
        <f>SUM(D35:O35)</f>
        <v/>
      </c>
      <c r="Q35" s="56">
        <f>IFERROR(P35/$P$19, 0)</f>
        <v/>
      </c>
    </row>
    <row r="36" ht="19.05" customHeight="1">
      <c r="B36" s="53" t="inlineStr">
        <is>
          <t>10.2</t>
        </is>
      </c>
      <c r="C36" s="54" t="inlineStr">
        <is>
          <t>Venda de Bens e Direitos do Ativo Não Circulante</t>
        </is>
      </c>
      <c r="D36" s="55">
        <f>SUMIFS(DESPESAS!$H:$H, DESPESAS!$E:$E, "10.2 Venda de Bens e Direitos do Ativo Não Circulante", DESPESAS!$L:$L, 1, DESPESAS!$M:$M, $E$5, DESPESAS!$J:$J, "&lt;&gt;Cancelada")</f>
        <v/>
      </c>
      <c r="E36" s="55">
        <f>SUMIFS(DESPESAS!$H:$H, DESPESAS!$E:$E, "10.2 Venda de Bens e Direitos do Ativo Não Circulante", DESPESAS!$L:$L, 2, DESPESAS!$M:$M, $E$5, DESPESAS!$J:$J, "&lt;&gt;Cancelada")</f>
        <v/>
      </c>
      <c r="F36" s="55">
        <f>SUMIFS(DESPESAS!$H:$H, DESPESAS!$E:$E, "10.2 Venda de Bens e Direitos do Ativo Não Circulante", DESPESAS!$L:$L, 3, DESPESAS!$M:$M, $E$5, DESPESAS!$J:$J, "&lt;&gt;Cancelada")</f>
        <v/>
      </c>
      <c r="G36" s="55">
        <f>SUMIFS(DESPESAS!$H:$H, DESPESAS!$E:$E, "10.2 Venda de Bens e Direitos do Ativo Não Circulante", DESPESAS!$L:$L, 4, DESPESAS!$M:$M, $E$5, DESPESAS!$J:$J, "&lt;&gt;Cancelada")</f>
        <v/>
      </c>
      <c r="H36" s="55">
        <f>SUMIFS(DESPESAS!$H:$H, DESPESAS!$E:$E, "10.2 Venda de Bens e Direitos do Ativo Não Circulante", DESPESAS!$L:$L, 5, DESPESAS!$M:$M, $E$5, DESPESAS!$J:$J, "&lt;&gt;Cancelada")</f>
        <v/>
      </c>
      <c r="I36" s="55">
        <f>SUMIFS(DESPESAS!$H:$H, DESPESAS!$E:$E, "10.2 Venda de Bens e Direitos do Ativo Não Circulante", DESPESAS!$L:$L, 6, DESPESAS!$M:$M, $E$5, DESPESAS!$J:$J, "&lt;&gt;Cancelada")</f>
        <v/>
      </c>
      <c r="J36" s="55">
        <f>SUMIFS(DESPESAS!$H:$H, DESPESAS!$E:$E, "10.2 Venda de Bens e Direitos do Ativo Não Circulante", DESPESAS!$L:$L, 7, DESPESAS!$M:$M, $E$5, DESPESAS!$J:$J, "&lt;&gt;Cancelada")</f>
        <v/>
      </c>
      <c r="K36" s="55">
        <f>SUMIFS(DESPESAS!$H:$H, DESPESAS!$E:$E, "10.2 Venda de Bens e Direitos do Ativo Não Circulante", DESPESAS!$L:$L, 8, DESPESAS!$M:$M, $E$5, DESPESAS!$J:$J, "&lt;&gt;Cancelada")</f>
        <v/>
      </c>
      <c r="L36" s="55">
        <f>SUMIFS(DESPESAS!$H:$H, DESPESAS!$E:$E, "10.2 Venda de Bens e Direitos do Ativo Não Circulante", DESPESAS!$L:$L, 9, DESPESAS!$M:$M, $E$5, DESPESAS!$J:$J, "&lt;&gt;Cancelada")</f>
        <v/>
      </c>
      <c r="M36" s="55">
        <f>SUMIFS(DESPESAS!$H:$H, DESPESAS!$E:$E, "10.2 Venda de Bens e Direitos do Ativo Não Circulante", DESPESAS!$L:$L, 10, DESPESAS!$M:$M, $E$5, DESPESAS!$J:$J, "&lt;&gt;Cancelada")</f>
        <v/>
      </c>
      <c r="N36" s="55">
        <f>SUMIFS(DESPESAS!$H:$H, DESPESAS!$E:$E, "10.2 Venda de Bens e Direitos do Ativo Não Circulante", DESPESAS!$L:$L, 11, DESPESAS!$M:$M, $E$5, DESPESAS!$J:$J, "&lt;&gt;Cancelada")</f>
        <v/>
      </c>
      <c r="O36" s="55">
        <f>SUMIFS(DESPESAS!$H:$H, DESPESAS!$E:$E, "10.2 Venda de Bens e Direitos do Ativo Não Circulante", DESPESAS!$L:$L, 12, DESPESAS!$M:$M, $E$5, DESPESAS!$J:$J, "&lt;&gt;Cancelada")</f>
        <v/>
      </c>
      <c r="P36" s="55">
        <f>SUM(D36:O36)</f>
        <v/>
      </c>
      <c r="Q36" s="56">
        <f>IFERROR(P36/$P$19, 0)</f>
        <v/>
      </c>
    </row>
    <row r="37" ht="19.05" customHeight="1">
      <c r="B37" s="49" t="inlineStr">
        <is>
          <t>11</t>
        </is>
      </c>
      <c r="C37" s="50" t="inlineStr">
        <is>
          <t>Outras Despesas</t>
        </is>
      </c>
      <c r="D37" s="51">
        <f>SUM(D38:D44)</f>
        <v/>
      </c>
      <c r="E37" s="51">
        <f>SUM(E38:E44)</f>
        <v/>
      </c>
      <c r="F37" s="51">
        <f>SUM(F38:F44)</f>
        <v/>
      </c>
      <c r="G37" s="51">
        <f>SUM(G38:G44)</f>
        <v/>
      </c>
      <c r="H37" s="51">
        <f>SUM(H38:H44)</f>
        <v/>
      </c>
      <c r="I37" s="51">
        <f>SUM(I38:I44)</f>
        <v/>
      </c>
      <c r="J37" s="51">
        <f>SUM(J38:J44)</f>
        <v/>
      </c>
      <c r="K37" s="51">
        <f>SUM(K38:K44)</f>
        <v/>
      </c>
      <c r="L37" s="51">
        <f>SUM(L38:L44)</f>
        <v/>
      </c>
      <c r="M37" s="51">
        <f>SUM(M38:M44)</f>
        <v/>
      </c>
      <c r="N37" s="51">
        <f>SUM(N38:N44)</f>
        <v/>
      </c>
      <c r="O37" s="51">
        <f>SUM(O38:O44)</f>
        <v/>
      </c>
      <c r="P37" s="51">
        <f>SUM(D37:O37)</f>
        <v/>
      </c>
      <c r="Q37" s="52">
        <f>IFERROR(P37/$P$19, 0)</f>
        <v/>
      </c>
    </row>
    <row r="38" ht="19.05" customHeight="1">
      <c r="B38" s="53" t="inlineStr">
        <is>
          <t>11.1</t>
        </is>
      </c>
      <c r="C38" s="54" t="inlineStr">
        <is>
          <t>Serviços de contabilidade</t>
        </is>
      </c>
      <c r="D38" s="55">
        <f>SUMIFS(DESPESAS!$H:$H, DESPESAS!$E:$E, "11.1 Serviços de contabilidade", DESPESAS!$L:$L, 1, DESPESAS!$M:$M, $E$5, DESPESAS!$J:$J, "&lt;&gt;Cancelada")</f>
        <v/>
      </c>
      <c r="E38" s="55">
        <f>SUMIFS(DESPESAS!$H:$H, DESPESAS!$E:$E, "11.1 Serviços de contabilidade", DESPESAS!$L:$L, 2, DESPESAS!$M:$M, $E$5, DESPESAS!$J:$J, "&lt;&gt;Cancelada")</f>
        <v/>
      </c>
      <c r="F38" s="55">
        <f>SUMIFS(DESPESAS!$H:$H, DESPESAS!$E:$E, "11.1 Serviços de contabilidade", DESPESAS!$L:$L, 3, DESPESAS!$M:$M, $E$5, DESPESAS!$J:$J, "&lt;&gt;Cancelada")</f>
        <v/>
      </c>
      <c r="G38" s="55">
        <f>SUMIFS(DESPESAS!$H:$H, DESPESAS!$E:$E, "11.1 Serviços de contabilidade", DESPESAS!$L:$L, 4, DESPESAS!$M:$M, $E$5, DESPESAS!$J:$J, "&lt;&gt;Cancelada")</f>
        <v/>
      </c>
      <c r="H38" s="55">
        <f>SUMIFS(DESPESAS!$H:$H, DESPESAS!$E:$E, "11.1 Serviços de contabilidade", DESPESAS!$L:$L, 5, DESPESAS!$M:$M, $E$5, DESPESAS!$J:$J, "&lt;&gt;Cancelada")</f>
        <v/>
      </c>
      <c r="I38" s="55">
        <f>SUMIFS(DESPESAS!$H:$H, DESPESAS!$E:$E, "11.1 Serviços de contabilidade", DESPESAS!$L:$L, 6, DESPESAS!$M:$M, $E$5, DESPESAS!$J:$J, "&lt;&gt;Cancelada")</f>
        <v/>
      </c>
      <c r="J38" s="55">
        <f>SUMIFS(DESPESAS!$H:$H, DESPESAS!$E:$E, "11.1 Serviços de contabilidade", DESPESAS!$L:$L, 7, DESPESAS!$M:$M, $E$5, DESPESAS!$J:$J, "&lt;&gt;Cancelada")</f>
        <v/>
      </c>
      <c r="K38" s="55">
        <f>SUMIFS(DESPESAS!$H:$H, DESPESAS!$E:$E, "11.1 Serviços de contabilidade", DESPESAS!$L:$L, 8, DESPESAS!$M:$M, $E$5, DESPESAS!$J:$J, "&lt;&gt;Cancelada")</f>
        <v/>
      </c>
      <c r="L38" s="55">
        <f>SUMIFS(DESPESAS!$H:$H, DESPESAS!$E:$E, "11.1 Serviços de contabilidade", DESPESAS!$L:$L, 9, DESPESAS!$M:$M, $E$5, DESPESAS!$J:$J, "&lt;&gt;Cancelada")</f>
        <v/>
      </c>
      <c r="M38" s="55">
        <f>SUMIFS(DESPESAS!$H:$H, DESPESAS!$E:$E, "11.1 Serviços de contabilidade", DESPESAS!$L:$L, 10, DESPESAS!$M:$M, $E$5, DESPESAS!$J:$J, "&lt;&gt;Cancelada")</f>
        <v/>
      </c>
      <c r="N38" s="55">
        <f>SUMIFS(DESPESAS!$H:$H, DESPESAS!$E:$E, "11.1 Serviços de contabilidade", DESPESAS!$L:$L, 11, DESPESAS!$M:$M, $E$5, DESPESAS!$J:$J, "&lt;&gt;Cancelada")</f>
        <v/>
      </c>
      <c r="O38" s="55">
        <f>SUMIFS(DESPESAS!$H:$H, DESPESAS!$E:$E, "11.1 Serviços de contabilidade", DESPESAS!$L:$L, 12, DESPESAS!$M:$M, $E$5, DESPESAS!$J:$J, "&lt;&gt;Cancelada")</f>
        <v/>
      </c>
      <c r="P38" s="55">
        <f>SUM(D38:O38)</f>
        <v/>
      </c>
      <c r="Q38" s="56">
        <f>IFERROR(P38/$P$19, 0)</f>
        <v/>
      </c>
    </row>
    <row r="39" ht="19.05" customHeight="1">
      <c r="B39" s="53" t="inlineStr">
        <is>
          <t>11.2</t>
        </is>
      </c>
      <c r="C39" s="54" t="inlineStr">
        <is>
          <t>Manutenção de veículos</t>
        </is>
      </c>
      <c r="D39" s="55">
        <f>SUMIFS(DESPESAS!$H:$H, DESPESAS!$E:$E, "11.2 Manutenção de veículos", DESPESAS!$L:$L, 1, DESPESAS!$M:$M, $E$5, DESPESAS!$J:$J, "&lt;&gt;Cancelada")</f>
        <v/>
      </c>
      <c r="E39" s="55">
        <f>SUMIFS(DESPESAS!$H:$H, DESPESAS!$E:$E, "11.2 Manutenção de veículos", DESPESAS!$L:$L, 2, DESPESAS!$M:$M, $E$5, DESPESAS!$J:$J, "&lt;&gt;Cancelada")</f>
        <v/>
      </c>
      <c r="F39" s="55">
        <f>SUMIFS(DESPESAS!$H:$H, DESPESAS!$E:$E, "11.2 Manutenção de veículos", DESPESAS!$L:$L, 3, DESPESAS!$M:$M, $E$5, DESPESAS!$J:$J, "&lt;&gt;Cancelada")</f>
        <v/>
      </c>
      <c r="G39" s="55">
        <f>SUMIFS(DESPESAS!$H:$H, DESPESAS!$E:$E, "11.2 Manutenção de veículos", DESPESAS!$L:$L, 4, DESPESAS!$M:$M, $E$5, DESPESAS!$J:$J, "&lt;&gt;Cancelada")</f>
        <v/>
      </c>
      <c r="H39" s="55">
        <f>SUMIFS(DESPESAS!$H:$H, DESPESAS!$E:$E, "11.2 Manutenção de veículos", DESPESAS!$L:$L, 5, DESPESAS!$M:$M, $E$5, DESPESAS!$J:$J, "&lt;&gt;Cancelada")</f>
        <v/>
      </c>
      <c r="I39" s="55">
        <f>SUMIFS(DESPESAS!$H:$H, DESPESAS!$E:$E, "11.2 Manutenção de veículos", DESPESAS!$L:$L, 6, DESPESAS!$M:$M, $E$5, DESPESAS!$J:$J, "&lt;&gt;Cancelada")</f>
        <v/>
      </c>
      <c r="J39" s="55">
        <f>SUMIFS(DESPESAS!$H:$H, DESPESAS!$E:$E, "11.2 Manutenção de veículos", DESPESAS!$L:$L, 7, DESPESAS!$M:$M, $E$5, DESPESAS!$J:$J, "&lt;&gt;Cancelada")</f>
        <v/>
      </c>
      <c r="K39" s="55">
        <f>SUMIFS(DESPESAS!$H:$H, DESPESAS!$E:$E, "11.2 Manutenção de veículos", DESPESAS!$L:$L, 8, DESPESAS!$M:$M, $E$5, DESPESAS!$J:$J, "&lt;&gt;Cancelada")</f>
        <v/>
      </c>
      <c r="L39" s="55">
        <f>SUMIFS(DESPESAS!$H:$H, DESPESAS!$E:$E, "11.2 Manutenção de veículos", DESPESAS!$L:$L, 9, DESPESAS!$M:$M, $E$5, DESPESAS!$J:$J, "&lt;&gt;Cancelada")</f>
        <v/>
      </c>
      <c r="M39" s="55">
        <f>SUMIFS(DESPESAS!$H:$H, DESPESAS!$E:$E, "11.2 Manutenção de veículos", DESPESAS!$L:$L, 10, DESPESAS!$M:$M, $E$5, DESPESAS!$J:$J, "&lt;&gt;Cancelada")</f>
        <v/>
      </c>
      <c r="N39" s="55">
        <f>SUMIFS(DESPESAS!$H:$H, DESPESAS!$E:$E, "11.2 Manutenção de veículos", DESPESAS!$L:$L, 11, DESPESAS!$M:$M, $E$5, DESPESAS!$J:$J, "&lt;&gt;Cancelada")</f>
        <v/>
      </c>
      <c r="O39" s="55">
        <f>SUMIFS(DESPESAS!$H:$H, DESPESAS!$E:$E, "11.2 Manutenção de veículos", DESPESAS!$L:$L, 12, DESPESAS!$M:$M, $E$5, DESPESAS!$J:$J, "&lt;&gt;Cancelada")</f>
        <v/>
      </c>
      <c r="P39" s="55">
        <f>SUM(D39:O39)</f>
        <v/>
      </c>
      <c r="Q39" s="56">
        <f>IFERROR(P39/$P$19, 0)</f>
        <v/>
      </c>
    </row>
    <row r="40" ht="19.05" customHeight="1">
      <c r="B40" s="53" t="inlineStr">
        <is>
          <t>11.3</t>
        </is>
      </c>
      <c r="C40" s="54" t="inlineStr">
        <is>
          <t>Manutenção da empresa</t>
        </is>
      </c>
      <c r="D40" s="55">
        <f>SUMIFS(DESPESAS!$H:$H, DESPESAS!$E:$E, "11.3 Manutenção da empresa", DESPESAS!$L:$L, 1, DESPESAS!$M:$M, $E$5, DESPESAS!$J:$J, "&lt;&gt;Cancelada")</f>
        <v/>
      </c>
      <c r="E40" s="55">
        <f>SUMIFS(DESPESAS!$H:$H, DESPESAS!$E:$E, "11.3 Manutenção da empresa", DESPESAS!$L:$L, 2, DESPESAS!$M:$M, $E$5, DESPESAS!$J:$J, "&lt;&gt;Cancelada")</f>
        <v/>
      </c>
      <c r="F40" s="55">
        <f>SUMIFS(DESPESAS!$H:$H, DESPESAS!$E:$E, "11.3 Manutenção da empresa", DESPESAS!$L:$L, 3, DESPESAS!$M:$M, $E$5, DESPESAS!$J:$J, "&lt;&gt;Cancelada")</f>
        <v/>
      </c>
      <c r="G40" s="55">
        <f>SUMIFS(DESPESAS!$H:$H, DESPESAS!$E:$E, "11.3 Manutenção da empresa", DESPESAS!$L:$L, 4, DESPESAS!$M:$M, $E$5, DESPESAS!$J:$J, "&lt;&gt;Cancelada")</f>
        <v/>
      </c>
      <c r="H40" s="55">
        <f>SUMIFS(DESPESAS!$H:$H, DESPESAS!$E:$E, "11.3 Manutenção da empresa", DESPESAS!$L:$L, 5, DESPESAS!$M:$M, $E$5, DESPESAS!$J:$J, "&lt;&gt;Cancelada")</f>
        <v/>
      </c>
      <c r="I40" s="55">
        <f>SUMIFS(DESPESAS!$H:$H, DESPESAS!$E:$E, "11.3 Manutenção da empresa", DESPESAS!$L:$L, 6, DESPESAS!$M:$M, $E$5, DESPESAS!$J:$J, "&lt;&gt;Cancelada")</f>
        <v/>
      </c>
      <c r="J40" s="55">
        <f>SUMIFS(DESPESAS!$H:$H, DESPESAS!$E:$E, "11.3 Manutenção da empresa", DESPESAS!$L:$L, 7, DESPESAS!$M:$M, $E$5, DESPESAS!$J:$J, "&lt;&gt;Cancelada")</f>
        <v/>
      </c>
      <c r="K40" s="55">
        <f>SUMIFS(DESPESAS!$H:$H, DESPESAS!$E:$E, "11.3 Manutenção da empresa", DESPESAS!$L:$L, 8, DESPESAS!$M:$M, $E$5, DESPESAS!$J:$J, "&lt;&gt;Cancelada")</f>
        <v/>
      </c>
      <c r="L40" s="55">
        <f>SUMIFS(DESPESAS!$H:$H, DESPESAS!$E:$E, "11.3 Manutenção da empresa", DESPESAS!$L:$L, 9, DESPESAS!$M:$M, $E$5, DESPESAS!$J:$J, "&lt;&gt;Cancelada")</f>
        <v/>
      </c>
      <c r="M40" s="55">
        <f>SUMIFS(DESPESAS!$H:$H, DESPESAS!$E:$E, "11.3 Manutenção da empresa", DESPESAS!$L:$L, 10, DESPESAS!$M:$M, $E$5, DESPESAS!$J:$J, "&lt;&gt;Cancelada")</f>
        <v/>
      </c>
      <c r="N40" s="55">
        <f>SUMIFS(DESPESAS!$H:$H, DESPESAS!$E:$E, "11.3 Manutenção da empresa", DESPESAS!$L:$L, 11, DESPESAS!$M:$M, $E$5, DESPESAS!$J:$J, "&lt;&gt;Cancelada")</f>
        <v/>
      </c>
      <c r="O40" s="55">
        <f>SUMIFS(DESPESAS!$H:$H, DESPESAS!$E:$E, "11.3 Manutenção da empresa", DESPESAS!$L:$L, 12, DESPESAS!$M:$M, $E$5, DESPESAS!$J:$J, "&lt;&gt;Cancelada")</f>
        <v/>
      </c>
      <c r="P40" s="55">
        <f>SUM(D40:O40)</f>
        <v/>
      </c>
      <c r="Q40" s="56">
        <f>IFERROR(P40/$P$19, 0)</f>
        <v/>
      </c>
    </row>
    <row r="41" ht="19.05" customHeight="1">
      <c r="B41" s="53" t="inlineStr">
        <is>
          <t>11.4</t>
        </is>
      </c>
      <c r="C41" s="54" t="inlineStr">
        <is>
          <t>Seguro predial e instalação</t>
        </is>
      </c>
      <c r="D41" s="55">
        <f>SUMIFS(DESPESAS!$H:$H, DESPESAS!$E:$E, "11.4 Seguro predial e instalação", DESPESAS!$L:$L, 1, DESPESAS!$M:$M, $E$5, DESPESAS!$J:$J, "&lt;&gt;Cancelada")</f>
        <v/>
      </c>
      <c r="E41" s="55">
        <f>SUMIFS(DESPESAS!$H:$H, DESPESAS!$E:$E, "11.4 Seguro predial e instalação", DESPESAS!$L:$L, 2, DESPESAS!$M:$M, $E$5, DESPESAS!$J:$J, "&lt;&gt;Cancelada")</f>
        <v/>
      </c>
      <c r="F41" s="55">
        <f>SUMIFS(DESPESAS!$H:$H, DESPESAS!$E:$E, "11.4 Seguro predial e instalação", DESPESAS!$L:$L, 3, DESPESAS!$M:$M, $E$5, DESPESAS!$J:$J, "&lt;&gt;Cancelada")</f>
        <v/>
      </c>
      <c r="G41" s="55">
        <f>SUMIFS(DESPESAS!$H:$H, DESPESAS!$E:$E, "11.4 Seguro predial e instalação", DESPESAS!$L:$L, 4, DESPESAS!$M:$M, $E$5, DESPESAS!$J:$J, "&lt;&gt;Cancelada")</f>
        <v/>
      </c>
      <c r="H41" s="55">
        <f>SUMIFS(DESPESAS!$H:$H, DESPESAS!$E:$E, "11.4 Seguro predial e instalação", DESPESAS!$L:$L, 5, DESPESAS!$M:$M, $E$5, DESPESAS!$J:$J, "&lt;&gt;Cancelada")</f>
        <v/>
      </c>
      <c r="I41" s="55">
        <f>SUMIFS(DESPESAS!$H:$H, DESPESAS!$E:$E, "11.4 Seguro predial e instalação", DESPESAS!$L:$L, 6, DESPESAS!$M:$M, $E$5, DESPESAS!$J:$J, "&lt;&gt;Cancelada")</f>
        <v/>
      </c>
      <c r="J41" s="55">
        <f>SUMIFS(DESPESAS!$H:$H, DESPESAS!$E:$E, "11.4 Seguro predial e instalação", DESPESAS!$L:$L, 7, DESPESAS!$M:$M, $E$5, DESPESAS!$J:$J, "&lt;&gt;Cancelada")</f>
        <v/>
      </c>
      <c r="K41" s="55">
        <f>SUMIFS(DESPESAS!$H:$H, DESPESAS!$E:$E, "11.4 Seguro predial e instalação", DESPESAS!$L:$L, 8, DESPESAS!$M:$M, $E$5, DESPESAS!$J:$J, "&lt;&gt;Cancelada")</f>
        <v/>
      </c>
      <c r="L41" s="55">
        <f>SUMIFS(DESPESAS!$H:$H, DESPESAS!$E:$E, "11.4 Seguro predial e instalação", DESPESAS!$L:$L, 9, DESPESAS!$M:$M, $E$5, DESPESAS!$J:$J, "&lt;&gt;Cancelada")</f>
        <v/>
      </c>
      <c r="M41" s="55">
        <f>SUMIFS(DESPESAS!$H:$H, DESPESAS!$E:$E, "11.4 Seguro predial e instalação", DESPESAS!$L:$L, 10, DESPESAS!$M:$M, $E$5, DESPESAS!$J:$J, "&lt;&gt;Cancelada")</f>
        <v/>
      </c>
      <c r="N41" s="55">
        <f>SUMIFS(DESPESAS!$H:$H, DESPESAS!$E:$E, "11.4 Seguro predial e instalação", DESPESAS!$L:$L, 11, DESPESAS!$M:$M, $E$5, DESPESAS!$J:$J, "&lt;&gt;Cancelada")</f>
        <v/>
      </c>
      <c r="O41" s="55">
        <f>SUMIFS(DESPESAS!$H:$H, DESPESAS!$E:$E, "11.4 Seguro predial e instalação", DESPESAS!$L:$L, 12, DESPESAS!$M:$M, $E$5, DESPESAS!$J:$J, "&lt;&gt;Cancelada")</f>
        <v/>
      </c>
      <c r="P41" s="55">
        <f>SUM(D41:O41)</f>
        <v/>
      </c>
      <c r="Q41" s="56">
        <f>IFERROR(P41/$P$19, 0)</f>
        <v/>
      </c>
    </row>
    <row r="42" ht="19.05" customHeight="1">
      <c r="B42" s="53" t="inlineStr">
        <is>
          <t>11.5</t>
        </is>
      </c>
      <c r="C42" s="54" t="inlineStr">
        <is>
          <t>Seguro produtos</t>
        </is>
      </c>
      <c r="D42" s="55">
        <f>SUMIFS(DESPESAS!$H:$H, DESPESAS!$E:$E, "11.5 Seguro produtos", DESPESAS!$L:$L, 1, DESPESAS!$M:$M, $E$5, DESPESAS!$J:$J, "&lt;&gt;Cancelada")</f>
        <v/>
      </c>
      <c r="E42" s="55">
        <f>SUMIFS(DESPESAS!$H:$H, DESPESAS!$E:$E, "11.5 Seguro produtos", DESPESAS!$L:$L, 2, DESPESAS!$M:$M, $E$5, DESPESAS!$J:$J, "&lt;&gt;Cancelada")</f>
        <v/>
      </c>
      <c r="F42" s="55">
        <f>SUMIFS(DESPESAS!$H:$H, DESPESAS!$E:$E, "11.5 Seguro produtos", DESPESAS!$L:$L, 3, DESPESAS!$M:$M, $E$5, DESPESAS!$J:$J, "&lt;&gt;Cancelada")</f>
        <v/>
      </c>
      <c r="G42" s="55">
        <f>SUMIFS(DESPESAS!$H:$H, DESPESAS!$E:$E, "11.5 Seguro produtos", DESPESAS!$L:$L, 4, DESPESAS!$M:$M, $E$5, DESPESAS!$J:$J, "&lt;&gt;Cancelada")</f>
        <v/>
      </c>
      <c r="H42" s="55">
        <f>SUMIFS(DESPESAS!$H:$H, DESPESAS!$E:$E, "11.5 Seguro produtos", DESPESAS!$L:$L, 5, DESPESAS!$M:$M, $E$5, DESPESAS!$J:$J, "&lt;&gt;Cancelada")</f>
        <v/>
      </c>
      <c r="I42" s="55">
        <f>SUMIFS(DESPESAS!$H:$H, DESPESAS!$E:$E, "11.5 Seguro produtos", DESPESAS!$L:$L, 6, DESPESAS!$M:$M, $E$5, DESPESAS!$J:$J, "&lt;&gt;Cancelada")</f>
        <v/>
      </c>
      <c r="J42" s="55">
        <f>SUMIFS(DESPESAS!$H:$H, DESPESAS!$E:$E, "11.5 Seguro produtos", DESPESAS!$L:$L, 7, DESPESAS!$M:$M, $E$5, DESPESAS!$J:$J, "&lt;&gt;Cancelada")</f>
        <v/>
      </c>
      <c r="K42" s="55">
        <f>SUMIFS(DESPESAS!$H:$H, DESPESAS!$E:$E, "11.5 Seguro produtos", DESPESAS!$L:$L, 8, DESPESAS!$M:$M, $E$5, DESPESAS!$J:$J, "&lt;&gt;Cancelada")</f>
        <v/>
      </c>
      <c r="L42" s="55">
        <f>SUMIFS(DESPESAS!$H:$H, DESPESAS!$E:$E, "11.5 Seguro produtos", DESPESAS!$L:$L, 9, DESPESAS!$M:$M, $E$5, DESPESAS!$J:$J, "&lt;&gt;Cancelada")</f>
        <v/>
      </c>
      <c r="M42" s="55">
        <f>SUMIFS(DESPESAS!$H:$H, DESPESAS!$E:$E, "11.5 Seguro produtos", DESPESAS!$L:$L, 10, DESPESAS!$M:$M, $E$5, DESPESAS!$J:$J, "&lt;&gt;Cancelada")</f>
        <v/>
      </c>
      <c r="N42" s="55">
        <f>SUMIFS(DESPESAS!$H:$H, DESPESAS!$E:$E, "11.5 Seguro produtos", DESPESAS!$L:$L, 11, DESPESAS!$M:$M, $E$5, DESPESAS!$J:$J, "&lt;&gt;Cancelada")</f>
        <v/>
      </c>
      <c r="O42" s="55">
        <f>SUMIFS(DESPESAS!$H:$H, DESPESAS!$E:$E, "11.5 Seguro produtos", DESPESAS!$L:$L, 12, DESPESAS!$M:$M, $E$5, DESPESAS!$J:$J, "&lt;&gt;Cancelada")</f>
        <v/>
      </c>
      <c r="P42" s="55">
        <f>SUM(D42:O42)</f>
        <v/>
      </c>
      <c r="Q42" s="56">
        <f>IFERROR(P42/$P$19, 0)</f>
        <v/>
      </c>
    </row>
    <row r="43" ht="19.05" customHeight="1">
      <c r="B43" s="53" t="inlineStr">
        <is>
          <t>11.6</t>
        </is>
      </c>
      <c r="C43" s="54" t="inlineStr">
        <is>
          <t>Depreciação</t>
        </is>
      </c>
      <c r="D43" s="55">
        <f>SUMIFS(DESPESAS!$H:$H, DESPESAS!$E:$E, "11.6 Depreciação", DESPESAS!$L:$L, 1, DESPESAS!$M:$M, $E$5, DESPESAS!$J:$J, "&lt;&gt;Cancelada")</f>
        <v/>
      </c>
      <c r="E43" s="55">
        <f>SUMIFS(DESPESAS!$H:$H, DESPESAS!$E:$E, "11.6 Depreciação", DESPESAS!$L:$L, 2, DESPESAS!$M:$M, $E$5, DESPESAS!$J:$J, "&lt;&gt;Cancelada")</f>
        <v/>
      </c>
      <c r="F43" s="55">
        <f>SUMIFS(DESPESAS!$H:$H, DESPESAS!$E:$E, "11.6 Depreciação", DESPESAS!$L:$L, 3, DESPESAS!$M:$M, $E$5, DESPESAS!$J:$J, "&lt;&gt;Cancelada")</f>
        <v/>
      </c>
      <c r="G43" s="55">
        <f>SUMIFS(DESPESAS!$H:$H, DESPESAS!$E:$E, "11.6 Depreciação", DESPESAS!$L:$L, 4, DESPESAS!$M:$M, $E$5, DESPESAS!$J:$J, "&lt;&gt;Cancelada")</f>
        <v/>
      </c>
      <c r="H43" s="55">
        <f>SUMIFS(DESPESAS!$H:$H, DESPESAS!$E:$E, "11.6 Depreciação", DESPESAS!$L:$L, 5, DESPESAS!$M:$M, $E$5, DESPESAS!$J:$J, "&lt;&gt;Cancelada")</f>
        <v/>
      </c>
      <c r="I43" s="55">
        <f>SUMIFS(DESPESAS!$H:$H, DESPESAS!$E:$E, "11.6 Depreciação", DESPESAS!$L:$L, 6, DESPESAS!$M:$M, $E$5, DESPESAS!$J:$J, "&lt;&gt;Cancelada")</f>
        <v/>
      </c>
      <c r="J43" s="55">
        <f>SUMIFS(DESPESAS!$H:$H, DESPESAS!$E:$E, "11.6 Depreciação", DESPESAS!$L:$L, 7, DESPESAS!$M:$M, $E$5, DESPESAS!$J:$J, "&lt;&gt;Cancelada")</f>
        <v/>
      </c>
      <c r="K43" s="55">
        <f>SUMIFS(DESPESAS!$H:$H, DESPESAS!$E:$E, "11.6 Depreciação", DESPESAS!$L:$L, 8, DESPESAS!$M:$M, $E$5, DESPESAS!$J:$J, "&lt;&gt;Cancelada")</f>
        <v/>
      </c>
      <c r="L43" s="55">
        <f>SUMIFS(DESPESAS!$H:$H, DESPESAS!$E:$E, "11.6 Depreciação", DESPESAS!$L:$L, 9, DESPESAS!$M:$M, $E$5, DESPESAS!$J:$J, "&lt;&gt;Cancelada")</f>
        <v/>
      </c>
      <c r="M43" s="55">
        <f>SUMIFS(DESPESAS!$H:$H, DESPESAS!$E:$E, "11.6 Depreciação", DESPESAS!$L:$L, 10, DESPESAS!$M:$M, $E$5, DESPESAS!$J:$J, "&lt;&gt;Cancelada")</f>
        <v/>
      </c>
      <c r="N43" s="55">
        <f>SUMIFS(DESPESAS!$H:$H, DESPESAS!$E:$E, "11.6 Depreciação", DESPESAS!$L:$L, 11, DESPESAS!$M:$M, $E$5, DESPESAS!$J:$J, "&lt;&gt;Cancelada")</f>
        <v/>
      </c>
      <c r="O43" s="55">
        <f>SUMIFS(DESPESAS!$H:$H, DESPESAS!$E:$E, "11.6 Depreciação", DESPESAS!$L:$L, 12, DESPESAS!$M:$M, $E$5, DESPESAS!$J:$J, "&lt;&gt;Cancelada")</f>
        <v/>
      </c>
      <c r="P43" s="55">
        <f>SUM(D43:O43)</f>
        <v/>
      </c>
      <c r="Q43" s="56">
        <f>IFERROR(P43/$P$19, 0)</f>
        <v/>
      </c>
    </row>
    <row r="44" ht="19.05" customHeight="1">
      <c r="B44" s="53" t="inlineStr">
        <is>
          <t>11.7</t>
        </is>
      </c>
      <c r="C44" s="54" t="inlineStr">
        <is>
          <t>Custo da Venda de Bens e Direitos do Ativo Não Circulante</t>
        </is>
      </c>
      <c r="D44" s="55">
        <f>SUMIFS(DESPESAS!$H:$H, DESPESAS!$E:$E, "11.7 Custo da Venda de Bens e Direitos do Ativo Não Circulante", DESPESAS!$L:$L, 1, DESPESAS!$M:$M, $E$5, DESPESAS!$J:$J, "&lt;&gt;Cancelada")</f>
        <v/>
      </c>
      <c r="E44" s="55">
        <f>SUMIFS(DESPESAS!$H:$H, DESPESAS!$E:$E, "11.7 Custo da Venda de Bens e Direitos do Ativo Não Circulante", DESPESAS!$L:$L, 2, DESPESAS!$M:$M, $E$5, DESPESAS!$J:$J, "&lt;&gt;Cancelada")</f>
        <v/>
      </c>
      <c r="F44" s="55">
        <f>SUMIFS(DESPESAS!$H:$H, DESPESAS!$E:$E, "11.7 Custo da Venda de Bens e Direitos do Ativo Não Circulante", DESPESAS!$L:$L, 3, DESPESAS!$M:$M, $E$5, DESPESAS!$J:$J, "&lt;&gt;Cancelada")</f>
        <v/>
      </c>
      <c r="G44" s="55">
        <f>SUMIFS(DESPESAS!$H:$H, DESPESAS!$E:$E, "11.7 Custo da Venda de Bens e Direitos do Ativo Não Circulante", DESPESAS!$L:$L, 4, DESPESAS!$M:$M, $E$5, DESPESAS!$J:$J, "&lt;&gt;Cancelada")</f>
        <v/>
      </c>
      <c r="H44" s="55">
        <f>SUMIFS(DESPESAS!$H:$H, DESPESAS!$E:$E, "11.7 Custo da Venda de Bens e Direitos do Ativo Não Circulante", DESPESAS!$L:$L, 5, DESPESAS!$M:$M, $E$5, DESPESAS!$J:$J, "&lt;&gt;Cancelada")</f>
        <v/>
      </c>
      <c r="I44" s="55">
        <f>SUMIFS(DESPESAS!$H:$H, DESPESAS!$E:$E, "11.7 Custo da Venda de Bens e Direitos do Ativo Não Circulante", DESPESAS!$L:$L, 6, DESPESAS!$M:$M, $E$5, DESPESAS!$J:$J, "&lt;&gt;Cancelada")</f>
        <v/>
      </c>
      <c r="J44" s="55">
        <f>SUMIFS(DESPESAS!$H:$H, DESPESAS!$E:$E, "11.7 Custo da Venda de Bens e Direitos do Ativo Não Circulante", DESPESAS!$L:$L, 7, DESPESAS!$M:$M, $E$5, DESPESAS!$J:$J, "&lt;&gt;Cancelada")</f>
        <v/>
      </c>
      <c r="K44" s="55">
        <f>SUMIFS(DESPESAS!$H:$H, DESPESAS!$E:$E, "11.7 Custo da Venda de Bens e Direitos do Ativo Não Circulante", DESPESAS!$L:$L, 8, DESPESAS!$M:$M, $E$5, DESPESAS!$J:$J, "&lt;&gt;Cancelada")</f>
        <v/>
      </c>
      <c r="L44" s="55">
        <f>SUMIFS(DESPESAS!$H:$H, DESPESAS!$E:$E, "11.7 Custo da Venda de Bens e Direitos do Ativo Não Circulante", DESPESAS!$L:$L, 9, DESPESAS!$M:$M, $E$5, DESPESAS!$J:$J, "&lt;&gt;Cancelada")</f>
        <v/>
      </c>
      <c r="M44" s="55">
        <f>SUMIFS(DESPESAS!$H:$H, DESPESAS!$E:$E, "11.7 Custo da Venda de Bens e Direitos do Ativo Não Circulante", DESPESAS!$L:$L, 10, DESPESAS!$M:$M, $E$5, DESPESAS!$J:$J, "&lt;&gt;Cancelada")</f>
        <v/>
      </c>
      <c r="N44" s="55">
        <f>SUMIFS(DESPESAS!$H:$H, DESPESAS!$E:$E, "11.7 Custo da Venda de Bens e Direitos do Ativo Não Circulante", DESPESAS!$L:$L, 11, DESPESAS!$M:$M, $E$5, DESPESAS!$J:$J, "&lt;&gt;Cancelada")</f>
        <v/>
      </c>
      <c r="O44" s="55">
        <f>SUMIFS(DESPESAS!$H:$H, DESPESAS!$E:$E, "11.7 Custo da Venda de Bens e Direitos do Ativo Não Circulante", DESPESAS!$L:$L, 12, DESPESAS!$M:$M, $E$5, DESPESAS!$J:$J, "&lt;&gt;Cancelada")</f>
        <v/>
      </c>
      <c r="P44" s="55">
        <f>SUM(D44:O44)</f>
        <v/>
      </c>
      <c r="Q44" s="56">
        <f>IFERROR(P44/$P$19, 0)</f>
        <v/>
      </c>
    </row>
    <row r="45" ht="19.05" customHeight="1">
      <c r="B45" s="57" t="inlineStr">
        <is>
          <t>12</t>
        </is>
      </c>
      <c r="C45" s="58" t="inlineStr">
        <is>
          <t>RESULTADO OPERACIONAL ANTES DO IR/CSLL (5-6+9+10-11)</t>
        </is>
      </c>
      <c r="D45" s="59">
        <f>D23-D24+D33+D34-D37</f>
        <v/>
      </c>
      <c r="E45" s="59">
        <f>E23-E24+E33+E34-E37</f>
        <v/>
      </c>
      <c r="F45" s="59">
        <f>F23-F24+F33+F34-F37</f>
        <v/>
      </c>
      <c r="G45" s="59">
        <f>G23-G24+G33+G34-G37</f>
        <v/>
      </c>
      <c r="H45" s="59">
        <f>H23-H24+H33+H34-H37</f>
        <v/>
      </c>
      <c r="I45" s="59">
        <f>I23-I24+I33+I34-I37</f>
        <v/>
      </c>
      <c r="J45" s="59">
        <f>J23-J24+J33+J34-J37</f>
        <v/>
      </c>
      <c r="K45" s="59">
        <f>K23-K24+K33+K34-K37</f>
        <v/>
      </c>
      <c r="L45" s="59">
        <f>L23-L24+L33+L34-L37</f>
        <v/>
      </c>
      <c r="M45" s="59">
        <f>M23-M24+M33+M34-M37</f>
        <v/>
      </c>
      <c r="N45" s="59">
        <f>N23-N24+N33+N34-N37</f>
        <v/>
      </c>
      <c r="O45" s="59">
        <f>O23-O24+O33+O34-O37</f>
        <v/>
      </c>
      <c r="P45" s="59">
        <f>SUM(D45:O45)</f>
        <v/>
      </c>
      <c r="Q45" s="60">
        <f>IFERROR(P45/$P$19, 0)</f>
        <v/>
      </c>
    </row>
    <row r="46" ht="19.05" customHeight="1">
      <c r="B46" s="49" t="inlineStr">
        <is>
          <t>13</t>
        </is>
      </c>
      <c r="C46" s="50" t="inlineStr">
        <is>
          <t>Provisão para IR e CSLL</t>
        </is>
      </c>
      <c r="D46" s="51">
        <f>SUM(D47:D48)</f>
        <v/>
      </c>
      <c r="E46" s="51">
        <f>SUM(E47:E48)</f>
        <v/>
      </c>
      <c r="F46" s="51">
        <f>SUM(F47:F48)</f>
        <v/>
      </c>
      <c r="G46" s="51">
        <f>SUM(G47:G48)</f>
        <v/>
      </c>
      <c r="H46" s="51">
        <f>SUM(H47:H48)</f>
        <v/>
      </c>
      <c r="I46" s="51">
        <f>SUM(I47:I48)</f>
        <v/>
      </c>
      <c r="J46" s="51">
        <f>SUM(J47:J48)</f>
        <v/>
      </c>
      <c r="K46" s="51">
        <f>SUM(K47:K48)</f>
        <v/>
      </c>
      <c r="L46" s="51">
        <f>SUM(L47:L48)</f>
        <v/>
      </c>
      <c r="M46" s="51">
        <f>SUM(M47:M48)</f>
        <v/>
      </c>
      <c r="N46" s="51">
        <f>SUM(N47:N48)</f>
        <v/>
      </c>
      <c r="O46" s="51">
        <f>SUM(O47:O48)</f>
        <v/>
      </c>
      <c r="P46" s="51">
        <f>SUM(D46:O46)</f>
        <v/>
      </c>
      <c r="Q46" s="52">
        <f>IFERROR(P46/$P$19, 0)</f>
        <v/>
      </c>
    </row>
    <row r="47" ht="19.05" customHeight="1">
      <c r="B47" s="53" t="inlineStr">
        <is>
          <t>13.1</t>
        </is>
      </c>
      <c r="C47" s="54" t="inlineStr">
        <is>
          <t>Imposto de Renda</t>
        </is>
      </c>
      <c r="D47" s="55">
        <f>SUMIFS(DESPESAS!$H:$H, DESPESAS!$E:$E, "13.1 Imposto de Renda", DESPESAS!$L:$L, 1, DESPESAS!$M:$M, $E$5, DESPESAS!$J:$J, "&lt;&gt;Cancelada")</f>
        <v/>
      </c>
      <c r="E47" s="55">
        <f>SUMIFS(DESPESAS!$H:$H, DESPESAS!$E:$E, "13.1 Imposto de Renda", DESPESAS!$L:$L, 2, DESPESAS!$M:$M, $E$5, DESPESAS!$J:$J, "&lt;&gt;Cancelada")</f>
        <v/>
      </c>
      <c r="F47" s="55">
        <f>SUMIFS(DESPESAS!$H:$H, DESPESAS!$E:$E, "13.1 Imposto de Renda", DESPESAS!$L:$L, 3, DESPESAS!$M:$M, $E$5, DESPESAS!$J:$J, "&lt;&gt;Cancelada")</f>
        <v/>
      </c>
      <c r="G47" s="55">
        <f>SUMIFS(DESPESAS!$H:$H, DESPESAS!$E:$E, "13.1 Imposto de Renda", DESPESAS!$L:$L, 4, DESPESAS!$M:$M, $E$5, DESPESAS!$J:$J, "&lt;&gt;Cancelada")</f>
        <v/>
      </c>
      <c r="H47" s="55">
        <f>SUMIFS(DESPESAS!$H:$H, DESPESAS!$E:$E, "13.1 Imposto de Renda", DESPESAS!$L:$L, 5, DESPESAS!$M:$M, $E$5, DESPESAS!$J:$J, "&lt;&gt;Cancelada")</f>
        <v/>
      </c>
      <c r="I47" s="55">
        <f>SUMIFS(DESPESAS!$H:$H, DESPESAS!$E:$E, "13.1 Imposto de Renda", DESPESAS!$L:$L, 6, DESPESAS!$M:$M, $E$5, DESPESAS!$J:$J, "&lt;&gt;Cancelada")</f>
        <v/>
      </c>
      <c r="J47" s="55">
        <f>SUMIFS(DESPESAS!$H:$H, DESPESAS!$E:$E, "13.1 Imposto de Renda", DESPESAS!$L:$L, 7, DESPESAS!$M:$M, $E$5, DESPESAS!$J:$J, "&lt;&gt;Cancelada")</f>
        <v/>
      </c>
      <c r="K47" s="55">
        <f>SUMIFS(DESPESAS!$H:$H, DESPESAS!$E:$E, "13.1 Imposto de Renda", DESPESAS!$L:$L, 8, DESPESAS!$M:$M, $E$5, DESPESAS!$J:$J, "&lt;&gt;Cancelada")</f>
        <v/>
      </c>
      <c r="L47" s="55">
        <f>SUMIFS(DESPESAS!$H:$H, DESPESAS!$E:$E, "13.1 Imposto de Renda", DESPESAS!$L:$L, 9, DESPESAS!$M:$M, $E$5, DESPESAS!$J:$J, "&lt;&gt;Cancelada")</f>
        <v/>
      </c>
      <c r="M47" s="55">
        <f>SUMIFS(DESPESAS!$H:$H, DESPESAS!$E:$E, "13.1 Imposto de Renda", DESPESAS!$L:$L, 10, DESPESAS!$M:$M, $E$5, DESPESAS!$J:$J, "&lt;&gt;Cancelada")</f>
        <v/>
      </c>
      <c r="N47" s="55">
        <f>SUMIFS(DESPESAS!$H:$H, DESPESAS!$E:$E, "13.1 Imposto de Renda", DESPESAS!$L:$L, 11, DESPESAS!$M:$M, $E$5, DESPESAS!$J:$J, "&lt;&gt;Cancelada")</f>
        <v/>
      </c>
      <c r="O47" s="55">
        <f>SUMIFS(DESPESAS!$H:$H, DESPESAS!$E:$E, "13.1 Imposto de Renda", DESPESAS!$L:$L, 12, DESPESAS!$M:$M, $E$5, DESPESAS!$J:$J, "&lt;&gt;Cancelada")</f>
        <v/>
      </c>
      <c r="P47" s="55">
        <f>SUM(D47:O47)</f>
        <v/>
      </c>
      <c r="Q47" s="56">
        <f>IFERROR(P47/$P$19, 0)</f>
        <v/>
      </c>
    </row>
    <row r="48" ht="19.05" customHeight="1">
      <c r="B48" s="53" t="inlineStr">
        <is>
          <t>13.2</t>
        </is>
      </c>
      <c r="C48" s="54" t="inlineStr">
        <is>
          <t>Contribuição Social sobre o Lucro Líquido</t>
        </is>
      </c>
      <c r="D48" s="55">
        <f>SUMIFS(DESPESAS!$H:$H, DESPESAS!$E:$E, "13.2 Contribuição Social sobre o Lucro Líquido", DESPESAS!$L:$L, 1, DESPESAS!$M:$M, $E$5, DESPESAS!$J:$J, "&lt;&gt;Cancelada")</f>
        <v/>
      </c>
      <c r="E48" s="55">
        <f>SUMIFS(DESPESAS!$H:$H, DESPESAS!$E:$E, "13.2 Contribuição Social sobre o Lucro Líquido", DESPESAS!$L:$L, 2, DESPESAS!$M:$M, $E$5, DESPESAS!$J:$J, "&lt;&gt;Cancelada")</f>
        <v/>
      </c>
      <c r="F48" s="55">
        <f>SUMIFS(DESPESAS!$H:$H, DESPESAS!$E:$E, "13.2 Contribuição Social sobre o Lucro Líquido", DESPESAS!$L:$L, 3, DESPESAS!$M:$M, $E$5, DESPESAS!$J:$J, "&lt;&gt;Cancelada")</f>
        <v/>
      </c>
      <c r="G48" s="55">
        <f>SUMIFS(DESPESAS!$H:$H, DESPESAS!$E:$E, "13.2 Contribuição Social sobre o Lucro Líquido", DESPESAS!$L:$L, 4, DESPESAS!$M:$M, $E$5, DESPESAS!$J:$J, "&lt;&gt;Cancelada")</f>
        <v/>
      </c>
      <c r="H48" s="55">
        <f>SUMIFS(DESPESAS!$H:$H, DESPESAS!$E:$E, "13.2 Contribuição Social sobre o Lucro Líquido", DESPESAS!$L:$L, 5, DESPESAS!$M:$M, $E$5, DESPESAS!$J:$J, "&lt;&gt;Cancelada")</f>
        <v/>
      </c>
      <c r="I48" s="55">
        <f>SUMIFS(DESPESAS!$H:$H, DESPESAS!$E:$E, "13.2 Contribuição Social sobre o Lucro Líquido", DESPESAS!$L:$L, 6, DESPESAS!$M:$M, $E$5, DESPESAS!$J:$J, "&lt;&gt;Cancelada")</f>
        <v/>
      </c>
      <c r="J48" s="55">
        <f>SUMIFS(DESPESAS!$H:$H, DESPESAS!$E:$E, "13.2 Contribuição Social sobre o Lucro Líquido", DESPESAS!$L:$L, 7, DESPESAS!$M:$M, $E$5, DESPESAS!$J:$J, "&lt;&gt;Cancelada")</f>
        <v/>
      </c>
      <c r="K48" s="55">
        <f>SUMIFS(DESPESAS!$H:$H, DESPESAS!$E:$E, "13.2 Contribuição Social sobre o Lucro Líquido", DESPESAS!$L:$L, 8, DESPESAS!$M:$M, $E$5, DESPESAS!$J:$J, "&lt;&gt;Cancelada")</f>
        <v/>
      </c>
      <c r="L48" s="55">
        <f>SUMIFS(DESPESAS!$H:$H, DESPESAS!$E:$E, "13.2 Contribuição Social sobre o Lucro Líquido", DESPESAS!$L:$L, 9, DESPESAS!$M:$M, $E$5, DESPESAS!$J:$J, "&lt;&gt;Cancelada")</f>
        <v/>
      </c>
      <c r="M48" s="55">
        <f>SUMIFS(DESPESAS!$H:$H, DESPESAS!$E:$E, "13.2 Contribuição Social sobre o Lucro Líquido", DESPESAS!$L:$L, 10, DESPESAS!$M:$M, $E$5, DESPESAS!$J:$J, "&lt;&gt;Cancelada")</f>
        <v/>
      </c>
      <c r="N48" s="55">
        <f>SUMIFS(DESPESAS!$H:$H, DESPESAS!$E:$E, "13.2 Contribuição Social sobre o Lucro Líquido", DESPESAS!$L:$L, 11, DESPESAS!$M:$M, $E$5, DESPESAS!$J:$J, "&lt;&gt;Cancelada")</f>
        <v/>
      </c>
      <c r="O48" s="55">
        <f>SUMIFS(DESPESAS!$H:$H, DESPESAS!$E:$E, "13.2 Contribuição Social sobre o Lucro Líquido", DESPESAS!$L:$L, 12, DESPESAS!$M:$M, $E$5, DESPESAS!$J:$J, "&lt;&gt;Cancelada")</f>
        <v/>
      </c>
      <c r="P48" s="55">
        <f>SUM(D48:O48)</f>
        <v/>
      </c>
      <c r="Q48" s="56">
        <f>IFERROR(P48/$P$19, 0)</f>
        <v/>
      </c>
    </row>
    <row r="49" ht="23" customHeight="1">
      <c r="B49" s="61" t="inlineStr">
        <is>
          <t>14</t>
        </is>
      </c>
      <c r="C49" s="62" t="inlineStr">
        <is>
          <t>RESULTADO OPERACIONAL LÍQUIDO (12 - 13)</t>
        </is>
      </c>
      <c r="D49" s="63">
        <f>D45-D46</f>
        <v/>
      </c>
      <c r="E49" s="63">
        <f>E45-E46</f>
        <v/>
      </c>
      <c r="F49" s="63">
        <f>F45-F46</f>
        <v/>
      </c>
      <c r="G49" s="63">
        <f>G45-G46</f>
        <v/>
      </c>
      <c r="H49" s="63">
        <f>H45-H46</f>
        <v/>
      </c>
      <c r="I49" s="63">
        <f>I45-I46</f>
        <v/>
      </c>
      <c r="J49" s="63">
        <f>J45-J46</f>
        <v/>
      </c>
      <c r="K49" s="63">
        <f>K45-K46</f>
        <v/>
      </c>
      <c r="L49" s="63">
        <f>L45-L46</f>
        <v/>
      </c>
      <c r="M49" s="63">
        <f>M45-M46</f>
        <v/>
      </c>
      <c r="N49" s="63">
        <f>N45-N46</f>
        <v/>
      </c>
      <c r="O49" s="63">
        <f>O45-O46</f>
        <v/>
      </c>
      <c r="P49" s="63">
        <f>SUM(D49:O49)</f>
        <v/>
      </c>
      <c r="Q49" s="64">
        <f>IFERROR(P49/$P$19, 0)</f>
        <v/>
      </c>
    </row>
    <row r="50"/>
    <row r="51" ht="22.05" customHeight="1">
      <c r="B51" s="65" t="inlineStr">
        <is>
          <t>📈 INDICADORES DE RESULTADOS E RENTABILIDADE MENSAL (%)</t>
        </is>
      </c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7" t="n"/>
    </row>
    <row r="52">
      <c r="B52" s="68" t="inlineStr">
        <is>
          <t>IND.1</t>
        </is>
      </c>
      <c r="C52" s="69" t="inlineStr">
        <is>
          <t>Margem Bruta (Resultado Bruto / Vendas Líquidas)</t>
        </is>
      </c>
      <c r="D52" s="70">
        <f>IFERROR(D23/D$19, 0)</f>
        <v/>
      </c>
      <c r="E52" s="70">
        <f>IFERROR(E23/E$19, 0)</f>
        <v/>
      </c>
      <c r="F52" s="70">
        <f>IFERROR(F23/F$19, 0)</f>
        <v/>
      </c>
      <c r="G52" s="70">
        <f>IFERROR(G23/G$19, 0)</f>
        <v/>
      </c>
      <c r="H52" s="70">
        <f>IFERROR(H23/H$19, 0)</f>
        <v/>
      </c>
      <c r="I52" s="70">
        <f>IFERROR(I23/I$19, 0)</f>
        <v/>
      </c>
      <c r="J52" s="70">
        <f>IFERROR(J23/J$19, 0)</f>
        <v/>
      </c>
      <c r="K52" s="70">
        <f>IFERROR(K23/K$19, 0)</f>
        <v/>
      </c>
      <c r="L52" s="70">
        <f>IFERROR(L23/L$19, 0)</f>
        <v/>
      </c>
      <c r="M52" s="70">
        <f>IFERROR(M23/M$19, 0)</f>
        <v/>
      </c>
      <c r="N52" s="70">
        <f>IFERROR(N23/N$19, 0)</f>
        <v/>
      </c>
      <c r="O52" s="70">
        <f>IFERROR(O23/O$19, 0)</f>
        <v/>
      </c>
      <c r="P52" s="70">
        <f>IFERROR(P23/P$19, 0)</f>
        <v/>
      </c>
      <c r="Q52" s="70">
        <f>P52</f>
        <v/>
      </c>
    </row>
    <row r="53">
      <c r="B53" s="68" t="inlineStr">
        <is>
          <t>IND.2</t>
        </is>
      </c>
      <c r="C53" s="69" t="inlineStr">
        <is>
          <t>Margem Operacional (Resultado Operacional / Vendas Líquidas)</t>
        </is>
      </c>
      <c r="D53" s="70">
        <f>IFERROR(D45/D$19, 0)</f>
        <v/>
      </c>
      <c r="E53" s="70">
        <f>IFERROR(E45/E$19, 0)</f>
        <v/>
      </c>
      <c r="F53" s="70">
        <f>IFERROR(F45/F$19, 0)</f>
        <v/>
      </c>
      <c r="G53" s="70">
        <f>IFERROR(G45/G$19, 0)</f>
        <v/>
      </c>
      <c r="H53" s="70">
        <f>IFERROR(H45/H$19, 0)</f>
        <v/>
      </c>
      <c r="I53" s="70">
        <f>IFERROR(I45/I$19, 0)</f>
        <v/>
      </c>
      <c r="J53" s="70">
        <f>IFERROR(J45/J$19, 0)</f>
        <v/>
      </c>
      <c r="K53" s="70">
        <f>IFERROR(K45/K$19, 0)</f>
        <v/>
      </c>
      <c r="L53" s="70">
        <f>IFERROR(L45/L$19, 0)</f>
        <v/>
      </c>
      <c r="M53" s="70">
        <f>IFERROR(M45/M$19, 0)</f>
        <v/>
      </c>
      <c r="N53" s="70">
        <f>IFERROR(N45/N$19, 0)</f>
        <v/>
      </c>
      <c r="O53" s="70">
        <f>IFERROR(O45/O$19, 0)</f>
        <v/>
      </c>
      <c r="P53" s="70">
        <f>IFERROR(P45/P$19, 0)</f>
        <v/>
      </c>
      <c r="Q53" s="70">
        <f>P53</f>
        <v/>
      </c>
    </row>
    <row r="54">
      <c r="B54" s="68" t="inlineStr">
        <is>
          <t>IND.3</t>
        </is>
      </c>
      <c r="C54" s="69" t="inlineStr">
        <is>
          <t>Lucratividade Líquida (Resultado Líquido / Vendas Líquidas)</t>
        </is>
      </c>
      <c r="D54" s="70">
        <f>IFERROR(D49/D$19, 0)</f>
        <v/>
      </c>
      <c r="E54" s="70">
        <f>IFERROR(E49/E$19, 0)</f>
        <v/>
      </c>
      <c r="F54" s="70">
        <f>IFERROR(F49/F$19, 0)</f>
        <v/>
      </c>
      <c r="G54" s="70">
        <f>IFERROR(G49/G$19, 0)</f>
        <v/>
      </c>
      <c r="H54" s="70">
        <f>IFERROR(H49/H$19, 0)</f>
        <v/>
      </c>
      <c r="I54" s="70">
        <f>IFERROR(I49/I$19, 0)</f>
        <v/>
      </c>
      <c r="J54" s="70">
        <f>IFERROR(J49/J$19, 0)</f>
        <v/>
      </c>
      <c r="K54" s="70">
        <f>IFERROR(K49/K$19, 0)</f>
        <v/>
      </c>
      <c r="L54" s="70">
        <f>IFERROR(L49/L$19, 0)</f>
        <v/>
      </c>
      <c r="M54" s="70">
        <f>IFERROR(M49/M$19, 0)</f>
        <v/>
      </c>
      <c r="N54" s="70">
        <f>IFERROR(N49/N$19, 0)</f>
        <v/>
      </c>
      <c r="O54" s="70">
        <f>IFERROR(O49/O$19, 0)</f>
        <v/>
      </c>
      <c r="P54" s="70">
        <f>IFERROR(P49/P$19, 0)</f>
        <v/>
      </c>
      <c r="Q54" s="70">
        <f>P54</f>
        <v/>
      </c>
    </row>
  </sheetData>
  <mergeCells count="14">
    <mergeCell ref="J7:L7"/>
    <mergeCell ref="D7:F7"/>
    <mergeCell ref="P8:Q9"/>
    <mergeCell ref="B8:C9"/>
    <mergeCell ref="B7:C7"/>
    <mergeCell ref="P7:Q7"/>
    <mergeCell ref="G8:I9"/>
    <mergeCell ref="M7:O7"/>
    <mergeCell ref="J8:L9"/>
    <mergeCell ref="M8:O9"/>
    <mergeCell ref="G7:I7"/>
    <mergeCell ref="B2:Q3"/>
    <mergeCell ref="D8:F9"/>
    <mergeCell ref="B51:Q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1" workbookViewId="0">
      <selection activeCell="A1" sqref="A1"/>
    </sheetView>
  </sheetViews>
  <sheetFormatPr baseColWidth="8" defaultRowHeight="15"/>
  <cols>
    <col width="3.59765625" customWidth="1" min="1" max="1"/>
    <col width="8.59765625" customWidth="1" min="2" max="2"/>
    <col width="44.59765625" customWidth="1" min="3" max="3"/>
    <col width="12.132812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.59765625" customWidth="1" min="16" max="16"/>
  </cols>
  <sheetData>
    <row r="1"/>
    <row r="2">
      <c r="B2" s="31" t="inlineStr">
        <is>
          <t>💰 DEMONSTRATIVO DE FLUXO DE CAIXA E RESULTADOS (ENTRADAS VS SAÍDAS)</t>
        </is>
      </c>
    </row>
    <row r="3"/>
    <row r="4"/>
    <row r="5" ht="28.05" customHeight="1">
      <c r="B5" s="32" t="inlineStr">
        <is>
          <t>EMPRESA:</t>
        </is>
      </c>
      <c r="C5" s="33">
        <f>CONFIG!B2</f>
        <v/>
      </c>
      <c r="D5" s="34" t="inlineStr">
        <is>
          <t>ANO:</t>
        </is>
      </c>
      <c r="E5" s="35" t="n">
        <v>2026</v>
      </c>
    </row>
    <row r="6"/>
    <row r="7" ht="14.65" customHeight="1">
      <c r="B7" s="36" t="inlineStr">
        <is>
          <t>🟢 TOTAL ENTRADAS (ANO)</t>
        </is>
      </c>
      <c r="C7" s="37" t="n"/>
      <c r="D7" s="36" t="inlineStr">
        <is>
          <t>🔴 TOTAL SAÍDAS PAGAS</t>
        </is>
      </c>
      <c r="E7" s="38" t="n"/>
      <c r="F7" s="37" t="n"/>
      <c r="G7" s="36" t="inlineStr">
        <is>
          <t>💰 RESULTADO CAIXA (ANO)</t>
        </is>
      </c>
      <c r="H7" s="38" t="n"/>
      <c r="I7" s="37" t="n"/>
      <c r="J7" s="36" t="inlineStr">
        <is>
          <t>⏳ DESPESAS PENDENTES (A PAGAR)</t>
        </is>
      </c>
      <c r="K7" s="38" t="n"/>
      <c r="L7" s="38" t="n"/>
      <c r="M7" s="37" t="n"/>
      <c r="N7" s="36" t="inlineStr">
        <is>
          <t>📊 COMPROMETIMENTO CAIXA (%)</t>
        </is>
      </c>
      <c r="O7" s="38" t="n"/>
      <c r="P7" s="37" t="n"/>
    </row>
    <row r="8">
      <c r="B8" s="41">
        <f>P17</f>
        <v/>
      </c>
      <c r="C8" s="40" t="n"/>
      <c r="D8" s="43">
        <f>P39</f>
        <v/>
      </c>
      <c r="F8" s="40" t="n"/>
      <c r="G8" s="39">
        <f>P41</f>
        <v/>
      </c>
      <c r="I8" s="40" t="n"/>
      <c r="J8" s="71">
        <f>SUMIFS(DESPESAS!H:H, DESPESAS!J:J, "Pendente", DESPESAS!M:M, E5)</f>
        <v/>
      </c>
      <c r="M8" s="40" t="n"/>
      <c r="N8" s="72">
        <f>IFERROR(P39/P17,0)</f>
        <v/>
      </c>
      <c r="P8" s="40" t="n"/>
    </row>
    <row r="9">
      <c r="B9" s="45" t="n"/>
      <c r="C9" s="46" t="n"/>
      <c r="D9" s="45" t="n"/>
      <c r="E9" s="47" t="n"/>
      <c r="F9" s="46" t="n"/>
      <c r="G9" s="45" t="n"/>
      <c r="H9" s="47" t="n"/>
      <c r="I9" s="46" t="n"/>
      <c r="J9" s="45" t="n"/>
      <c r="K9" s="47" t="n"/>
      <c r="L9" s="47" t="n"/>
      <c r="M9" s="46" t="n"/>
      <c r="N9" s="45" t="n"/>
      <c r="O9" s="47" t="n"/>
      <c r="P9" s="46" t="n"/>
    </row>
    <row r="10"/>
    <row r="11" ht="22.05" customHeight="1">
      <c r="B11" s="73" t="inlineStr">
        <is>
          <t>ITEM</t>
        </is>
      </c>
      <c r="C11" s="73" t="inlineStr">
        <is>
          <t>ENTRADAS (RECEITAS)</t>
        </is>
      </c>
      <c r="D11" s="73" t="inlineStr">
        <is>
          <t>JAN</t>
        </is>
      </c>
      <c r="E11" s="73" t="inlineStr">
        <is>
          <t>FEV</t>
        </is>
      </c>
      <c r="F11" s="73" t="inlineStr">
        <is>
          <t>MAR</t>
        </is>
      </c>
      <c r="G11" s="73" t="inlineStr">
        <is>
          <t>ABR</t>
        </is>
      </c>
      <c r="H11" s="73" t="inlineStr">
        <is>
          <t>MAI</t>
        </is>
      </c>
      <c r="I11" s="73" t="inlineStr">
        <is>
          <t>JUN</t>
        </is>
      </c>
      <c r="J11" s="73" t="inlineStr">
        <is>
          <t>JUL</t>
        </is>
      </c>
      <c r="K11" s="73" t="inlineStr">
        <is>
          <t>AGO</t>
        </is>
      </c>
      <c r="L11" s="73" t="inlineStr">
        <is>
          <t>SET</t>
        </is>
      </c>
      <c r="M11" s="73" t="inlineStr">
        <is>
          <t>OUT</t>
        </is>
      </c>
      <c r="N11" s="73" t="inlineStr">
        <is>
          <t>NOV</t>
        </is>
      </c>
      <c r="O11" s="73" t="inlineStr">
        <is>
          <t>DEZ</t>
        </is>
      </c>
      <c r="P11" s="73" t="inlineStr">
        <is>
          <t>TOTAL ANUAL</t>
        </is>
      </c>
    </row>
    <row r="12">
      <c r="B12" s="74" t="inlineStr">
        <is>
          <t>1.1</t>
        </is>
      </c>
      <c r="C12" s="75" t="inlineStr">
        <is>
          <t>Vendas de produtos (com nota fiscal / PDV)</t>
        </is>
      </c>
      <c r="D12" s="76">
        <f>MAX(0, APURACAO_RESULTADOS!D13 - APURACAO_RESULTADOS!D18)</f>
        <v/>
      </c>
      <c r="E12" s="76">
        <f>MAX(0, APURACAO_RESULTADOS!E13 - APURACAO_RESULTADOS!E18)</f>
        <v/>
      </c>
      <c r="F12" s="76">
        <f>MAX(0, APURACAO_RESULTADOS!F13 - APURACAO_RESULTADOS!F18)</f>
        <v/>
      </c>
      <c r="G12" s="76">
        <f>MAX(0, APURACAO_RESULTADOS!G13 - APURACAO_RESULTADOS!G18)</f>
        <v/>
      </c>
      <c r="H12" s="76">
        <f>MAX(0, APURACAO_RESULTADOS!H13 - APURACAO_RESULTADOS!H18)</f>
        <v/>
      </c>
      <c r="I12" s="76">
        <f>MAX(0, APURACAO_RESULTADOS!I13 - APURACAO_RESULTADOS!I18)</f>
        <v/>
      </c>
      <c r="J12" s="76">
        <f>MAX(0, APURACAO_RESULTADOS!J13 - APURACAO_RESULTADOS!J18)</f>
        <v/>
      </c>
      <c r="K12" s="76">
        <f>MAX(0, APURACAO_RESULTADOS!K13 - APURACAO_RESULTADOS!K18)</f>
        <v/>
      </c>
      <c r="L12" s="76">
        <f>MAX(0, APURACAO_RESULTADOS!L13 - APURACAO_RESULTADOS!L18)</f>
        <v/>
      </c>
      <c r="M12" s="76">
        <f>MAX(0, APURACAO_RESULTADOS!M13 - APURACAO_RESULTADOS!M18)</f>
        <v/>
      </c>
      <c r="N12" s="76">
        <f>MAX(0, APURACAO_RESULTADOS!N13 - APURACAO_RESULTADOS!N18)</f>
        <v/>
      </c>
      <c r="O12" s="76">
        <f>MAX(0, APURACAO_RESULTADOS!O13 - APURACAO_RESULTADOS!O18)</f>
        <v/>
      </c>
      <c r="P12" s="76">
        <f>SUM(D12:O12)</f>
        <v/>
      </c>
    </row>
    <row r="13">
      <c r="B13" s="74" t="inlineStr">
        <is>
          <t>1.2</t>
        </is>
      </c>
      <c r="C13" s="75" t="inlineStr">
        <is>
          <t>Vendas de produtos (sem nota fiscal)*</t>
        </is>
      </c>
      <c r="D13" s="76" t="n">
        <v>0</v>
      </c>
      <c r="E13" s="76" t="n">
        <v>0</v>
      </c>
      <c r="F13" s="76" t="n">
        <v>0</v>
      </c>
      <c r="G13" s="76" t="n">
        <v>0</v>
      </c>
      <c r="H13" s="76" t="n">
        <v>0</v>
      </c>
      <c r="I13" s="76" t="n">
        <v>0</v>
      </c>
      <c r="J13" s="76" t="n">
        <v>0</v>
      </c>
      <c r="K13" s="76" t="n">
        <v>0</v>
      </c>
      <c r="L13" s="76" t="n">
        <v>0</v>
      </c>
      <c r="M13" s="76" t="n">
        <v>0</v>
      </c>
      <c r="N13" s="76" t="n">
        <v>0</v>
      </c>
      <c r="O13" s="76" t="n">
        <v>0</v>
      </c>
      <c r="P13" s="76">
        <f>SUM(D13:O13)</f>
        <v/>
      </c>
    </row>
    <row r="14">
      <c r="B14" s="74" t="inlineStr">
        <is>
          <t>1.3</t>
        </is>
      </c>
      <c r="C14" s="75" t="inlineStr">
        <is>
          <t>Prestação de serviços (com nota fiscal / PDV)</t>
        </is>
      </c>
      <c r="D14" s="76">
        <f>APURACAO_RESULTADOS!D14</f>
        <v/>
      </c>
      <c r="E14" s="76">
        <f>APURACAO_RESULTADOS!E14</f>
        <v/>
      </c>
      <c r="F14" s="76">
        <f>APURACAO_RESULTADOS!F14</f>
        <v/>
      </c>
      <c r="G14" s="76">
        <f>APURACAO_RESULTADOS!G14</f>
        <v/>
      </c>
      <c r="H14" s="76">
        <f>APURACAO_RESULTADOS!H14</f>
        <v/>
      </c>
      <c r="I14" s="76">
        <f>APURACAO_RESULTADOS!I14</f>
        <v/>
      </c>
      <c r="J14" s="76">
        <f>APURACAO_RESULTADOS!J14</f>
        <v/>
      </c>
      <c r="K14" s="76">
        <f>APURACAO_RESULTADOS!K14</f>
        <v/>
      </c>
      <c r="L14" s="76">
        <f>APURACAO_RESULTADOS!L14</f>
        <v/>
      </c>
      <c r="M14" s="76">
        <f>APURACAO_RESULTADOS!M14</f>
        <v/>
      </c>
      <c r="N14" s="76">
        <f>APURACAO_RESULTADOS!N14</f>
        <v/>
      </c>
      <c r="O14" s="76">
        <f>APURACAO_RESULTADOS!O14</f>
        <v/>
      </c>
      <c r="P14" s="76">
        <f>SUM(D14:O14)</f>
        <v/>
      </c>
    </row>
    <row r="15">
      <c r="B15" s="74" t="inlineStr">
        <is>
          <t>1.4</t>
        </is>
      </c>
      <c r="C15" s="75" t="inlineStr">
        <is>
          <t>Prestação de serviços (sem nota fiscal)*</t>
        </is>
      </c>
      <c r="D15" s="76" t="n">
        <v>0</v>
      </c>
      <c r="E15" s="76" t="n">
        <v>0</v>
      </c>
      <c r="F15" s="76" t="n">
        <v>0</v>
      </c>
      <c r="G15" s="76" t="n">
        <v>0</v>
      </c>
      <c r="H15" s="76" t="n">
        <v>0</v>
      </c>
      <c r="I15" s="76" t="n">
        <v>0</v>
      </c>
      <c r="J15" s="76" t="n">
        <v>0</v>
      </c>
      <c r="K15" s="76" t="n">
        <v>0</v>
      </c>
      <c r="L15" s="76" t="n">
        <v>0</v>
      </c>
      <c r="M15" s="76" t="n">
        <v>0</v>
      </c>
      <c r="N15" s="76" t="n">
        <v>0</v>
      </c>
      <c r="O15" s="76" t="n">
        <v>0</v>
      </c>
      <c r="P15" s="76">
        <f>SUM(D15:O15)</f>
        <v/>
      </c>
    </row>
    <row r="16">
      <c r="B16" s="74" t="inlineStr">
        <is>
          <t>1.5</t>
        </is>
      </c>
      <c r="C16" s="75" t="inlineStr">
        <is>
          <t>Outras receitas (aplicações no banco, etc.)</t>
        </is>
      </c>
      <c r="D16" s="76">
        <f>APURACAO_RESULTADOS!D27 + APURACAO_RESULTADOS!D34</f>
        <v/>
      </c>
      <c r="E16" s="76">
        <f>APURACAO_RESULTADOS!E27 + APURACAO_RESULTADOS!E34</f>
        <v/>
      </c>
      <c r="F16" s="76">
        <f>APURACAO_RESULTADOS!F27 + APURACAO_RESULTADOS!F34</f>
        <v/>
      </c>
      <c r="G16" s="76">
        <f>APURACAO_RESULTADOS!G27 + APURACAO_RESULTADOS!G34</f>
        <v/>
      </c>
      <c r="H16" s="76">
        <f>APURACAO_RESULTADOS!H27 + APURACAO_RESULTADOS!H34</f>
        <v/>
      </c>
      <c r="I16" s="76">
        <f>APURACAO_RESULTADOS!I27 + APURACAO_RESULTADOS!I34</f>
        <v/>
      </c>
      <c r="J16" s="76">
        <f>APURACAO_RESULTADOS!J27 + APURACAO_RESULTADOS!J34</f>
        <v/>
      </c>
      <c r="K16" s="76">
        <f>APURACAO_RESULTADOS!K27 + APURACAO_RESULTADOS!K34</f>
        <v/>
      </c>
      <c r="L16" s="76">
        <f>APURACAO_RESULTADOS!L27 + APURACAO_RESULTADOS!L34</f>
        <v/>
      </c>
      <c r="M16" s="76">
        <f>APURACAO_RESULTADOS!M27 + APURACAO_RESULTADOS!M34</f>
        <v/>
      </c>
      <c r="N16" s="76">
        <f>APURACAO_RESULTADOS!N27 + APURACAO_RESULTADOS!N34</f>
        <v/>
      </c>
      <c r="O16" s="76">
        <f>APURACAO_RESULTADOS!O27 + APURACAO_RESULTADOS!O34</f>
        <v/>
      </c>
      <c r="P16" s="76">
        <f>SUM(D16:O16)</f>
        <v/>
      </c>
    </row>
    <row r="17">
      <c r="B17" s="77" t="n">
        <v>1</v>
      </c>
      <c r="C17" s="78" t="inlineStr">
        <is>
          <t>TOTAL DE ENTRADAS</t>
        </is>
      </c>
      <c r="D17" s="79">
        <f>SUM(D12:D16)</f>
        <v/>
      </c>
      <c r="E17" s="79">
        <f>SUM(E12:E16)</f>
        <v/>
      </c>
      <c r="F17" s="79">
        <f>SUM(F12:F16)</f>
        <v/>
      </c>
      <c r="G17" s="79">
        <f>SUM(G12:G16)</f>
        <v/>
      </c>
      <c r="H17" s="79">
        <f>SUM(H12:H16)</f>
        <v/>
      </c>
      <c r="I17" s="79">
        <f>SUM(I12:I16)</f>
        <v/>
      </c>
      <c r="J17" s="79">
        <f>SUM(J12:J16)</f>
        <v/>
      </c>
      <c r="K17" s="79">
        <f>SUM(K12:K16)</f>
        <v/>
      </c>
      <c r="L17" s="79">
        <f>SUM(L12:L16)</f>
        <v/>
      </c>
      <c r="M17" s="79">
        <f>SUM(M12:M16)</f>
        <v/>
      </c>
      <c r="N17" s="79">
        <f>SUM(N12:N16)</f>
        <v/>
      </c>
      <c r="O17" s="79">
        <f>SUM(O12:O16)</f>
        <v/>
      </c>
      <c r="P17" s="79">
        <f>SUM(P12:P16)</f>
        <v/>
      </c>
    </row>
    <row r="18"/>
    <row r="19" ht="22.05" customHeight="1">
      <c r="B19" s="80" t="inlineStr">
        <is>
          <t>ITEM</t>
        </is>
      </c>
      <c r="C19" s="80" t="inlineStr">
        <is>
          <t>SAÍDAS (GASTOS)</t>
        </is>
      </c>
      <c r="D19" s="80" t="inlineStr">
        <is>
          <t>JAN</t>
        </is>
      </c>
      <c r="E19" s="80" t="inlineStr">
        <is>
          <t>FEV</t>
        </is>
      </c>
      <c r="F19" s="80" t="inlineStr">
        <is>
          <t>MAR</t>
        </is>
      </c>
      <c r="G19" s="80" t="inlineStr">
        <is>
          <t>ABR</t>
        </is>
      </c>
      <c r="H19" s="80" t="inlineStr">
        <is>
          <t>MAI</t>
        </is>
      </c>
      <c r="I19" s="80" t="inlineStr">
        <is>
          <t>JUN</t>
        </is>
      </c>
      <c r="J19" s="80" t="inlineStr">
        <is>
          <t>JUL</t>
        </is>
      </c>
      <c r="K19" s="80" t="inlineStr">
        <is>
          <t>AGO</t>
        </is>
      </c>
      <c r="L19" s="80" t="inlineStr">
        <is>
          <t>SET</t>
        </is>
      </c>
      <c r="M19" s="80" t="inlineStr">
        <is>
          <t>OUT</t>
        </is>
      </c>
      <c r="N19" s="80" t="inlineStr">
        <is>
          <t>NOV</t>
        </is>
      </c>
      <c r="O19" s="80" t="inlineStr">
        <is>
          <t>DEZ</t>
        </is>
      </c>
      <c r="P19" s="80" t="inlineStr">
        <is>
          <t>TOTAL ANUAL</t>
        </is>
      </c>
    </row>
    <row r="20">
      <c r="B20" s="74" t="inlineStr">
        <is>
          <t>2.1</t>
        </is>
      </c>
      <c r="C20" s="75" t="inlineStr">
        <is>
          <t>Retirada do(s) proprietário(s) **</t>
        </is>
      </c>
      <c r="D20" s="76">
        <f>SUMIFS(DESPESAS!$H:$H, DESPESAS!$F:$F, "Retirada do(s) proprietário(s)", DESPESAS!$N:$N, 1, DESPESAS!$O:$O, $E$5, DESPESAS!$J:$J, "Paga")</f>
        <v/>
      </c>
      <c r="E20" s="76">
        <f>SUMIFS(DESPESAS!$H:$H, DESPESAS!$F:$F, "Retirada do(s) proprietário(s)", DESPESAS!$N:$N, 2, DESPESAS!$O:$O, $E$5, DESPESAS!$J:$J, "Paga")</f>
        <v/>
      </c>
      <c r="F20" s="76">
        <f>SUMIFS(DESPESAS!$H:$H, DESPESAS!$F:$F, "Retirada do(s) proprietário(s)", DESPESAS!$N:$N, 3, DESPESAS!$O:$O, $E$5, DESPESAS!$J:$J, "Paga")</f>
        <v/>
      </c>
      <c r="G20" s="76">
        <f>SUMIFS(DESPESAS!$H:$H, DESPESAS!$F:$F, "Retirada do(s) proprietário(s)", DESPESAS!$N:$N, 4, DESPESAS!$O:$O, $E$5, DESPESAS!$J:$J, "Paga")</f>
        <v/>
      </c>
      <c r="H20" s="76">
        <f>SUMIFS(DESPESAS!$H:$H, DESPESAS!$F:$F, "Retirada do(s) proprietário(s)", DESPESAS!$N:$N, 5, DESPESAS!$O:$O, $E$5, DESPESAS!$J:$J, "Paga")</f>
        <v/>
      </c>
      <c r="I20" s="76">
        <f>SUMIFS(DESPESAS!$H:$H, DESPESAS!$F:$F, "Retirada do(s) proprietário(s)", DESPESAS!$N:$N, 6, DESPESAS!$O:$O, $E$5, DESPESAS!$J:$J, "Paga")</f>
        <v/>
      </c>
      <c r="J20" s="76">
        <f>SUMIFS(DESPESAS!$H:$H, DESPESAS!$F:$F, "Retirada do(s) proprietário(s)", DESPESAS!$N:$N, 7, DESPESAS!$O:$O, $E$5, DESPESAS!$J:$J, "Paga")</f>
        <v/>
      </c>
      <c r="K20" s="76">
        <f>SUMIFS(DESPESAS!$H:$H, DESPESAS!$F:$F, "Retirada do(s) proprietário(s)", DESPESAS!$N:$N, 8, DESPESAS!$O:$O, $E$5, DESPESAS!$J:$J, "Paga")</f>
        <v/>
      </c>
      <c r="L20" s="76">
        <f>SUMIFS(DESPESAS!$H:$H, DESPESAS!$F:$F, "Retirada do(s) proprietário(s)", DESPESAS!$N:$N, 9, DESPESAS!$O:$O, $E$5, DESPESAS!$J:$J, "Paga")</f>
        <v/>
      </c>
      <c r="M20" s="76">
        <f>SUMIFS(DESPESAS!$H:$H, DESPESAS!$F:$F, "Retirada do(s) proprietário(s)", DESPESAS!$N:$N, 10, DESPESAS!$O:$O, $E$5, DESPESAS!$J:$J, "Paga")</f>
        <v/>
      </c>
      <c r="N20" s="76">
        <f>SUMIFS(DESPESAS!$H:$H, DESPESAS!$F:$F, "Retirada do(s) proprietário(s)", DESPESAS!$N:$N, 11, DESPESAS!$O:$O, $E$5, DESPESAS!$J:$J, "Paga")</f>
        <v/>
      </c>
      <c r="O20" s="76">
        <f>SUMIFS(DESPESAS!$H:$H, DESPESAS!$F:$F, "Retirada do(s) proprietário(s)", DESPESAS!$N:$N, 12, DESPESAS!$O:$O, $E$5, DESPESAS!$J:$J, "Paga")</f>
        <v/>
      </c>
      <c r="P20" s="76">
        <f>SUM(D20:O20)</f>
        <v/>
      </c>
    </row>
    <row r="21">
      <c r="B21" s="74" t="inlineStr">
        <is>
          <t>2.2</t>
        </is>
      </c>
      <c r="C21" s="75" t="inlineStr">
        <is>
          <t>Gastos com produtos para venda</t>
        </is>
      </c>
      <c r="D21" s="76">
        <f>SUMIFS(DESPESAS!$H:$H, DESPESAS!$F:$F, "Gastos com produtos para venda", DESPESAS!$N:$N, 1, DESPESAS!$O:$O, $E$5, DESPESAS!$J:$J, "Paga")</f>
        <v/>
      </c>
      <c r="E21" s="76">
        <f>SUMIFS(DESPESAS!$H:$H, DESPESAS!$F:$F, "Gastos com produtos para venda", DESPESAS!$N:$N, 2, DESPESAS!$O:$O, $E$5, DESPESAS!$J:$J, "Paga")</f>
        <v/>
      </c>
      <c r="F21" s="76">
        <f>SUMIFS(DESPESAS!$H:$H, DESPESAS!$F:$F, "Gastos com produtos para venda", DESPESAS!$N:$N, 3, DESPESAS!$O:$O, $E$5, DESPESAS!$J:$J, "Paga")</f>
        <v/>
      </c>
      <c r="G21" s="76">
        <f>SUMIFS(DESPESAS!$H:$H, DESPESAS!$F:$F, "Gastos com produtos para venda", DESPESAS!$N:$N, 4, DESPESAS!$O:$O, $E$5, DESPESAS!$J:$J, "Paga")</f>
        <v/>
      </c>
      <c r="H21" s="76">
        <f>SUMIFS(DESPESAS!$H:$H, DESPESAS!$F:$F, "Gastos com produtos para venda", DESPESAS!$N:$N, 5, DESPESAS!$O:$O, $E$5, DESPESAS!$J:$J, "Paga")</f>
        <v/>
      </c>
      <c r="I21" s="76">
        <f>SUMIFS(DESPESAS!$H:$H, DESPESAS!$F:$F, "Gastos com produtos para venda", DESPESAS!$N:$N, 6, DESPESAS!$O:$O, $E$5, DESPESAS!$J:$J, "Paga")</f>
        <v/>
      </c>
      <c r="J21" s="76">
        <f>SUMIFS(DESPESAS!$H:$H, DESPESAS!$F:$F, "Gastos com produtos para venda", DESPESAS!$N:$N, 7, DESPESAS!$O:$O, $E$5, DESPESAS!$J:$J, "Paga")</f>
        <v/>
      </c>
      <c r="K21" s="76">
        <f>SUMIFS(DESPESAS!$H:$H, DESPESAS!$F:$F, "Gastos com produtos para venda", DESPESAS!$N:$N, 8, DESPESAS!$O:$O, $E$5, DESPESAS!$J:$J, "Paga")</f>
        <v/>
      </c>
      <c r="L21" s="76">
        <f>SUMIFS(DESPESAS!$H:$H, DESPESAS!$F:$F, "Gastos com produtos para venda", DESPESAS!$N:$N, 9, DESPESAS!$O:$O, $E$5, DESPESAS!$J:$J, "Paga")</f>
        <v/>
      </c>
      <c r="M21" s="76">
        <f>SUMIFS(DESPESAS!$H:$H, DESPESAS!$F:$F, "Gastos com produtos para venda", DESPESAS!$N:$N, 10, DESPESAS!$O:$O, $E$5, DESPESAS!$J:$J, "Paga")</f>
        <v/>
      </c>
      <c r="N21" s="76">
        <f>SUMIFS(DESPESAS!$H:$H, DESPESAS!$F:$F, "Gastos com produtos para venda", DESPESAS!$N:$N, 11, DESPESAS!$O:$O, $E$5, DESPESAS!$J:$J, "Paga")</f>
        <v/>
      </c>
      <c r="O21" s="76">
        <f>SUMIFS(DESPESAS!$H:$H, DESPESAS!$F:$F, "Gastos com produtos para venda", DESPESAS!$N:$N, 12, DESPESAS!$O:$O, $E$5, DESPESAS!$J:$J, "Paga")</f>
        <v/>
      </c>
      <c r="P21" s="76">
        <f>SUM(D21:O21)</f>
        <v/>
      </c>
    </row>
    <row r="22">
      <c r="B22" s="74" t="inlineStr">
        <is>
          <t>2.3</t>
        </is>
      </c>
      <c r="C22" s="75" t="inlineStr">
        <is>
          <t>Gastos com serviços prestados ***</t>
        </is>
      </c>
      <c r="D22" s="76">
        <f>SUMIFS(DESPESAS!$H:$H, DESPESAS!$F:$F, "Gastos com serviços prestados", DESPESAS!$N:$N, 1, DESPESAS!$O:$O, $E$5, DESPESAS!$J:$J, "Paga")</f>
        <v/>
      </c>
      <c r="E22" s="76">
        <f>SUMIFS(DESPESAS!$H:$H, DESPESAS!$F:$F, "Gastos com serviços prestados", DESPESAS!$N:$N, 2, DESPESAS!$O:$O, $E$5, DESPESAS!$J:$J, "Paga")</f>
        <v/>
      </c>
      <c r="F22" s="76">
        <f>SUMIFS(DESPESAS!$H:$H, DESPESAS!$F:$F, "Gastos com serviços prestados", DESPESAS!$N:$N, 3, DESPESAS!$O:$O, $E$5, DESPESAS!$J:$J, "Paga")</f>
        <v/>
      </c>
      <c r="G22" s="76">
        <f>SUMIFS(DESPESAS!$H:$H, DESPESAS!$F:$F, "Gastos com serviços prestados", DESPESAS!$N:$N, 4, DESPESAS!$O:$O, $E$5, DESPESAS!$J:$J, "Paga")</f>
        <v/>
      </c>
      <c r="H22" s="76">
        <f>SUMIFS(DESPESAS!$H:$H, DESPESAS!$F:$F, "Gastos com serviços prestados", DESPESAS!$N:$N, 5, DESPESAS!$O:$O, $E$5, DESPESAS!$J:$J, "Paga")</f>
        <v/>
      </c>
      <c r="I22" s="76">
        <f>SUMIFS(DESPESAS!$H:$H, DESPESAS!$F:$F, "Gastos com serviços prestados", DESPESAS!$N:$N, 6, DESPESAS!$O:$O, $E$5, DESPESAS!$J:$J, "Paga")</f>
        <v/>
      </c>
      <c r="J22" s="76">
        <f>SUMIFS(DESPESAS!$H:$H, DESPESAS!$F:$F, "Gastos com serviços prestados", DESPESAS!$N:$N, 7, DESPESAS!$O:$O, $E$5, DESPESAS!$J:$J, "Paga")</f>
        <v/>
      </c>
      <c r="K22" s="76">
        <f>SUMIFS(DESPESAS!$H:$H, DESPESAS!$F:$F, "Gastos com serviços prestados", DESPESAS!$N:$N, 8, DESPESAS!$O:$O, $E$5, DESPESAS!$J:$J, "Paga")</f>
        <v/>
      </c>
      <c r="L22" s="76">
        <f>SUMIFS(DESPESAS!$H:$H, DESPESAS!$F:$F, "Gastos com serviços prestados", DESPESAS!$N:$N, 9, DESPESAS!$O:$O, $E$5, DESPESAS!$J:$J, "Paga")</f>
        <v/>
      </c>
      <c r="M22" s="76">
        <f>SUMIFS(DESPESAS!$H:$H, DESPESAS!$F:$F, "Gastos com serviços prestados", DESPESAS!$N:$N, 10, DESPESAS!$O:$O, $E$5, DESPESAS!$J:$J, "Paga")</f>
        <v/>
      </c>
      <c r="N22" s="76">
        <f>SUMIFS(DESPESAS!$H:$H, DESPESAS!$F:$F, "Gastos com serviços prestados", DESPESAS!$N:$N, 11, DESPESAS!$O:$O, $E$5, DESPESAS!$J:$J, "Paga")</f>
        <v/>
      </c>
      <c r="O22" s="76">
        <f>SUMIFS(DESPESAS!$H:$H, DESPESAS!$F:$F, "Gastos com serviços prestados", DESPESAS!$N:$N, 12, DESPESAS!$O:$O, $E$5, DESPESAS!$J:$J, "Paga")</f>
        <v/>
      </c>
      <c r="P22" s="76">
        <f>SUM(D22:O22)</f>
        <v/>
      </c>
    </row>
    <row r="23">
      <c r="B23" s="74" t="inlineStr">
        <is>
          <t>2.4</t>
        </is>
      </c>
      <c r="C23" s="75" t="inlineStr">
        <is>
          <t>Carnê de arrecadação - MEI</t>
        </is>
      </c>
      <c r="D23" s="76">
        <f>SUMIFS(DESPESAS!$H:$H, DESPESAS!$F:$F, "Carnê de arrecadação - MEI", DESPESAS!$N:$N, 1, DESPESAS!$O:$O, $E$5, DESPESAS!$J:$J, "Paga")</f>
        <v/>
      </c>
      <c r="E23" s="76">
        <f>SUMIFS(DESPESAS!$H:$H, DESPESAS!$F:$F, "Carnê de arrecadação - MEI", DESPESAS!$N:$N, 2, DESPESAS!$O:$O, $E$5, DESPESAS!$J:$J, "Paga")</f>
        <v/>
      </c>
      <c r="F23" s="76">
        <f>SUMIFS(DESPESAS!$H:$H, DESPESAS!$F:$F, "Carnê de arrecadação - MEI", DESPESAS!$N:$N, 3, DESPESAS!$O:$O, $E$5, DESPESAS!$J:$J, "Paga")</f>
        <v/>
      </c>
      <c r="G23" s="76">
        <f>SUMIFS(DESPESAS!$H:$H, DESPESAS!$F:$F, "Carnê de arrecadação - MEI", DESPESAS!$N:$N, 4, DESPESAS!$O:$O, $E$5, DESPESAS!$J:$J, "Paga")</f>
        <v/>
      </c>
      <c r="H23" s="76">
        <f>SUMIFS(DESPESAS!$H:$H, DESPESAS!$F:$F, "Carnê de arrecadação - MEI", DESPESAS!$N:$N, 5, DESPESAS!$O:$O, $E$5, DESPESAS!$J:$J, "Paga")</f>
        <v/>
      </c>
      <c r="I23" s="76">
        <f>SUMIFS(DESPESAS!$H:$H, DESPESAS!$F:$F, "Carnê de arrecadação - MEI", DESPESAS!$N:$N, 6, DESPESAS!$O:$O, $E$5, DESPESAS!$J:$J, "Paga")</f>
        <v/>
      </c>
      <c r="J23" s="76">
        <f>SUMIFS(DESPESAS!$H:$H, DESPESAS!$F:$F, "Carnê de arrecadação - MEI", DESPESAS!$N:$N, 7, DESPESAS!$O:$O, $E$5, DESPESAS!$J:$J, "Paga")</f>
        <v/>
      </c>
      <c r="K23" s="76">
        <f>SUMIFS(DESPESAS!$H:$H, DESPESAS!$F:$F, "Carnê de arrecadação - MEI", DESPESAS!$N:$N, 8, DESPESAS!$O:$O, $E$5, DESPESAS!$J:$J, "Paga")</f>
        <v/>
      </c>
      <c r="L23" s="76">
        <f>SUMIFS(DESPESAS!$H:$H, DESPESAS!$F:$F, "Carnê de arrecadação - MEI", DESPESAS!$N:$N, 9, DESPESAS!$O:$O, $E$5, DESPESAS!$J:$J, "Paga")</f>
        <v/>
      </c>
      <c r="M23" s="76">
        <f>SUMIFS(DESPESAS!$H:$H, DESPESAS!$F:$F, "Carnê de arrecadação - MEI", DESPESAS!$N:$N, 10, DESPESAS!$O:$O, $E$5, DESPESAS!$J:$J, "Paga")</f>
        <v/>
      </c>
      <c r="N23" s="76">
        <f>SUMIFS(DESPESAS!$H:$H, DESPESAS!$F:$F, "Carnê de arrecadação - MEI", DESPESAS!$N:$N, 11, DESPESAS!$O:$O, $E$5, DESPESAS!$J:$J, "Paga")</f>
        <v/>
      </c>
      <c r="O23" s="76">
        <f>SUMIFS(DESPESAS!$H:$H, DESPESAS!$F:$F, "Carnê de arrecadação - MEI", DESPESAS!$N:$N, 12, DESPESAS!$O:$O, $E$5, DESPESAS!$J:$J, "Paga")</f>
        <v/>
      </c>
      <c r="P23" s="76">
        <f>SUM(D23:O23)</f>
        <v/>
      </c>
    </row>
    <row r="24">
      <c r="B24" s="74" t="inlineStr">
        <is>
          <t>2.5</t>
        </is>
      </c>
      <c r="C24" s="75" t="inlineStr">
        <is>
          <t>DAS - Documento de Arrecadação Simples</t>
        </is>
      </c>
      <c r="D24" s="76">
        <f>SUMIFS(DESPESAS!$H:$H, DESPESAS!$F:$F, "DAS - Documento de Arrecadação Simples", DESPESAS!$N:$N, 1, DESPESAS!$O:$O, $E$5, DESPESAS!$J:$J, "Paga")</f>
        <v/>
      </c>
      <c r="E24" s="76">
        <f>SUMIFS(DESPESAS!$H:$H, DESPESAS!$F:$F, "DAS - Documento de Arrecadação Simples", DESPESAS!$N:$N, 2, DESPESAS!$O:$O, $E$5, DESPESAS!$J:$J, "Paga")</f>
        <v/>
      </c>
      <c r="F24" s="76">
        <f>SUMIFS(DESPESAS!$H:$H, DESPESAS!$F:$F, "DAS - Documento de Arrecadação Simples", DESPESAS!$N:$N, 3, DESPESAS!$O:$O, $E$5, DESPESAS!$J:$J, "Paga")</f>
        <v/>
      </c>
      <c r="G24" s="76">
        <f>SUMIFS(DESPESAS!$H:$H, DESPESAS!$F:$F, "DAS - Documento de Arrecadação Simples", DESPESAS!$N:$N, 4, DESPESAS!$O:$O, $E$5, DESPESAS!$J:$J, "Paga")</f>
        <v/>
      </c>
      <c r="H24" s="76">
        <f>SUMIFS(DESPESAS!$H:$H, DESPESAS!$F:$F, "DAS - Documento de Arrecadação Simples", DESPESAS!$N:$N, 5, DESPESAS!$O:$O, $E$5, DESPESAS!$J:$J, "Paga")</f>
        <v/>
      </c>
      <c r="I24" s="76">
        <f>SUMIFS(DESPESAS!$H:$H, DESPESAS!$F:$F, "DAS - Documento de Arrecadação Simples", DESPESAS!$N:$N, 6, DESPESAS!$O:$O, $E$5, DESPESAS!$J:$J, "Paga")</f>
        <v/>
      </c>
      <c r="J24" s="76">
        <f>SUMIFS(DESPESAS!$H:$H, DESPESAS!$F:$F, "DAS - Documento de Arrecadação Simples", DESPESAS!$N:$N, 7, DESPESAS!$O:$O, $E$5, DESPESAS!$J:$J, "Paga")</f>
        <v/>
      </c>
      <c r="K24" s="76">
        <f>SUMIFS(DESPESAS!$H:$H, DESPESAS!$F:$F, "DAS - Documento de Arrecadação Simples", DESPESAS!$N:$N, 8, DESPESAS!$O:$O, $E$5, DESPESAS!$J:$J, "Paga")</f>
        <v/>
      </c>
      <c r="L24" s="76">
        <f>SUMIFS(DESPESAS!$H:$H, DESPESAS!$F:$F, "DAS - Documento de Arrecadação Simples", DESPESAS!$N:$N, 9, DESPESAS!$O:$O, $E$5, DESPESAS!$J:$J, "Paga")</f>
        <v/>
      </c>
      <c r="M24" s="76">
        <f>SUMIFS(DESPESAS!$H:$H, DESPESAS!$F:$F, "DAS - Documento de Arrecadação Simples", DESPESAS!$N:$N, 10, DESPESAS!$O:$O, $E$5, DESPESAS!$J:$J, "Paga")</f>
        <v/>
      </c>
      <c r="N24" s="76">
        <f>SUMIFS(DESPESAS!$H:$H, DESPESAS!$F:$F, "DAS - Documento de Arrecadação Simples", DESPESAS!$N:$N, 11, DESPESAS!$O:$O, $E$5, DESPESAS!$J:$J, "Paga")</f>
        <v/>
      </c>
      <c r="O24" s="76">
        <f>SUMIFS(DESPESAS!$H:$H, DESPESAS!$F:$F, "DAS - Documento de Arrecadação Simples", DESPESAS!$N:$N, 12, DESPESAS!$O:$O, $E$5, DESPESAS!$J:$J, "Paga")</f>
        <v/>
      </c>
      <c r="P24" s="76">
        <f>SUM(D24:O24)</f>
        <v/>
      </c>
    </row>
    <row r="25">
      <c r="B25" s="74" t="inlineStr">
        <is>
          <t>2.6</t>
        </is>
      </c>
      <c r="C25" s="75" t="inlineStr">
        <is>
          <t>Folha de pagamento</t>
        </is>
      </c>
      <c r="D25" s="76" t="n">
        <v>0</v>
      </c>
      <c r="E25" s="76">
        <f>SUMIFS(DESPESAS!$H:$H, DESPESAS!$F:$F, "Folha de pagamento", DESPESAS!$N:$N, 2, DESPESAS!$O:$O, $E$5, DESPESAS!$J:$J, "Paga")</f>
        <v/>
      </c>
      <c r="F25" s="76">
        <f>SUMIFS(DESPESAS!$H:$H, DESPESAS!$F:$F, "Folha de pagamento", DESPESAS!$N:$N, 3, DESPESAS!$O:$O, $E$5, DESPESAS!$J:$J, "Paga")</f>
        <v/>
      </c>
      <c r="G25" s="76">
        <f>SUMIFS(DESPESAS!$H:$H, DESPESAS!$F:$F, "Folha de pagamento", DESPESAS!$N:$N, 4, DESPESAS!$O:$O, $E$5, DESPESAS!$J:$J, "Paga")</f>
        <v/>
      </c>
      <c r="H25" s="76">
        <f>SUMIFS(DESPESAS!$H:$H, DESPESAS!$F:$F, "Folha de pagamento", DESPESAS!$N:$N, 5, DESPESAS!$O:$O, $E$5, DESPESAS!$J:$J, "Paga")</f>
        <v/>
      </c>
      <c r="I25" s="76">
        <f>SUMIFS(DESPESAS!$H:$H, DESPESAS!$F:$F, "Folha de pagamento", DESPESAS!$N:$N, 6, DESPESAS!$O:$O, $E$5, DESPESAS!$J:$J, "Paga")</f>
        <v/>
      </c>
      <c r="J25" s="76">
        <f>SUMIFS(DESPESAS!$H:$H, DESPESAS!$F:$F, "Folha de pagamento", DESPESAS!$N:$N, 7, DESPESAS!$O:$O, $E$5, DESPESAS!$J:$J, "Paga")</f>
        <v/>
      </c>
      <c r="K25" s="76">
        <f>SUMIFS(DESPESAS!$H:$H, DESPESAS!$F:$F, "Folha de pagamento", DESPESAS!$N:$N, 8, DESPESAS!$O:$O, $E$5, DESPESAS!$J:$J, "Paga")</f>
        <v/>
      </c>
      <c r="L25" s="76">
        <f>SUMIFS(DESPESAS!$H:$H, DESPESAS!$F:$F, "Folha de pagamento", DESPESAS!$N:$N, 9, DESPESAS!$O:$O, $E$5, DESPESAS!$J:$J, "Paga")</f>
        <v/>
      </c>
      <c r="M25" s="76">
        <f>SUMIFS(DESPESAS!$H:$H, DESPESAS!$F:$F, "Folha de pagamento", DESPESAS!$N:$N, 10, DESPESAS!$O:$O, $E$5, DESPESAS!$J:$J, "Paga")</f>
        <v/>
      </c>
      <c r="N25" s="76">
        <f>SUMIFS(DESPESAS!$H:$H, DESPESAS!$F:$F, "Folha de pagamento", DESPESAS!$N:$N, 11, DESPESAS!$O:$O, $E$5, DESPESAS!$J:$J, "Paga")</f>
        <v/>
      </c>
      <c r="O25" s="76">
        <f>SUMIFS(DESPESAS!$H:$H, DESPESAS!$F:$F, "Folha de pagamento", DESPESAS!$N:$N, 12, DESPESAS!$O:$O, $E$5, DESPESAS!$J:$J, "Paga")</f>
        <v/>
      </c>
      <c r="P25" s="76">
        <f>SUM(D25:O25)</f>
        <v/>
      </c>
    </row>
    <row r="26">
      <c r="B26" s="74" t="inlineStr">
        <is>
          <t>2.7</t>
        </is>
      </c>
      <c r="C26" s="75" t="inlineStr">
        <is>
          <t>Outros tributos (impostos, taxas, etc.)</t>
        </is>
      </c>
      <c r="D26" s="76" t="n">
        <v>0</v>
      </c>
      <c r="E26" s="76">
        <f>SUMIFS(DESPESAS!$H:$H, DESPESAS!$F:$F, "Outros tributos (impostos, taxas, etc.)", DESPESAS!$N:$N, 2, DESPESAS!$O:$O, $E$5, DESPESAS!$J:$J, "Paga")</f>
        <v/>
      </c>
      <c r="F26" s="76">
        <f>SUMIFS(DESPESAS!$H:$H, DESPESAS!$F:$F, "Outros tributos (impostos, taxas, etc.)", DESPESAS!$N:$N, 3, DESPESAS!$O:$O, $E$5, DESPESAS!$J:$J, "Paga")</f>
        <v/>
      </c>
      <c r="G26" s="76">
        <f>SUMIFS(DESPESAS!$H:$H, DESPESAS!$F:$F, "Outros tributos (impostos, taxas, etc.)", DESPESAS!$N:$N, 4, DESPESAS!$O:$O, $E$5, DESPESAS!$J:$J, "Paga")</f>
        <v/>
      </c>
      <c r="H26" s="76">
        <f>SUMIFS(DESPESAS!$H:$H, DESPESAS!$F:$F, "Outros tributos (impostos, taxas, etc.)", DESPESAS!$N:$N, 5, DESPESAS!$O:$O, $E$5, DESPESAS!$J:$J, "Paga")</f>
        <v/>
      </c>
      <c r="I26" s="76">
        <f>SUMIFS(DESPESAS!$H:$H, DESPESAS!$F:$F, "Outros tributos (impostos, taxas, etc.)", DESPESAS!$N:$N, 6, DESPESAS!$O:$O, $E$5, DESPESAS!$J:$J, "Paga")</f>
        <v/>
      </c>
      <c r="J26" s="76">
        <f>SUMIFS(DESPESAS!$H:$H, DESPESAS!$F:$F, "Outros tributos (impostos, taxas, etc.)", DESPESAS!$N:$N, 7, DESPESAS!$O:$O, $E$5, DESPESAS!$J:$J, "Paga")</f>
        <v/>
      </c>
      <c r="K26" s="76">
        <f>SUMIFS(DESPESAS!$H:$H, DESPESAS!$F:$F, "Outros tributos (impostos, taxas, etc.)", DESPESAS!$N:$N, 8, DESPESAS!$O:$O, $E$5, DESPESAS!$J:$J, "Paga")</f>
        <v/>
      </c>
      <c r="L26" s="76">
        <f>SUMIFS(DESPESAS!$H:$H, DESPESAS!$F:$F, "Outros tributos (impostos, taxas, etc.)", DESPESAS!$N:$N, 9, DESPESAS!$O:$O, $E$5, DESPESAS!$J:$J, "Paga")</f>
        <v/>
      </c>
      <c r="M26" s="76">
        <f>SUMIFS(DESPESAS!$H:$H, DESPESAS!$F:$F, "Outros tributos (impostos, taxas, etc.)", DESPESAS!$N:$N, 10, DESPESAS!$O:$O, $E$5, DESPESAS!$J:$J, "Paga")</f>
        <v/>
      </c>
      <c r="N26" s="76">
        <f>SUMIFS(DESPESAS!$H:$H, DESPESAS!$F:$F, "Outros tributos (impostos, taxas, etc.)", DESPESAS!$N:$N, 11, DESPESAS!$O:$O, $E$5, DESPESAS!$J:$J, "Paga")</f>
        <v/>
      </c>
      <c r="O26" s="76">
        <f>SUMIFS(DESPESAS!$H:$H, DESPESAS!$F:$F, "Outros tributos (impostos, taxas, etc.)", DESPESAS!$N:$N, 12, DESPESAS!$O:$O, $E$5, DESPESAS!$J:$J, "Paga")</f>
        <v/>
      </c>
      <c r="P26" s="76">
        <f>SUM(D26:O26)</f>
        <v/>
      </c>
    </row>
    <row r="27">
      <c r="B27" s="74" t="inlineStr">
        <is>
          <t>2.8</t>
        </is>
      </c>
      <c r="C27" s="75" t="inlineStr">
        <is>
          <t>Gastos com juros e taxas bancos</t>
        </is>
      </c>
      <c r="D27" s="76">
        <f>0+SUMIFS(DESPESAS!$H:$H,DESPESAS!$F:$F,"Gastos com juros e taxas bancos",DESPESAS!$N:$N,1,DESPESAS!$O:$O,$E$5,DESPESAS!$J:$J,"Paga")</f>
        <v/>
      </c>
      <c r="E27" s="76">
        <f>0+SUMIFS(DESPESAS!$H:$H,DESPESAS!$F:$F,"Gastos com juros e taxas bancos",DESPESAS!$N:$N,2,DESPESAS!$O:$O,$E$5,DESPESAS!$J:$J,"Paga")</f>
        <v/>
      </c>
      <c r="F27" s="76">
        <f>0+SUMIFS(DESPESAS!$H:$H,DESPESAS!$F:$F,"Gastos com juros e taxas bancos",DESPESAS!$N:$N,3,DESPESAS!$O:$O,$E$5,DESPESAS!$J:$J,"Paga")</f>
        <v/>
      </c>
      <c r="G27" s="76">
        <f>0+SUMIFS(DESPESAS!$H:$H,DESPESAS!$F:$F,"Gastos com juros e taxas bancos",DESPESAS!$N:$N,4,DESPESAS!$O:$O,$E$5,DESPESAS!$J:$J,"Paga")</f>
        <v/>
      </c>
      <c r="H27" s="76">
        <f>0+SUMIFS(DESPESAS!$H:$H,DESPESAS!$F:$F,"Gastos com juros e taxas bancos",DESPESAS!$N:$N,5,DESPESAS!$O:$O,$E$5,DESPESAS!$J:$J,"Paga")</f>
        <v/>
      </c>
      <c r="I27" s="76">
        <f>0+SUMIFS(DESPESAS!$H:$H,DESPESAS!$F:$F,"Gastos com juros e taxas bancos",DESPESAS!$N:$N,6,DESPESAS!$O:$O,$E$5,DESPESAS!$J:$J,"Paga")</f>
        <v/>
      </c>
      <c r="J27" s="76">
        <f>0+SUMIFS(DESPESAS!$H:$H,DESPESAS!$F:$F,"Gastos com juros e taxas bancos",DESPESAS!$N:$N,7,DESPESAS!$O:$O,$E$5,DESPESAS!$J:$J,"Paga")</f>
        <v/>
      </c>
      <c r="K27" s="76">
        <f>0+SUMIFS(DESPESAS!$H:$H,DESPESAS!$F:$F,"Gastos com juros e taxas bancos",DESPESAS!$N:$N,8,DESPESAS!$O:$O,$E$5,DESPESAS!$J:$J,"Paga")</f>
        <v/>
      </c>
      <c r="L27" s="76">
        <f>0+SUMIFS(DESPESAS!$H:$H,DESPESAS!$F:$F,"Gastos com juros e taxas bancos",DESPESAS!$N:$N,9,DESPESAS!$O:$O,$E$5,DESPESAS!$J:$J,"Paga")</f>
        <v/>
      </c>
      <c r="M27" s="76">
        <f>146.19+SUMIFS(DESPESAS!$H:$H,DESPESAS!$F:$F,"Gastos com juros e taxas bancos",DESPESAS!$N:$N,10,DESPESAS!$O:$O,$E$5,DESPESAS!$J:$J,"Paga")</f>
        <v/>
      </c>
      <c r="N27" s="76">
        <f>0+SUMIFS(DESPESAS!$H:$H,DESPESAS!$F:$F,"Gastos com juros e taxas bancos",DESPESAS!$N:$N,11,DESPESAS!$O:$O,$E$5,DESPESAS!$J:$J,"Paga")</f>
        <v/>
      </c>
      <c r="O27" s="76">
        <f>0+SUMIFS(DESPESAS!$H:$H,DESPESAS!$F:$F,"Gastos com juros e taxas bancos",DESPESAS!$N:$N,12,DESPESAS!$O:$O,$E$5,DESPESAS!$J:$J,"Paga")</f>
        <v/>
      </c>
      <c r="P27" s="76">
        <f>SUM(D27:O27)</f>
        <v/>
      </c>
    </row>
    <row r="28">
      <c r="B28" s="74" t="inlineStr">
        <is>
          <t>2.9</t>
        </is>
      </c>
      <c r="C28" s="75" t="inlineStr">
        <is>
          <t>Aluguel da empresa</t>
        </is>
      </c>
      <c r="D28" s="76">
        <f>SUMIFS(DESPESAS!$H:$H, DESPESAS!$F:$F, "Aluguel da empresa", DESPESAS!$N:$N, 1, DESPESAS!$O:$O, $E$5, DESPESAS!$J:$J, "Paga")</f>
        <v/>
      </c>
      <c r="E28" s="76">
        <f>SUMIFS(DESPESAS!$H:$H, DESPESAS!$F:$F, "Aluguel da empresa", DESPESAS!$N:$N, 2, DESPESAS!$O:$O, $E$5, DESPESAS!$J:$J, "Paga")</f>
        <v/>
      </c>
      <c r="F28" s="76">
        <f>SUMIFS(DESPESAS!$H:$H, DESPESAS!$F:$F, "Aluguel da empresa", DESPESAS!$N:$N, 3, DESPESAS!$O:$O, $E$5, DESPESAS!$J:$J, "Paga")</f>
        <v/>
      </c>
      <c r="G28" s="76">
        <f>SUMIFS(DESPESAS!$H:$H, DESPESAS!$F:$F, "Aluguel da empresa", DESPESAS!$N:$N, 4, DESPESAS!$O:$O, $E$5, DESPESAS!$J:$J, "Paga")</f>
        <v/>
      </c>
      <c r="H28" s="76">
        <f>SUMIFS(DESPESAS!$H:$H, DESPESAS!$F:$F, "Aluguel da empresa", DESPESAS!$N:$N, 5, DESPESAS!$O:$O, $E$5, DESPESAS!$J:$J, "Paga")</f>
        <v/>
      </c>
      <c r="I28" s="76">
        <f>SUMIFS(DESPESAS!$H:$H, DESPESAS!$F:$F, "Aluguel da empresa", DESPESAS!$N:$N, 6, DESPESAS!$O:$O, $E$5, DESPESAS!$J:$J, "Paga")</f>
        <v/>
      </c>
      <c r="J28" s="76">
        <f>SUMIFS(DESPESAS!$H:$H, DESPESAS!$F:$F, "Aluguel da empresa", DESPESAS!$N:$N, 7, DESPESAS!$O:$O, $E$5, DESPESAS!$J:$J, "Paga")</f>
        <v/>
      </c>
      <c r="K28" s="76">
        <f>SUMIFS(DESPESAS!$H:$H, DESPESAS!$F:$F, "Aluguel da empresa", DESPESAS!$N:$N, 8, DESPESAS!$O:$O, $E$5, DESPESAS!$J:$J, "Paga")</f>
        <v/>
      </c>
      <c r="L28" s="76">
        <f>SUMIFS(DESPESAS!$H:$H, DESPESAS!$F:$F, "Aluguel da empresa", DESPESAS!$N:$N, 9, DESPESAS!$O:$O, $E$5, DESPESAS!$J:$J, "Paga")</f>
        <v/>
      </c>
      <c r="M28" s="76">
        <f>SUMIFS(DESPESAS!$H:$H, DESPESAS!$F:$F, "Aluguel da empresa", DESPESAS!$N:$N, 10, DESPESAS!$O:$O, $E$5, DESPESAS!$J:$J, "Paga")</f>
        <v/>
      </c>
      <c r="N28" s="76">
        <f>SUMIFS(DESPESAS!$H:$H, DESPESAS!$F:$F, "Aluguel da empresa", DESPESAS!$N:$N, 11, DESPESAS!$O:$O, $E$5, DESPESAS!$J:$J, "Paga")</f>
        <v/>
      </c>
      <c r="O28" s="76">
        <f>SUMIFS(DESPESAS!$H:$H, DESPESAS!$F:$F, "Aluguel da empresa", DESPESAS!$N:$N, 12, DESPESAS!$O:$O, $E$5, DESPESAS!$J:$J, "Paga")</f>
        <v/>
      </c>
      <c r="P28" s="76">
        <f>SUM(D28:O28)</f>
        <v/>
      </c>
    </row>
    <row r="29">
      <c r="B29" s="74" t="inlineStr">
        <is>
          <t>2.10</t>
        </is>
      </c>
      <c r="C29" s="75" t="inlineStr">
        <is>
          <t>Energia elétrica da empresa</t>
        </is>
      </c>
      <c r="D29" s="76">
        <f>SUMIFS(DESPESAS!$H:$H, DESPESAS!$F:$F, "Energia elétrica da empresa", DESPESAS!$N:$N, 1, DESPESAS!$O:$O, $E$5, DESPESAS!$J:$J, "Paga")</f>
        <v/>
      </c>
      <c r="E29" s="76">
        <f>SUMIFS(DESPESAS!$H:$H, DESPESAS!$F:$F, "Energia elétrica da empresa", DESPESAS!$N:$N, 2, DESPESAS!$O:$O, $E$5, DESPESAS!$J:$J, "Paga")</f>
        <v/>
      </c>
      <c r="F29" s="76">
        <f>SUMIFS(DESPESAS!$H:$H, DESPESAS!$F:$F, "Energia elétrica da empresa", DESPESAS!$N:$N, 3, DESPESAS!$O:$O, $E$5, DESPESAS!$J:$J, "Paga")</f>
        <v/>
      </c>
      <c r="G29" s="76">
        <f>SUMIFS(DESPESAS!$H:$H, DESPESAS!$F:$F, "Energia elétrica da empresa", DESPESAS!$N:$N, 4, DESPESAS!$O:$O, $E$5, DESPESAS!$J:$J, "Paga")</f>
        <v/>
      </c>
      <c r="H29" s="76">
        <f>SUMIFS(DESPESAS!$H:$H, DESPESAS!$F:$F, "Energia elétrica da empresa", DESPESAS!$N:$N, 5, DESPESAS!$O:$O, $E$5, DESPESAS!$J:$J, "Paga")</f>
        <v/>
      </c>
      <c r="I29" s="76">
        <f>SUMIFS(DESPESAS!$H:$H, DESPESAS!$F:$F, "Energia elétrica da empresa", DESPESAS!$N:$N, 6, DESPESAS!$O:$O, $E$5, DESPESAS!$J:$J, "Paga")</f>
        <v/>
      </c>
      <c r="J29" s="76">
        <f>SUMIFS(DESPESAS!$H:$H, DESPESAS!$F:$F, "Energia elétrica da empresa", DESPESAS!$N:$N, 7, DESPESAS!$O:$O, $E$5, DESPESAS!$J:$J, "Paga")</f>
        <v/>
      </c>
      <c r="K29" s="76">
        <f>SUMIFS(DESPESAS!$H:$H, DESPESAS!$F:$F, "Energia elétrica da empresa", DESPESAS!$N:$N, 8, DESPESAS!$O:$O, $E$5, DESPESAS!$J:$J, "Paga")</f>
        <v/>
      </c>
      <c r="L29" s="76">
        <f>SUMIFS(DESPESAS!$H:$H, DESPESAS!$F:$F, "Energia elétrica da empresa", DESPESAS!$N:$N, 9, DESPESAS!$O:$O, $E$5, DESPESAS!$J:$J, "Paga")</f>
        <v/>
      </c>
      <c r="M29" s="76">
        <f>SUMIFS(DESPESAS!$H:$H, DESPESAS!$F:$F, "Energia elétrica da empresa", DESPESAS!$N:$N, 10, DESPESAS!$O:$O, $E$5, DESPESAS!$J:$J, "Paga")</f>
        <v/>
      </c>
      <c r="N29" s="76">
        <f>SUMIFS(DESPESAS!$H:$H, DESPESAS!$F:$F, "Energia elétrica da empresa", DESPESAS!$N:$N, 11, DESPESAS!$O:$O, $E$5, DESPESAS!$J:$J, "Paga")</f>
        <v/>
      </c>
      <c r="O29" s="76">
        <f>SUMIFS(DESPESAS!$H:$H, DESPESAS!$F:$F, "Energia elétrica da empresa", DESPESAS!$N:$N, 12, DESPESAS!$O:$O, $E$5, DESPESAS!$J:$J, "Paga")</f>
        <v/>
      </c>
      <c r="P29" s="76">
        <f>SUM(D29:O29)</f>
        <v/>
      </c>
    </row>
    <row r="30">
      <c r="B30" s="74" t="inlineStr">
        <is>
          <t>2.11</t>
        </is>
      </c>
      <c r="C30" s="75" t="inlineStr">
        <is>
          <t>Água da empresa</t>
        </is>
      </c>
      <c r="D30" s="76">
        <f>SUMIFS(DESPESAS!$H:$H, DESPESAS!$F:$F, "Água da empresa", DESPESAS!$N:$N, 1, DESPESAS!$O:$O, $E$5, DESPESAS!$J:$J, "Paga")</f>
        <v/>
      </c>
      <c r="E30" s="76">
        <f>SUMIFS(DESPESAS!$H:$H, DESPESAS!$F:$F, "Água da empresa", DESPESAS!$N:$N, 2, DESPESAS!$O:$O, $E$5, DESPESAS!$J:$J, "Paga")</f>
        <v/>
      </c>
      <c r="F30" s="76">
        <f>SUMIFS(DESPESAS!$H:$H, DESPESAS!$F:$F, "Água da empresa", DESPESAS!$N:$N, 3, DESPESAS!$O:$O, $E$5, DESPESAS!$J:$J, "Paga")</f>
        <v/>
      </c>
      <c r="G30" s="76">
        <f>SUMIFS(DESPESAS!$H:$H, DESPESAS!$F:$F, "Água da empresa", DESPESAS!$N:$N, 4, DESPESAS!$O:$O, $E$5, DESPESAS!$J:$J, "Paga")</f>
        <v/>
      </c>
      <c r="H30" s="76">
        <f>SUMIFS(DESPESAS!$H:$H, DESPESAS!$F:$F, "Água da empresa", DESPESAS!$N:$N, 5, DESPESAS!$O:$O, $E$5, DESPESAS!$J:$J, "Paga")</f>
        <v/>
      </c>
      <c r="I30" s="76">
        <f>SUMIFS(DESPESAS!$H:$H, DESPESAS!$F:$F, "Água da empresa", DESPESAS!$N:$N, 6, DESPESAS!$O:$O, $E$5, DESPESAS!$J:$J, "Paga")</f>
        <v/>
      </c>
      <c r="J30" s="76">
        <f>SUMIFS(DESPESAS!$H:$H, DESPESAS!$F:$F, "Água da empresa", DESPESAS!$N:$N, 7, DESPESAS!$O:$O, $E$5, DESPESAS!$J:$J, "Paga")</f>
        <v/>
      </c>
      <c r="K30" s="76">
        <f>SUMIFS(DESPESAS!$H:$H, DESPESAS!$F:$F, "Água da empresa", DESPESAS!$N:$N, 8, DESPESAS!$O:$O, $E$5, DESPESAS!$J:$J, "Paga")</f>
        <v/>
      </c>
      <c r="L30" s="76">
        <f>SUMIFS(DESPESAS!$H:$H, DESPESAS!$F:$F, "Água da empresa", DESPESAS!$N:$N, 9, DESPESAS!$O:$O, $E$5, DESPESAS!$J:$J, "Paga")</f>
        <v/>
      </c>
      <c r="M30" s="76">
        <f>SUMIFS(DESPESAS!$H:$H, DESPESAS!$F:$F, "Água da empresa", DESPESAS!$N:$N, 10, DESPESAS!$O:$O, $E$5, DESPESAS!$J:$J, "Paga")</f>
        <v/>
      </c>
      <c r="N30" s="76">
        <f>SUMIFS(DESPESAS!$H:$H, DESPESAS!$F:$F, "Água da empresa", DESPESAS!$N:$N, 11, DESPESAS!$O:$O, $E$5, DESPESAS!$J:$J, "Paga")</f>
        <v/>
      </c>
      <c r="O30" s="76">
        <f>SUMIFS(DESPESAS!$H:$H, DESPESAS!$F:$F, "Água da empresa", DESPESAS!$N:$N, 12, DESPESAS!$O:$O, $E$5, DESPESAS!$J:$J, "Paga")</f>
        <v/>
      </c>
      <c r="P30" s="76">
        <f>SUM(D30:O30)</f>
        <v/>
      </c>
    </row>
    <row r="31">
      <c r="B31" s="74" t="inlineStr">
        <is>
          <t>2.12</t>
        </is>
      </c>
      <c r="C31" s="75" t="inlineStr">
        <is>
          <t>Telefone da empresa</t>
        </is>
      </c>
      <c r="D31" s="76">
        <f>SUMIFS(DESPESAS!$H:$H, DESPESAS!$F:$F, "Telefone da empresa", DESPESAS!$N:$N, 1, DESPESAS!$O:$O, $E$5, DESPESAS!$J:$J, "Paga")</f>
        <v/>
      </c>
      <c r="E31" s="76">
        <f>SUMIFS(DESPESAS!$H:$H, DESPESAS!$F:$F, "Telefone da empresa", DESPESAS!$N:$N, 2, DESPESAS!$O:$O, $E$5, DESPESAS!$J:$J, "Paga")</f>
        <v/>
      </c>
      <c r="F31" s="76">
        <f>SUMIFS(DESPESAS!$H:$H, DESPESAS!$F:$F, "Telefone da empresa", DESPESAS!$N:$N, 3, DESPESAS!$O:$O, $E$5, DESPESAS!$J:$J, "Paga")</f>
        <v/>
      </c>
      <c r="G31" s="76">
        <f>SUMIFS(DESPESAS!$H:$H, DESPESAS!$F:$F, "Telefone da empresa", DESPESAS!$N:$N, 4, DESPESAS!$O:$O, $E$5, DESPESAS!$J:$J, "Paga")</f>
        <v/>
      </c>
      <c r="H31" s="76">
        <f>SUMIFS(DESPESAS!$H:$H, DESPESAS!$F:$F, "Telefone da empresa", DESPESAS!$N:$N, 5, DESPESAS!$O:$O, $E$5, DESPESAS!$J:$J, "Paga")</f>
        <v/>
      </c>
      <c r="I31" s="76">
        <f>SUMIFS(DESPESAS!$H:$H, DESPESAS!$F:$F, "Telefone da empresa", DESPESAS!$N:$N, 6, DESPESAS!$O:$O, $E$5, DESPESAS!$J:$J, "Paga")</f>
        <v/>
      </c>
      <c r="J31" s="76">
        <f>SUMIFS(DESPESAS!$H:$H, DESPESAS!$F:$F, "Telefone da empresa", DESPESAS!$N:$N, 7, DESPESAS!$O:$O, $E$5, DESPESAS!$J:$J, "Paga")</f>
        <v/>
      </c>
      <c r="K31" s="76">
        <f>SUMIFS(DESPESAS!$H:$H, DESPESAS!$F:$F, "Telefone da empresa", DESPESAS!$N:$N, 8, DESPESAS!$O:$O, $E$5, DESPESAS!$J:$J, "Paga")</f>
        <v/>
      </c>
      <c r="L31" s="76">
        <f>SUMIFS(DESPESAS!$H:$H, DESPESAS!$F:$F, "Telefone da empresa", DESPESAS!$N:$N, 9, DESPESAS!$O:$O, $E$5, DESPESAS!$J:$J, "Paga")</f>
        <v/>
      </c>
      <c r="M31" s="76">
        <f>SUMIFS(DESPESAS!$H:$H, DESPESAS!$F:$F, "Telefone da empresa", DESPESAS!$N:$N, 10, DESPESAS!$O:$O, $E$5, DESPESAS!$J:$J, "Paga")</f>
        <v/>
      </c>
      <c r="N31" s="76">
        <f>SUMIFS(DESPESAS!$H:$H, DESPESAS!$F:$F, "Telefone da empresa", DESPESAS!$N:$N, 11, DESPESAS!$O:$O, $E$5, DESPESAS!$J:$J, "Paga")</f>
        <v/>
      </c>
      <c r="O31" s="76">
        <f>SUMIFS(DESPESAS!$H:$H, DESPESAS!$F:$F, "Telefone da empresa", DESPESAS!$N:$N, 12, DESPESAS!$O:$O, $E$5, DESPESAS!$J:$J, "Paga")</f>
        <v/>
      </c>
      <c r="P31" s="76">
        <f>SUM(D31:O31)</f>
        <v/>
      </c>
    </row>
    <row r="32">
      <c r="B32" s="74" t="inlineStr">
        <is>
          <t>2.13</t>
        </is>
      </c>
      <c r="C32" s="75" t="inlineStr">
        <is>
          <t>Internet da empresa</t>
        </is>
      </c>
      <c r="D32" s="76">
        <f>SUMIFS(DESPESAS!$H:$H, DESPESAS!$F:$F, "Internet da empresa", DESPESAS!$N:$N, 1, DESPESAS!$O:$O, $E$5, DESPESAS!$J:$J, "Paga")</f>
        <v/>
      </c>
      <c r="E32" s="76">
        <f>SUMIFS(DESPESAS!$H:$H, DESPESAS!$F:$F, "Internet da empresa", DESPESAS!$N:$N, 2, DESPESAS!$O:$O, $E$5, DESPESAS!$J:$J, "Paga")</f>
        <v/>
      </c>
      <c r="F32" s="76">
        <f>SUMIFS(DESPESAS!$H:$H, DESPESAS!$F:$F, "Internet da empresa", DESPESAS!$N:$N, 3, DESPESAS!$O:$O, $E$5, DESPESAS!$J:$J, "Paga")</f>
        <v/>
      </c>
      <c r="G32" s="76">
        <f>SUMIFS(DESPESAS!$H:$H, DESPESAS!$F:$F, "Internet da empresa", DESPESAS!$N:$N, 4, DESPESAS!$O:$O, $E$5, DESPESAS!$J:$J, "Paga")</f>
        <v/>
      </c>
      <c r="H32" s="76">
        <f>SUMIFS(DESPESAS!$H:$H, DESPESAS!$F:$F, "Internet da empresa", DESPESAS!$N:$N, 5, DESPESAS!$O:$O, $E$5, DESPESAS!$J:$J, "Paga")</f>
        <v/>
      </c>
      <c r="I32" s="76">
        <f>SUMIFS(DESPESAS!$H:$H, DESPESAS!$F:$F, "Internet da empresa", DESPESAS!$N:$N, 6, DESPESAS!$O:$O, $E$5, DESPESAS!$J:$J, "Paga")</f>
        <v/>
      </c>
      <c r="J32" s="76">
        <f>SUMIFS(DESPESAS!$H:$H, DESPESAS!$F:$F, "Internet da empresa", DESPESAS!$N:$N, 7, DESPESAS!$O:$O, $E$5, DESPESAS!$J:$J, "Paga")</f>
        <v/>
      </c>
      <c r="K32" s="76">
        <f>SUMIFS(DESPESAS!$H:$H, DESPESAS!$F:$F, "Internet da empresa", DESPESAS!$N:$N, 8, DESPESAS!$O:$O, $E$5, DESPESAS!$J:$J, "Paga")</f>
        <v/>
      </c>
      <c r="L32" s="76">
        <f>SUMIFS(DESPESAS!$H:$H, DESPESAS!$F:$F, "Internet da empresa", DESPESAS!$N:$N, 9, DESPESAS!$O:$O, $E$5, DESPESAS!$J:$J, "Paga")</f>
        <v/>
      </c>
      <c r="M32" s="76">
        <f>SUMIFS(DESPESAS!$H:$H, DESPESAS!$F:$F, "Internet da empresa", DESPESAS!$N:$N, 10, DESPESAS!$O:$O, $E$5, DESPESAS!$J:$J, "Paga")</f>
        <v/>
      </c>
      <c r="N32" s="76">
        <f>SUMIFS(DESPESAS!$H:$H, DESPESAS!$F:$F, "Internet da empresa", DESPESAS!$N:$N, 11, DESPESAS!$O:$O, $E$5, DESPESAS!$J:$J, "Paga")</f>
        <v/>
      </c>
      <c r="O32" s="76">
        <f>SUMIFS(DESPESAS!$H:$H, DESPESAS!$F:$F, "Internet da empresa", DESPESAS!$N:$N, 12, DESPESAS!$O:$O, $E$5, DESPESAS!$J:$J, "Paga")</f>
        <v/>
      </c>
      <c r="P32" s="76">
        <f>SUM(D32:O32)</f>
        <v/>
      </c>
    </row>
    <row r="33">
      <c r="B33" s="74" t="inlineStr">
        <is>
          <t>2.14</t>
        </is>
      </c>
      <c r="C33" s="75" t="inlineStr">
        <is>
          <t>Combustível da empresa</t>
        </is>
      </c>
      <c r="D33" s="76">
        <f>SUMIFS(DESPESAS!$H:$H, DESPESAS!$F:$F, "Combustível da empresa", DESPESAS!$N:$N, 1, DESPESAS!$O:$O, $E$5, DESPESAS!$J:$J, "Paga")</f>
        <v/>
      </c>
      <c r="E33" s="76">
        <f>SUMIFS(DESPESAS!$H:$H, DESPESAS!$F:$F, "Combustível da empresa", DESPESAS!$N:$N, 2, DESPESAS!$O:$O, $E$5, DESPESAS!$J:$J, "Paga")</f>
        <v/>
      </c>
      <c r="F33" s="76">
        <f>SUMIFS(DESPESAS!$H:$H, DESPESAS!$F:$F, "Combustível da empresa", DESPESAS!$N:$N, 3, DESPESAS!$O:$O, $E$5, DESPESAS!$J:$J, "Paga")</f>
        <v/>
      </c>
      <c r="G33" s="76">
        <f>SUMIFS(DESPESAS!$H:$H, DESPESAS!$F:$F, "Combustível da empresa", DESPESAS!$N:$N, 4, DESPESAS!$O:$O, $E$5, DESPESAS!$J:$J, "Paga")</f>
        <v/>
      </c>
      <c r="H33" s="76">
        <f>SUMIFS(DESPESAS!$H:$H, DESPESAS!$F:$F, "Combustível da empresa", DESPESAS!$N:$N, 5, DESPESAS!$O:$O, $E$5, DESPESAS!$J:$J, "Paga")</f>
        <v/>
      </c>
      <c r="I33" s="76">
        <f>SUMIFS(DESPESAS!$H:$H, DESPESAS!$F:$F, "Combustível da empresa", DESPESAS!$N:$N, 6, DESPESAS!$O:$O, $E$5, DESPESAS!$J:$J, "Paga")</f>
        <v/>
      </c>
      <c r="J33" s="76">
        <f>SUMIFS(DESPESAS!$H:$H, DESPESAS!$F:$F, "Combustível da empresa", DESPESAS!$N:$N, 7, DESPESAS!$O:$O, $E$5, DESPESAS!$J:$J, "Paga")</f>
        <v/>
      </c>
      <c r="K33" s="76">
        <f>SUMIFS(DESPESAS!$H:$H, DESPESAS!$F:$F, "Combustível da empresa", DESPESAS!$N:$N, 8, DESPESAS!$O:$O, $E$5, DESPESAS!$J:$J, "Paga")</f>
        <v/>
      </c>
      <c r="L33" s="76">
        <f>SUMIFS(DESPESAS!$H:$H, DESPESAS!$F:$F, "Combustível da empresa", DESPESAS!$N:$N, 9, DESPESAS!$O:$O, $E$5, DESPESAS!$J:$J, "Paga")</f>
        <v/>
      </c>
      <c r="M33" s="76">
        <f>SUMIFS(DESPESAS!$H:$H, DESPESAS!$F:$F, "Combustível da empresa", DESPESAS!$N:$N, 10, DESPESAS!$O:$O, $E$5, DESPESAS!$J:$J, "Paga")</f>
        <v/>
      </c>
      <c r="N33" s="76">
        <f>SUMIFS(DESPESAS!$H:$H, DESPESAS!$F:$F, "Combustível da empresa", DESPESAS!$N:$N, 11, DESPESAS!$O:$O, $E$5, DESPESAS!$J:$J, "Paga")</f>
        <v/>
      </c>
      <c r="O33" s="76">
        <f>SUMIFS(DESPESAS!$H:$H, DESPESAS!$F:$F, "Combustível da empresa", DESPESAS!$N:$N, 12, DESPESAS!$O:$O, $E$5, DESPESAS!$J:$J, "Paga")</f>
        <v/>
      </c>
      <c r="P33" s="76">
        <f>SUM(D33:O33)</f>
        <v/>
      </c>
    </row>
    <row r="34">
      <c r="B34" s="74" t="inlineStr">
        <is>
          <t>2.15</t>
        </is>
      </c>
      <c r="C34" s="75" t="inlineStr">
        <is>
          <t>Manutenção do veículo da empresa</t>
        </is>
      </c>
      <c r="D34" s="76">
        <f>SUMIFS(DESPESAS!$H:$H, DESPESAS!$F:$F, "Manutenção do veículo da empresa", DESPESAS!$N:$N, 1, DESPESAS!$O:$O, $E$5, DESPESAS!$J:$J, "Paga")</f>
        <v/>
      </c>
      <c r="E34" s="76">
        <f>SUMIFS(DESPESAS!$H:$H, DESPESAS!$F:$F, "Manutenção do veículo da empresa", DESPESAS!$N:$N, 2, DESPESAS!$O:$O, $E$5, DESPESAS!$J:$J, "Paga")</f>
        <v/>
      </c>
      <c r="F34" s="76">
        <f>SUMIFS(DESPESAS!$H:$H, DESPESAS!$F:$F, "Manutenção do veículo da empresa", DESPESAS!$N:$N, 3, DESPESAS!$O:$O, $E$5, DESPESAS!$J:$J, "Paga")</f>
        <v/>
      </c>
      <c r="G34" s="76">
        <f>SUMIFS(DESPESAS!$H:$H, DESPESAS!$F:$F, "Manutenção do veículo da empresa", DESPESAS!$N:$N, 4, DESPESAS!$O:$O, $E$5, DESPESAS!$J:$J, "Paga")</f>
        <v/>
      </c>
      <c r="H34" s="76">
        <f>SUMIFS(DESPESAS!$H:$H, DESPESAS!$F:$F, "Manutenção do veículo da empresa", DESPESAS!$N:$N, 5, DESPESAS!$O:$O, $E$5, DESPESAS!$J:$J, "Paga")</f>
        <v/>
      </c>
      <c r="I34" s="76">
        <f>SUMIFS(DESPESAS!$H:$H, DESPESAS!$F:$F, "Manutenção do veículo da empresa", DESPESAS!$N:$N, 6, DESPESAS!$O:$O, $E$5, DESPESAS!$J:$J, "Paga")</f>
        <v/>
      </c>
      <c r="J34" s="76">
        <f>SUMIFS(DESPESAS!$H:$H, DESPESAS!$F:$F, "Manutenção do veículo da empresa", DESPESAS!$N:$N, 7, DESPESAS!$O:$O, $E$5, DESPESAS!$J:$J, "Paga")</f>
        <v/>
      </c>
      <c r="K34" s="76">
        <f>SUMIFS(DESPESAS!$H:$H, DESPESAS!$F:$F, "Manutenção do veículo da empresa", DESPESAS!$N:$N, 8, DESPESAS!$O:$O, $E$5, DESPESAS!$J:$J, "Paga")</f>
        <v/>
      </c>
      <c r="L34" s="76">
        <f>SUMIFS(DESPESAS!$H:$H, DESPESAS!$F:$F, "Manutenção do veículo da empresa", DESPESAS!$N:$N, 9, DESPESAS!$O:$O, $E$5, DESPESAS!$J:$J, "Paga")</f>
        <v/>
      </c>
      <c r="M34" s="76">
        <f>SUMIFS(DESPESAS!$H:$H, DESPESAS!$F:$F, "Manutenção do veículo da empresa", DESPESAS!$N:$N, 10, DESPESAS!$O:$O, $E$5, DESPESAS!$J:$J, "Paga")</f>
        <v/>
      </c>
      <c r="N34" s="76">
        <f>SUMIFS(DESPESAS!$H:$H, DESPESAS!$F:$F, "Manutenção do veículo da empresa", DESPESAS!$N:$N, 11, DESPESAS!$O:$O, $E$5, DESPESAS!$J:$J, "Paga")</f>
        <v/>
      </c>
      <c r="O34" s="76">
        <f>SUMIFS(DESPESAS!$H:$H, DESPESAS!$F:$F, "Manutenção do veículo da empresa", DESPESAS!$N:$N, 12, DESPESAS!$O:$O, $E$5, DESPESAS!$J:$J, "Paga")</f>
        <v/>
      </c>
      <c r="P34" s="76">
        <f>SUM(D34:O34)</f>
        <v/>
      </c>
    </row>
    <row r="35">
      <c r="B35" s="74" t="inlineStr">
        <is>
          <t>2.16</t>
        </is>
      </c>
      <c r="C35" s="75" t="inlineStr">
        <is>
          <t>Manutenção da empresa</t>
        </is>
      </c>
      <c r="D35" s="76">
        <f>SUMIFS(DESPESAS!$H:$H, DESPESAS!$F:$F, "Manutenção da empresa", DESPESAS!$N:$N, 1, DESPESAS!$O:$O, $E$5, DESPESAS!$J:$J, "Paga")</f>
        <v/>
      </c>
      <c r="E35" s="76">
        <f>SUMIFS(DESPESAS!$H:$H, DESPESAS!$F:$F, "Manutenção da empresa", DESPESAS!$N:$N, 2, DESPESAS!$O:$O, $E$5, DESPESAS!$J:$J, "Paga")</f>
        <v/>
      </c>
      <c r="F35" s="76">
        <f>SUMIFS(DESPESAS!$H:$H, DESPESAS!$F:$F, "Manutenção da empresa", DESPESAS!$N:$N, 3, DESPESAS!$O:$O, $E$5, DESPESAS!$J:$J, "Paga")</f>
        <v/>
      </c>
      <c r="G35" s="76">
        <f>SUMIFS(DESPESAS!$H:$H, DESPESAS!$F:$F, "Manutenção da empresa", DESPESAS!$N:$N, 4, DESPESAS!$O:$O, $E$5, DESPESAS!$J:$J, "Paga")</f>
        <v/>
      </c>
      <c r="H35" s="76">
        <f>SUMIFS(DESPESAS!$H:$H, DESPESAS!$F:$F, "Manutenção da empresa", DESPESAS!$N:$N, 5, DESPESAS!$O:$O, $E$5, DESPESAS!$J:$J, "Paga")</f>
        <v/>
      </c>
      <c r="I35" s="76">
        <f>SUMIFS(DESPESAS!$H:$H, DESPESAS!$F:$F, "Manutenção da empresa", DESPESAS!$N:$N, 6, DESPESAS!$O:$O, $E$5, DESPESAS!$J:$J, "Paga")</f>
        <v/>
      </c>
      <c r="J35" s="76">
        <f>SUMIFS(DESPESAS!$H:$H, DESPESAS!$F:$F, "Manutenção da empresa", DESPESAS!$N:$N, 7, DESPESAS!$O:$O, $E$5, DESPESAS!$J:$J, "Paga")</f>
        <v/>
      </c>
      <c r="K35" s="76">
        <f>SUMIFS(DESPESAS!$H:$H, DESPESAS!$F:$F, "Manutenção da empresa", DESPESAS!$N:$N, 8, DESPESAS!$O:$O, $E$5, DESPESAS!$J:$J, "Paga")</f>
        <v/>
      </c>
      <c r="L35" s="76">
        <f>SUMIFS(DESPESAS!$H:$H, DESPESAS!$F:$F, "Manutenção da empresa", DESPESAS!$N:$N, 9, DESPESAS!$O:$O, $E$5, DESPESAS!$J:$J, "Paga")</f>
        <v/>
      </c>
      <c r="M35" s="76">
        <f>SUMIFS(DESPESAS!$H:$H, DESPESAS!$F:$F, "Manutenção da empresa", DESPESAS!$N:$N, 10, DESPESAS!$O:$O, $E$5, DESPESAS!$J:$J, "Paga")</f>
        <v/>
      </c>
      <c r="N35" s="76">
        <f>SUMIFS(DESPESAS!$H:$H, DESPESAS!$F:$F, "Manutenção da empresa", DESPESAS!$N:$N, 11, DESPESAS!$O:$O, $E$5, DESPESAS!$J:$J, "Paga")</f>
        <v/>
      </c>
      <c r="O35" s="76">
        <f>SUMIFS(DESPESAS!$H:$H, DESPESAS!$F:$F, "Manutenção da empresa", DESPESAS!$N:$N, 12, DESPESAS!$O:$O, $E$5, DESPESAS!$J:$J, "Paga")</f>
        <v/>
      </c>
      <c r="P35" s="76">
        <f>SUM(D35:O35)</f>
        <v/>
      </c>
    </row>
    <row r="36">
      <c r="B36" s="74" t="inlineStr">
        <is>
          <t>2.17</t>
        </is>
      </c>
      <c r="C36" s="75" t="inlineStr">
        <is>
          <t>Serviços contábeis</t>
        </is>
      </c>
      <c r="D36" s="76">
        <f>SUMIFS(DESPESAS!$H:$H, DESPESAS!$F:$F, "Serviços contábeis", DESPESAS!$N:$N, 1, DESPESAS!$O:$O, $E$5, DESPESAS!$J:$J, "Paga")</f>
        <v/>
      </c>
      <c r="E36" s="76">
        <f>SUMIFS(DESPESAS!$H:$H, DESPESAS!$F:$F, "Serviços contábeis", DESPESAS!$N:$N, 2, DESPESAS!$O:$O, $E$5, DESPESAS!$J:$J, "Paga")</f>
        <v/>
      </c>
      <c r="F36" s="76">
        <f>SUMIFS(DESPESAS!$H:$H, DESPESAS!$F:$F, "Serviços contábeis", DESPESAS!$N:$N, 3, DESPESAS!$O:$O, $E$5, DESPESAS!$J:$J, "Paga")</f>
        <v/>
      </c>
      <c r="G36" s="76">
        <f>SUMIFS(DESPESAS!$H:$H, DESPESAS!$F:$F, "Serviços contábeis", DESPESAS!$N:$N, 4, DESPESAS!$O:$O, $E$5, DESPESAS!$J:$J, "Paga")</f>
        <v/>
      </c>
      <c r="H36" s="76">
        <f>SUMIFS(DESPESAS!$H:$H, DESPESAS!$F:$F, "Serviços contábeis", DESPESAS!$N:$N, 5, DESPESAS!$O:$O, $E$5, DESPESAS!$J:$J, "Paga")</f>
        <v/>
      </c>
      <c r="I36" s="76">
        <f>SUMIFS(DESPESAS!$H:$H, DESPESAS!$F:$F, "Serviços contábeis", DESPESAS!$N:$N, 6, DESPESAS!$O:$O, $E$5, DESPESAS!$J:$J, "Paga")</f>
        <v/>
      </c>
      <c r="J36" s="76">
        <f>SUMIFS(DESPESAS!$H:$H, DESPESAS!$F:$F, "Serviços contábeis", DESPESAS!$N:$N, 7, DESPESAS!$O:$O, $E$5, DESPESAS!$J:$J, "Paga")</f>
        <v/>
      </c>
      <c r="K36" s="76">
        <f>SUMIFS(DESPESAS!$H:$H, DESPESAS!$F:$F, "Serviços contábeis", DESPESAS!$N:$N, 8, DESPESAS!$O:$O, $E$5, DESPESAS!$J:$J, "Paga")</f>
        <v/>
      </c>
      <c r="L36" s="76">
        <f>SUMIFS(DESPESAS!$H:$H, DESPESAS!$F:$F, "Serviços contábeis", DESPESAS!$N:$N, 9, DESPESAS!$O:$O, $E$5, DESPESAS!$J:$J, "Paga")</f>
        <v/>
      </c>
      <c r="M36" s="76">
        <f>SUMIFS(DESPESAS!$H:$H, DESPESAS!$F:$F, "Serviços contábeis", DESPESAS!$N:$N, 10, DESPESAS!$O:$O, $E$5, DESPESAS!$J:$J, "Paga")</f>
        <v/>
      </c>
      <c r="N36" s="76">
        <f>SUMIFS(DESPESAS!$H:$H, DESPESAS!$F:$F, "Serviços contábeis", DESPESAS!$N:$N, 11, DESPESAS!$O:$O, $E$5, DESPESAS!$J:$J, "Paga")</f>
        <v/>
      </c>
      <c r="O36" s="76">
        <f>SUMIFS(DESPESAS!$H:$H, DESPESAS!$F:$F, "Serviços contábeis", DESPESAS!$N:$N, 12, DESPESAS!$O:$O, $E$5, DESPESAS!$J:$J, "Paga")</f>
        <v/>
      </c>
      <c r="P36" s="76">
        <f>SUM(D36:O36)</f>
        <v/>
      </c>
    </row>
    <row r="37">
      <c r="B37" s="74" t="inlineStr">
        <is>
          <t>2.18</t>
        </is>
      </c>
      <c r="C37" s="75" t="inlineStr">
        <is>
          <t>Segurança da empresa</t>
        </is>
      </c>
      <c r="D37" s="76">
        <f>SUMIFS(DESPESAS!$H:$H, DESPESAS!$F:$F, "Segurança da empresa", DESPESAS!$N:$N, 1, DESPESAS!$O:$O, $E$5, DESPESAS!$J:$J, "Paga")</f>
        <v/>
      </c>
      <c r="E37" s="76">
        <f>SUMIFS(DESPESAS!$H:$H, DESPESAS!$F:$F, "Segurança da empresa", DESPESAS!$N:$N, 2, DESPESAS!$O:$O, $E$5, DESPESAS!$J:$J, "Paga")</f>
        <v/>
      </c>
      <c r="F37" s="76">
        <f>SUMIFS(DESPESAS!$H:$H, DESPESAS!$F:$F, "Segurança da empresa", DESPESAS!$N:$N, 3, DESPESAS!$O:$O, $E$5, DESPESAS!$J:$J, "Paga")</f>
        <v/>
      </c>
      <c r="G37" s="76">
        <f>SUMIFS(DESPESAS!$H:$H, DESPESAS!$F:$F, "Segurança da empresa", DESPESAS!$N:$N, 4, DESPESAS!$O:$O, $E$5, DESPESAS!$J:$J, "Paga")</f>
        <v/>
      </c>
      <c r="H37" s="76">
        <f>SUMIFS(DESPESAS!$H:$H, DESPESAS!$F:$F, "Segurança da empresa", DESPESAS!$N:$N, 5, DESPESAS!$O:$O, $E$5, DESPESAS!$J:$J, "Paga")</f>
        <v/>
      </c>
      <c r="I37" s="76">
        <f>SUMIFS(DESPESAS!$H:$H, DESPESAS!$F:$F, "Segurança da empresa", DESPESAS!$N:$N, 6, DESPESAS!$O:$O, $E$5, DESPESAS!$J:$J, "Paga")</f>
        <v/>
      </c>
      <c r="J37" s="76">
        <f>SUMIFS(DESPESAS!$H:$H, DESPESAS!$F:$F, "Segurança da empresa", DESPESAS!$N:$N, 7, DESPESAS!$O:$O, $E$5, DESPESAS!$J:$J, "Paga")</f>
        <v/>
      </c>
      <c r="K37" s="76">
        <f>SUMIFS(DESPESAS!$H:$H, DESPESAS!$F:$F, "Segurança da empresa", DESPESAS!$N:$N, 8, DESPESAS!$O:$O, $E$5, DESPESAS!$J:$J, "Paga")</f>
        <v/>
      </c>
      <c r="L37" s="76">
        <f>SUMIFS(DESPESAS!$H:$H, DESPESAS!$F:$F, "Segurança da empresa", DESPESAS!$N:$N, 9, DESPESAS!$O:$O, $E$5, DESPESAS!$J:$J, "Paga")</f>
        <v/>
      </c>
      <c r="M37" s="76">
        <f>SUMIFS(DESPESAS!$H:$H, DESPESAS!$F:$F, "Segurança da empresa", DESPESAS!$N:$N, 10, DESPESAS!$O:$O, $E$5, DESPESAS!$J:$J, "Paga")</f>
        <v/>
      </c>
      <c r="N37" s="76">
        <f>SUMIFS(DESPESAS!$H:$H, DESPESAS!$F:$F, "Segurança da empresa", DESPESAS!$N:$N, 11, DESPESAS!$O:$O, $E$5, DESPESAS!$J:$J, "Paga")</f>
        <v/>
      </c>
      <c r="O37" s="76">
        <f>SUMIFS(DESPESAS!$H:$H, DESPESAS!$F:$F, "Segurança da empresa", DESPESAS!$N:$N, 12, DESPESAS!$O:$O, $E$5, DESPESAS!$J:$J, "Paga")</f>
        <v/>
      </c>
      <c r="P37" s="76">
        <f>SUM(D37:O37)</f>
        <v/>
      </c>
    </row>
    <row r="38">
      <c r="B38" s="74" t="inlineStr">
        <is>
          <t>2.19</t>
        </is>
      </c>
      <c r="C38" s="75" t="inlineStr">
        <is>
          <t>Despesas diversas da empresa</t>
        </is>
      </c>
      <c r="D38" s="76">
        <f>SUMIFS(DESPESAS!$H:$H, DESPESAS!$F:$F, "Despesas diversas da empresa", DESPESAS!$N:$N, 1, DESPESAS!$O:$O, $E$5, DESPESAS!$J:$J, "Paga")</f>
        <v/>
      </c>
      <c r="E38" s="76">
        <f>SUMIFS(DESPESAS!$H:$H, DESPESAS!$F:$F, "Despesas diversas da empresa", DESPESAS!$N:$N, 2, DESPESAS!$O:$O, $E$5, DESPESAS!$J:$J, "Paga")</f>
        <v/>
      </c>
      <c r="F38" s="76">
        <f>SUMIFS(DESPESAS!$H:$H, DESPESAS!$F:$F, "Despesas diversas da empresa", DESPESAS!$N:$N, 3, DESPESAS!$O:$O, $E$5, DESPESAS!$J:$J, "Paga")</f>
        <v/>
      </c>
      <c r="G38" s="76">
        <f>SUMIFS(DESPESAS!$H:$H, DESPESAS!$F:$F, "Despesas diversas da empresa", DESPESAS!$N:$N, 4, DESPESAS!$O:$O, $E$5, DESPESAS!$J:$J, "Paga")</f>
        <v/>
      </c>
      <c r="H38" s="76">
        <f>SUMIFS(DESPESAS!$H:$H, DESPESAS!$F:$F, "Despesas diversas da empresa", DESPESAS!$N:$N, 5, DESPESAS!$O:$O, $E$5, DESPESAS!$J:$J, "Paga")</f>
        <v/>
      </c>
      <c r="I38" s="76">
        <f>SUMIFS(DESPESAS!$H:$H, DESPESAS!$F:$F, "Despesas diversas da empresa", DESPESAS!$N:$N, 6, DESPESAS!$O:$O, $E$5, DESPESAS!$J:$J, "Paga")</f>
        <v/>
      </c>
      <c r="J38" s="76">
        <f>SUMIFS(DESPESAS!$H:$H, DESPESAS!$F:$F, "Despesas diversas da empresa", DESPESAS!$N:$N, 7, DESPESAS!$O:$O, $E$5, DESPESAS!$J:$J, "Paga")</f>
        <v/>
      </c>
      <c r="K38" s="76">
        <f>SUMIFS(DESPESAS!$H:$H, DESPESAS!$F:$F, "Despesas diversas da empresa", DESPESAS!$N:$N, 8, DESPESAS!$O:$O, $E$5, DESPESAS!$J:$J, "Paga")</f>
        <v/>
      </c>
      <c r="L38" s="76">
        <f>SUMIFS(DESPESAS!$H:$H, DESPESAS!$F:$F, "Despesas diversas da empresa", DESPESAS!$N:$N, 9, DESPESAS!$O:$O, $E$5, DESPESAS!$J:$J, "Paga")</f>
        <v/>
      </c>
      <c r="M38" s="76">
        <f>SUMIFS(DESPESAS!$H:$H, DESPESAS!$F:$F, "Despesas diversas da empresa", DESPESAS!$N:$N, 10, DESPESAS!$O:$O, $E$5, DESPESAS!$J:$J, "Paga")</f>
        <v/>
      </c>
      <c r="N38" s="76">
        <f>SUMIFS(DESPESAS!$H:$H, DESPESAS!$F:$F, "Despesas diversas da empresa", DESPESAS!$N:$N, 11, DESPESAS!$O:$O, $E$5, DESPESAS!$J:$J, "Paga")</f>
        <v/>
      </c>
      <c r="O38" s="76">
        <f>SUMIFS(DESPESAS!$H:$H, DESPESAS!$F:$F, "Despesas diversas da empresa", DESPESAS!$N:$N, 12, DESPESAS!$O:$O, $E$5, DESPESAS!$J:$J, "Paga")</f>
        <v/>
      </c>
      <c r="P38" s="76">
        <f>SUM(D38:O38)</f>
        <v/>
      </c>
    </row>
    <row r="39">
      <c r="B39" s="81" t="n">
        <v>2</v>
      </c>
      <c r="C39" s="82" t="inlineStr">
        <is>
          <t>TOTAL DE SAÍDAS</t>
        </is>
      </c>
      <c r="D39" s="83">
        <f>SUM(D20:D38)</f>
        <v/>
      </c>
      <c r="E39" s="83">
        <f>SUM(E20:E38)</f>
        <v/>
      </c>
      <c r="F39" s="83">
        <f>SUM(F20:F38)</f>
        <v/>
      </c>
      <c r="G39" s="83">
        <f>SUM(G20:G38)</f>
        <v/>
      </c>
      <c r="H39" s="83">
        <f>SUM(H20:H38)</f>
        <v/>
      </c>
      <c r="I39" s="83">
        <f>SUM(I20:I38)</f>
        <v/>
      </c>
      <c r="J39" s="83">
        <f>SUM(J20:J38)</f>
        <v/>
      </c>
      <c r="K39" s="83">
        <f>SUM(K20:K38)</f>
        <v/>
      </c>
      <c r="L39" s="83">
        <f>SUM(L20:L38)</f>
        <v/>
      </c>
      <c r="M39" s="83">
        <f>SUM(M20:M38)</f>
        <v/>
      </c>
      <c r="N39" s="83">
        <f>SUM(N20:N38)</f>
        <v/>
      </c>
      <c r="O39" s="83">
        <f>SUM(O20:O38)</f>
        <v/>
      </c>
      <c r="P39" s="83">
        <f>SUM(P20:P38)</f>
        <v/>
      </c>
    </row>
    <row r="40"/>
    <row r="41" ht="22.05" customHeight="1">
      <c r="B41" s="84" t="n">
        <v>3</v>
      </c>
      <c r="C41" s="85" t="inlineStr">
        <is>
          <t>RESULTADO PERÍODO (SALDO OPERACIONAL CAIXA)</t>
        </is>
      </c>
      <c r="D41" s="86">
        <f>D17-D39</f>
        <v/>
      </c>
      <c r="E41" s="86">
        <f>E17-E39</f>
        <v/>
      </c>
      <c r="F41" s="86">
        <f>F17-F39</f>
        <v/>
      </c>
      <c r="G41" s="86">
        <f>G17-G39</f>
        <v/>
      </c>
      <c r="H41" s="86">
        <f>H17-H39</f>
        <v/>
      </c>
      <c r="I41" s="86">
        <f>I17-I39</f>
        <v/>
      </c>
      <c r="J41" s="86">
        <f>J17-J39</f>
        <v/>
      </c>
      <c r="K41" s="86">
        <f>K17-K39</f>
        <v/>
      </c>
      <c r="L41" s="86">
        <f>L17-L39</f>
        <v/>
      </c>
      <c r="M41" s="86">
        <f>M17-M39</f>
        <v/>
      </c>
      <c r="N41" s="86">
        <f>N17-N39</f>
        <v/>
      </c>
      <c r="O41" s="86">
        <f>O17-O39</f>
        <v/>
      </c>
      <c r="P41" s="86">
        <f>P17-P39</f>
        <v/>
      </c>
    </row>
    <row r="42">
      <c r="B42" s="87" t="n">
        <v>4</v>
      </c>
      <c r="C42" s="88" t="inlineStr">
        <is>
          <t>SALDO ACUMULADO DE CAIXA</t>
        </is>
      </c>
      <c r="D42" s="89">
        <f>D41</f>
        <v/>
      </c>
      <c r="E42" s="89">
        <f>D42+E41</f>
        <v/>
      </c>
      <c r="F42" s="89">
        <f>E42+F41</f>
        <v/>
      </c>
      <c r="G42" s="89">
        <f>F42+G41</f>
        <v/>
      </c>
      <c r="H42" s="89">
        <f>G42+H41</f>
        <v/>
      </c>
      <c r="I42" s="89">
        <f>H42+I41</f>
        <v/>
      </c>
      <c r="J42" s="89">
        <f>I42+J41</f>
        <v/>
      </c>
      <c r="K42" s="89">
        <f>J42+K41</f>
        <v/>
      </c>
      <c r="L42" s="89">
        <f>K42+L41</f>
        <v/>
      </c>
      <c r="M42" s="89">
        <f>L42+M41</f>
        <v/>
      </c>
      <c r="N42" s="89">
        <f>M42+N41</f>
        <v/>
      </c>
      <c r="O42" s="89">
        <f>N42+O41</f>
        <v/>
      </c>
      <c r="P42" s="89">
        <f>O42</f>
        <v/>
      </c>
    </row>
    <row r="43"/>
    <row r="44" ht="14.65" customHeight="1">
      <c r="B44" s="90" t="inlineStr">
        <is>
          <t>* Vendas e Prestação de Serviço sem Nota Fiscal: O MEI deverá obrigatoriamente emitir nota fiscal nas vendas e nas prestações de serviços realizadas para pessoas jurídicas (CNPJ), ficando dispensado para pessoa física (CPF).</t>
        </is>
      </c>
    </row>
    <row r="45" ht="14.65" customHeight="1">
      <c r="B45" s="90" t="inlineStr">
        <is>
          <t>** Retirada do(s) Proprietário(s): não limita-se somente à retirada de valores (pró-labore), mas também ao pagamento de despesas pessoais com dinheiro do caixa.</t>
        </is>
      </c>
    </row>
    <row r="46" ht="14.65" customHeight="1">
      <c r="B46" s="90" t="inlineStr">
        <is>
          <t>*** Gastos com Serviços Prestados: englobam custos com ferramentas de trabalho, materiais e insumos utilizados diretamente na realização do serviço.</t>
        </is>
      </c>
    </row>
  </sheetData>
  <mergeCells count="14">
    <mergeCell ref="D7:F7"/>
    <mergeCell ref="N7:P7"/>
    <mergeCell ref="B8:C9"/>
    <mergeCell ref="B7:C7"/>
    <mergeCell ref="B2:P3"/>
    <mergeCell ref="J8:M9"/>
    <mergeCell ref="B45:P45"/>
    <mergeCell ref="B46:P46"/>
    <mergeCell ref="G8:I9"/>
    <mergeCell ref="N8:P9"/>
    <mergeCell ref="J7:M7"/>
    <mergeCell ref="G7:I7"/>
    <mergeCell ref="D8:F9"/>
    <mergeCell ref="B44:P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1" workbookViewId="0">
      <selection activeCell="A1" sqref="A1"/>
    </sheetView>
  </sheetViews>
  <sheetFormatPr baseColWidth="8" defaultRowHeight="15"/>
  <cols>
    <col width="12.59765625" customWidth="1" min="1" max="1"/>
    <col width="18.59765625" customWidth="1" min="2" max="2"/>
    <col width="13" customWidth="1" min="3" max="3"/>
    <col width="13" customWidth="1" min="4" max="4"/>
    <col width="36.59765625" customWidth="1" min="5" max="5"/>
    <col width="34.59765625" customWidth="1" min="6" max="6"/>
    <col width="38.59765625" customWidth="1" min="7" max="7"/>
    <col width="15.59765625" customWidth="1" min="8" max="8"/>
    <col width="18.59765625" customWidth="1" min="9" max="9"/>
    <col width="14.59765625" customWidth="1" min="10" max="10"/>
    <col width="18.59765625" customWidth="1" min="11" max="11"/>
    <col width="12.59765625" customWidth="1" min="12" max="12"/>
    <col width="13" customWidth="1" min="13" max="13"/>
    <col width="13" customWidth="1" min="14" max="14"/>
    <col width="13" customWidth="1" min="15" max="15"/>
  </cols>
  <sheetData>
    <row r="1" ht="26" customHeight="1">
      <c r="A1" s="91" t="inlineStr">
        <is>
          <t>ID_DESPESA</t>
        </is>
      </c>
      <c r="B1" s="92" t="inlineStr">
        <is>
          <t>DATA_COMPETENCIA</t>
        </is>
      </c>
      <c r="C1" s="92" t="inlineStr">
        <is>
          <t>DATA_VENCIMENTO</t>
        </is>
      </c>
      <c r="D1" s="92" t="inlineStr">
        <is>
          <t>DATA_PAGAMENTO</t>
        </is>
      </c>
      <c r="E1" s="91" t="inlineStr">
        <is>
          <t>GRUPO_DRE</t>
        </is>
      </c>
      <c r="F1" s="91" t="inlineStr">
        <is>
          <t>CATEGORIA_FLUXO</t>
        </is>
      </c>
      <c r="G1" s="91" t="inlineStr">
        <is>
          <t>DESCRICAO_FAVORECIDO</t>
        </is>
      </c>
      <c r="H1" s="93" t="inlineStr">
        <is>
          <t>VALOR</t>
        </is>
      </c>
      <c r="I1" s="91" t="inlineStr">
        <is>
          <t>FORMA_PAGTO</t>
        </is>
      </c>
      <c r="J1" s="91" t="inlineStr">
        <is>
          <t>STATUS</t>
        </is>
      </c>
      <c r="K1" s="91" t="inlineStr">
        <is>
          <t>OPERADOR</t>
        </is>
      </c>
      <c r="L1" s="91" t="inlineStr">
        <is>
          <t>MES_COMP</t>
        </is>
      </c>
      <c r="M1" s="91" t="inlineStr">
        <is>
          <t>ANO_COMP</t>
        </is>
      </c>
      <c r="N1" s="91" t="inlineStr">
        <is>
          <t>MES_PAGTO</t>
        </is>
      </c>
      <c r="O1" s="91" t="inlineStr">
        <is>
          <t>ANO_PAGTO</t>
        </is>
      </c>
    </row>
    <row r="2" ht="20" customHeight="1">
      <c r="A2" s="94" t="n">
        <v>1</v>
      </c>
      <c r="B2" s="95" t="n">
        <v>46296.125</v>
      </c>
      <c r="C2" s="95" t="n">
        <v>46300.125</v>
      </c>
      <c r="D2" s="95" t="n">
        <v>46300.125</v>
      </c>
      <c r="E2" s="96" t="inlineStr">
        <is>
          <t>6.2 Despesas Administrativas</t>
        </is>
      </c>
      <c r="F2" s="96" t="inlineStr">
        <is>
          <t>Aluguel da empresa</t>
        </is>
      </c>
      <c r="G2" s="96" t="inlineStr">
        <is>
          <t>Imobiliária Central - Aluguel Out/2026</t>
        </is>
      </c>
      <c r="H2" s="97" t="n">
        <v>280</v>
      </c>
      <c r="I2" s="94" t="inlineStr">
        <is>
          <t>PIX</t>
        </is>
      </c>
      <c r="J2" s="94" t="inlineStr">
        <is>
          <t>Paga</t>
        </is>
      </c>
      <c r="K2" s="94" t="inlineStr">
        <is>
          <t>Administrador</t>
        </is>
      </c>
      <c r="L2" s="94" t="n">
        <v>10</v>
      </c>
      <c r="M2" s="94" t="n">
        <v>2026</v>
      </c>
      <c r="N2" s="94" t="n">
        <v>10</v>
      </c>
      <c r="O2" s="94" t="n">
        <v>2026</v>
      </c>
    </row>
    <row r="3" ht="20" customHeight="1">
      <c r="A3" s="94" t="n">
        <v>2</v>
      </c>
      <c r="B3" s="95" t="n">
        <v>46296.125</v>
      </c>
      <c r="C3" s="95" t="n">
        <v>46305.125</v>
      </c>
      <c r="D3" s="95" t="n">
        <v>46314</v>
      </c>
      <c r="E3" s="96" t="inlineStr">
        <is>
          <t>6.2 Despesas Administrativas</t>
        </is>
      </c>
      <c r="F3" s="96" t="inlineStr">
        <is>
          <t>Energia elétrica da empresa</t>
        </is>
      </c>
      <c r="G3" s="96" t="inlineStr">
        <is>
          <t>Cia de Energia - Conta Luz Outubro</t>
        </is>
      </c>
      <c r="H3" s="97" t="n">
        <v>185.4</v>
      </c>
      <c r="I3" s="94" t="inlineStr">
        <is>
          <t>Boleto</t>
        </is>
      </c>
      <c r="J3" s="94" t="inlineStr">
        <is>
          <t>Paga</t>
        </is>
      </c>
      <c r="K3" s="94" t="inlineStr">
        <is>
          <t>Administrador</t>
        </is>
      </c>
      <c r="L3" s="94" t="n">
        <v>10</v>
      </c>
      <c r="M3" s="94" t="n">
        <v>2026</v>
      </c>
      <c r="N3" s="94" t="n">
        <v>10</v>
      </c>
      <c r="O3" s="94" t="n">
        <v>2026</v>
      </c>
    </row>
    <row r="4" ht="20" customHeight="1">
      <c r="A4" s="94" t="n">
        <v>3</v>
      </c>
      <c r="B4" s="95" t="n">
        <v>46296.125</v>
      </c>
      <c r="C4" s="95" t="n">
        <v>46305.125</v>
      </c>
      <c r="D4" s="95" t="n">
        <v>46305.125</v>
      </c>
      <c r="E4" s="96" t="inlineStr">
        <is>
          <t>6.2 Despesas Administrativas</t>
        </is>
      </c>
      <c r="F4" s="96" t="inlineStr">
        <is>
          <t>Água da empresa</t>
        </is>
      </c>
      <c r="G4" s="96" t="inlineStr">
        <is>
          <t>Saneamento Básico - Conta Água Outubro</t>
        </is>
      </c>
      <c r="H4" s="97" t="n">
        <v>74.90000000000001</v>
      </c>
      <c r="I4" s="94" t="inlineStr">
        <is>
          <t>PIX</t>
        </is>
      </c>
      <c r="J4" s="94" t="inlineStr">
        <is>
          <t>Paga</t>
        </is>
      </c>
      <c r="K4" s="94" t="inlineStr">
        <is>
          <t>Administrador</t>
        </is>
      </c>
      <c r="L4" s="94" t="n">
        <v>10</v>
      </c>
      <c r="M4" s="94" t="n">
        <v>2026</v>
      </c>
      <c r="N4" s="94" t="n">
        <v>10</v>
      </c>
      <c r="O4" s="94" t="n">
        <v>2026</v>
      </c>
    </row>
    <row r="5" ht="20" customHeight="1">
      <c r="A5" s="94" t="n">
        <v>4</v>
      </c>
      <c r="B5" s="95" t="n">
        <v>46296.125</v>
      </c>
      <c r="C5" s="95" t="n">
        <v>46307.125</v>
      </c>
      <c r="D5" s="95" t="n">
        <v>46307.125</v>
      </c>
      <c r="E5" s="96" t="inlineStr">
        <is>
          <t>6.2 Despesas Administrativas</t>
        </is>
      </c>
      <c r="F5" s="96" t="inlineStr">
        <is>
          <t>Internet da empresa</t>
        </is>
      </c>
      <c r="G5" s="96" t="inlineStr">
        <is>
          <t>Fibra Telecom Empresarial 600MB</t>
        </is>
      </c>
      <c r="H5" s="97" t="n">
        <v>119.9</v>
      </c>
      <c r="I5" s="94" t="inlineStr">
        <is>
          <t>Débito Automático</t>
        </is>
      </c>
      <c r="J5" s="94" t="inlineStr">
        <is>
          <t>Paga</t>
        </is>
      </c>
      <c r="K5" s="94" t="inlineStr">
        <is>
          <t>Administrador</t>
        </is>
      </c>
      <c r="L5" s="94" t="n">
        <v>10</v>
      </c>
      <c r="M5" s="94" t="n">
        <v>2026</v>
      </c>
      <c r="N5" s="94" t="n">
        <v>10</v>
      </c>
      <c r="O5" s="94" t="n">
        <v>2026</v>
      </c>
    </row>
    <row r="6" ht="20" customHeight="1">
      <c r="A6" s="94" t="n">
        <v>5</v>
      </c>
      <c r="B6" s="95" t="n">
        <v>46300.125</v>
      </c>
      <c r="C6" s="95" t="n">
        <v>46315.125</v>
      </c>
      <c r="D6" s="95" t="n">
        <v>46310.125</v>
      </c>
      <c r="E6" s="96" t="inlineStr">
        <is>
          <t>2.2 (-) Impostos e Contribuições sobre vendas</t>
        </is>
      </c>
      <c r="F6" s="96" t="inlineStr">
        <is>
          <t>DAS - Documento de Arrecadação Simples</t>
        </is>
      </c>
      <c r="G6" s="96" t="inlineStr">
        <is>
          <t>Guia DAS Simples Nacional Competência Out</t>
        </is>
      </c>
      <c r="H6" s="97" t="n">
        <v>145</v>
      </c>
      <c r="I6" s="94" t="inlineStr">
        <is>
          <t>PIX</t>
        </is>
      </c>
      <c r="J6" s="94" t="inlineStr">
        <is>
          <t>Paga</t>
        </is>
      </c>
      <c r="K6" s="94" t="inlineStr">
        <is>
          <t>Administrador</t>
        </is>
      </c>
      <c r="L6" s="94" t="n">
        <v>10</v>
      </c>
      <c r="M6" s="94" t="n">
        <v>2026</v>
      </c>
      <c r="N6" s="94" t="n">
        <v>10</v>
      </c>
      <c r="O6" s="94" t="n">
        <v>2026</v>
      </c>
    </row>
    <row r="7" ht="20" customHeight="1">
      <c r="A7" s="94" t="n">
        <v>6</v>
      </c>
      <c r="B7" s="95" t="n">
        <v>46305.125</v>
      </c>
      <c r="C7" s="95" t="n">
        <v>46310.125</v>
      </c>
      <c r="D7" s="95" t="n">
        <v>46310.125</v>
      </c>
      <c r="E7" s="96" t="inlineStr">
        <is>
          <t>11.1 Serviços de contabilidade</t>
        </is>
      </c>
      <c r="F7" s="96" t="inlineStr">
        <is>
          <t>Serviços contábeis</t>
        </is>
      </c>
      <c r="G7" s="96" t="inlineStr">
        <is>
          <t>Honorários Escritório Contábil</t>
        </is>
      </c>
      <c r="H7" s="97" t="n">
        <v>250</v>
      </c>
      <c r="I7" s="94" t="inlineStr">
        <is>
          <t>Transferência</t>
        </is>
      </c>
      <c r="J7" s="94" t="inlineStr">
        <is>
          <t>Paga</t>
        </is>
      </c>
      <c r="K7" s="94" t="inlineStr">
        <is>
          <t>Administrador</t>
        </is>
      </c>
      <c r="L7" s="94" t="n">
        <v>10</v>
      </c>
      <c r="M7" s="94" t="n">
        <v>2026</v>
      </c>
      <c r="N7" s="94" t="n">
        <v>10</v>
      </c>
      <c r="O7" s="94" t="n">
        <v>2026</v>
      </c>
    </row>
    <row r="8" ht="20" customHeight="1">
      <c r="A8" s="94" t="n">
        <v>7</v>
      </c>
      <c r="B8" s="95" t="n">
        <v>46307.125</v>
      </c>
      <c r="C8" s="95" t="n">
        <v>46320.125</v>
      </c>
      <c r="D8" s="95" t="n">
        <v>46313</v>
      </c>
      <c r="E8" s="96" t="inlineStr">
        <is>
          <t>11.3 Manutenção da empresa</t>
        </is>
      </c>
      <c r="F8" s="96" t="inlineStr">
        <is>
          <t>Manutenção da empresa</t>
        </is>
      </c>
      <c r="G8" s="96" t="inlineStr">
        <is>
          <t>Manutenção Ar-Condicionado Recepção</t>
        </is>
      </c>
      <c r="H8" s="97" t="n">
        <v>160</v>
      </c>
      <c r="I8" s="94" t="inlineStr">
        <is>
          <t>Boleto</t>
        </is>
      </c>
      <c r="J8" s="94" t="inlineStr">
        <is>
          <t>Paga</t>
        </is>
      </c>
      <c r="K8" s="94" t="inlineStr">
        <is>
          <t>Administrador</t>
        </is>
      </c>
      <c r="L8" s="94" t="n">
        <v>10</v>
      </c>
      <c r="M8" s="94" t="n">
        <v>2026</v>
      </c>
      <c r="N8" s="94" t="n">
        <v>10</v>
      </c>
      <c r="O8" s="94" t="n">
        <v>2026</v>
      </c>
    </row>
    <row r="9" ht="20" customHeight="1">
      <c r="A9" s="94" t="n">
        <v>8</v>
      </c>
      <c r="B9" s="95" t="n">
        <v>46310.125</v>
      </c>
      <c r="C9" s="95" t="n">
        <v>46325.125</v>
      </c>
      <c r="D9" s="95" t="n">
        <v>46314</v>
      </c>
      <c r="E9" s="96" t="inlineStr">
        <is>
          <t>6.2 Despesas Administrativas</t>
        </is>
      </c>
      <c r="F9" s="96" t="inlineStr">
        <is>
          <t>Folha de pagamento</t>
        </is>
      </c>
      <c r="G9" s="96" t="inlineStr">
        <is>
          <t>Adiantamento Salarial Recepção</t>
        </is>
      </c>
      <c r="H9" s="97" t="n">
        <v>180</v>
      </c>
      <c r="I9" s="94" t="inlineStr">
        <is>
          <t>PIX</t>
        </is>
      </c>
      <c r="J9" s="94" t="inlineStr">
        <is>
          <t>Paga</t>
        </is>
      </c>
      <c r="K9" s="94" t="inlineStr">
        <is>
          <t>Administrador</t>
        </is>
      </c>
      <c r="L9" s="94" t="n">
        <v>10</v>
      </c>
      <c r="M9" s="94" t="n">
        <v>2026</v>
      </c>
      <c r="N9" s="94" t="n">
        <v>10</v>
      </c>
      <c r="O9" s="94" t="n">
        <v>2026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5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8.59765625" customWidth="1" min="2" max="2"/>
    <col width="14.59765625" customWidth="1" min="3" max="3"/>
    <col width="32.59765625" customWidth="1" min="4" max="4"/>
    <col width="14.59765625" customWidth="1" min="5" max="5"/>
    <col width="13" customWidth="1" min="6" max="6"/>
    <col width="16.59765625" customWidth="1" min="7" max="7"/>
    <col width="14.59765625" customWidth="1" min="8" max="8"/>
    <col width="12.59765625" customWidth="1" min="9" max="9"/>
    <col width="20.59765625" customWidth="1" min="10" max="10"/>
    <col width="16.59765625" customWidth="1" min="11" max="11"/>
    <col width="13" customWidth="1" min="12" max="12"/>
    <col width="13" customWidth="1" min="13" max="13"/>
  </cols>
  <sheetData>
    <row r="1"/>
    <row r="2">
      <c r="B2" s="31" t="inlineStr">
        <is>
          <t>📦 GESTÃO DE ESTOQUE &amp; INVENTÁRIO COMERCIAL (PRODUTOS &amp; SERVIÇOS)</t>
        </is>
      </c>
    </row>
    <row r="3"/>
    <row r="4"/>
    <row r="5">
      <c r="B5" s="98" t="inlineStr">
        <is>
          <t>📦 TOTAL ITENS ESTOQUE</t>
        </is>
      </c>
      <c r="C5" s="37" t="n"/>
      <c r="D5" s="98" t="inlineStr">
        <is>
          <t>💵 CUSTO TOTAL ESTOQUE</t>
        </is>
      </c>
      <c r="E5" s="37" t="n"/>
      <c r="F5" s="98" t="inlineStr">
        <is>
          <t>💰 VALOR VENDA ESTOQUE</t>
        </is>
      </c>
      <c r="G5" s="37" t="n"/>
      <c r="H5" s="98" t="inlineStr">
        <is>
          <t>📈 LUCRO PROJETADO</t>
        </is>
      </c>
      <c r="I5" s="37" t="n"/>
      <c r="J5" s="98" t="inlineStr">
        <is>
          <t>⚠️ ESTOQUE BAIXO / ZERADO</t>
        </is>
      </c>
      <c r="K5" s="37" t="n"/>
    </row>
    <row r="6">
      <c r="B6" s="99">
        <f>SUM(H12:H1010)</f>
        <v/>
      </c>
      <c r="C6" s="40" t="n"/>
      <c r="D6" s="100">
        <f>SUM(K12:K1010)</f>
        <v/>
      </c>
      <c r="E6" s="40" t="n"/>
      <c r="F6" s="101">
        <f>SUM(L12:L1010)</f>
        <v/>
      </c>
      <c r="G6" s="40" t="n"/>
      <c r="H6" s="102">
        <f>SUM(M12:M1010)</f>
        <v/>
      </c>
      <c r="I6" s="40" t="n"/>
      <c r="J6" s="103">
        <f>COUNTIF(J12:J1010,"ZERADO")+COUNTIF(J12:J1010,"ESTOQUE BAIXO")</f>
        <v/>
      </c>
      <c r="K6" s="40" t="n"/>
    </row>
    <row r="7">
      <c r="B7" s="45" t="n"/>
      <c r="C7" s="46" t="n"/>
      <c r="D7" s="45" t="n"/>
      <c r="E7" s="46" t="n"/>
      <c r="F7" s="45" t="n"/>
      <c r="G7" s="46" t="n"/>
      <c r="H7" s="45" t="n"/>
      <c r="I7" s="46" t="n"/>
      <c r="J7" s="45" t="n"/>
      <c r="K7" s="46" t="n"/>
    </row>
    <row r="8"/>
    <row r="9"/>
    <row r="10"/>
    <row r="11">
      <c r="B11" s="104" t="inlineStr">
        <is>
          <t>ID</t>
        </is>
      </c>
      <c r="C11" s="104" t="inlineStr">
        <is>
          <t>Tipo</t>
        </is>
      </c>
      <c r="D11" s="104" t="inlineStr">
        <is>
          <t>Produto / Serviço</t>
        </is>
      </c>
      <c r="E11" s="104" t="inlineStr">
        <is>
          <t>Preço Custo</t>
        </is>
      </c>
      <c r="F11" s="104" t="inlineStr">
        <is>
          <t>Margem (%)</t>
        </is>
      </c>
      <c r="G11" s="104" t="inlineStr">
        <is>
          <t>Preço Final</t>
        </is>
      </c>
      <c r="H11" s="104" t="inlineStr">
        <is>
          <t>Estoque</t>
        </is>
      </c>
      <c r="I11" s="104" t="inlineStr">
        <is>
          <t>Mínimo</t>
        </is>
      </c>
      <c r="J11" s="104" t="inlineStr">
        <is>
          <t>Status</t>
        </is>
      </c>
      <c r="K11" s="104" t="inlineStr">
        <is>
          <t>Total Custo</t>
        </is>
      </c>
      <c r="L11" s="104" t="inlineStr">
        <is>
          <t>Total Venda</t>
        </is>
      </c>
      <c r="M11" s="104" t="inlineStr">
        <is>
          <t>Lucro Projetado</t>
        </is>
      </c>
    </row>
    <row r="12" ht="15" customHeight="1">
      <c r="B12" s="105" t="n">
        <v>1</v>
      </c>
      <c r="C12" s="105" t="inlineStr">
        <is>
          <t>Produto</t>
        </is>
      </c>
      <c r="D12" s="106" t="inlineStr">
        <is>
          <t>Touca de natação adulto cinza tam. GG</t>
        </is>
      </c>
      <c r="E12" s="107" t="n">
        <v>20.32</v>
      </c>
      <c r="F12" s="108" t="n">
        <v>50</v>
      </c>
      <c r="G12" s="107">
        <f>ROUND(E12*(1+IF(ABS(F12)&lt;=1,F12,F12/100)),2)</f>
        <v/>
      </c>
      <c r="H12" s="105" t="n">
        <v>5</v>
      </c>
      <c r="I12" s="105" t="n">
        <v>5</v>
      </c>
      <c r="J12" s="105">
        <f>IF(OR(UPPER(C12)="SERVIÇO",UPPER(C12)="SERVICO"),"SERVIÇO",IF(H12&lt;=0,"ZERADO",IF(H12&lt;=I12,"ESTOQUE BAIXO","NORMAL")))</f>
        <v/>
      </c>
      <c r="K12" s="107">
        <f>IF(OR(UPPER(C12)="SERVIÇO",UPPER(C12)="SERVICO"),0,N(H12)*N(E12))</f>
        <v/>
      </c>
      <c r="L12" s="107">
        <f>IF(OR(UPPER(C12)="SERVIÇO",UPPER(C12)="SERVICO"),0,N(H12)*N(G12))</f>
        <v/>
      </c>
      <c r="M12" s="107">
        <f>IF(OR(UPPER(C12)="SERVIÇO",UPPER(C12)="SERVICO"),0,L12-K12)</f>
        <v/>
      </c>
    </row>
    <row r="13" ht="15" customHeight="1">
      <c r="B13" s="105" t="n">
        <v>2</v>
      </c>
      <c r="C13" s="105" t="inlineStr">
        <is>
          <t>Produto</t>
        </is>
      </c>
      <c r="D13" s="106" t="inlineStr">
        <is>
          <t>Bola de pilates ventilado azul</t>
        </is>
      </c>
      <c r="E13" s="107" t="n">
        <v>80.63</v>
      </c>
      <c r="F13" s="108" t="n">
        <v>200</v>
      </c>
      <c r="G13" s="107">
        <f>ROUND(E13*(1+IF(ABS(F13)&lt;=1,F13,F13/100)),2)</f>
        <v/>
      </c>
      <c r="H13" s="105" t="n">
        <v>15</v>
      </c>
      <c r="I13" s="105" t="n">
        <v>5</v>
      </c>
      <c r="J13" s="105">
        <f>IF(OR(UPPER(C13)="SERVIÇO",UPPER(C13)="SERVICO"),"SERVIÇO",IF(H13&lt;=0,"ZERADO",IF(H13&lt;=I13,"ESTOQUE BAIXO","NORMAL")))</f>
        <v/>
      </c>
      <c r="K13" s="107">
        <f>IF(OR(UPPER(C13)="SERVIÇO",UPPER(C13)="SERVICO"),0,N(H13)*N(E13))</f>
        <v/>
      </c>
      <c r="L13" s="107">
        <f>IF(OR(UPPER(C13)="SERVIÇO",UPPER(C13)="SERVICO"),0,N(H13)*N(G13))</f>
        <v/>
      </c>
      <c r="M13" s="107">
        <f>IF(OR(UPPER(C13)="SERVIÇO",UPPER(C13)="SERVICO"),0,L13-K13)</f>
        <v/>
      </c>
    </row>
    <row r="14" ht="15" customHeight="1">
      <c r="B14" s="105" t="n">
        <v>3</v>
      </c>
      <c r="C14" s="105" t="inlineStr">
        <is>
          <t>Produto</t>
        </is>
      </c>
      <c r="D14" s="106" t="inlineStr">
        <is>
          <t>Bola de vôlei profissional verde</t>
        </is>
      </c>
      <c r="E14" s="107" t="n">
        <v>43.47</v>
      </c>
      <c r="F14" s="108" t="n">
        <v>50</v>
      </c>
      <c r="G14" s="107">
        <f>ROUND(E14*(1+IF(ABS(F14)&lt;=1,F14,F14/100)),2)</f>
        <v/>
      </c>
      <c r="H14" s="105" t="n">
        <v>14</v>
      </c>
      <c r="I14" s="105" t="n">
        <v>5</v>
      </c>
      <c r="J14" s="105">
        <f>IF(OR(UPPER(C14)="SERVIÇO",UPPER(C14)="SERVICO"),"SERVIÇO",IF(H14&lt;=0,"ZERADO",IF(H14&lt;=I14,"ESTOQUE BAIXO","NORMAL")))</f>
        <v/>
      </c>
      <c r="K14" s="107">
        <f>IF(OR(UPPER(C14)="SERVIÇO",UPPER(C14)="SERVICO"),0,N(H14)*N(E14))</f>
        <v/>
      </c>
      <c r="L14" s="107">
        <f>IF(OR(UPPER(C14)="SERVIÇO",UPPER(C14)="SERVICO"),0,N(H14)*N(G14))</f>
        <v/>
      </c>
      <c r="M14" s="107">
        <f>IF(OR(UPPER(C14)="SERVIÇO",UPPER(C14)="SERVICO"),0,L14-K14)</f>
        <v/>
      </c>
    </row>
    <row r="15" ht="15" customHeight="1">
      <c r="B15" s="105" t="n">
        <v>4</v>
      </c>
      <c r="C15" s="105" t="inlineStr">
        <is>
          <t>Produto</t>
        </is>
      </c>
      <c r="D15" s="106" t="inlineStr">
        <is>
          <t>Saco de pancadas ventilado verde</t>
        </is>
      </c>
      <c r="E15" s="107" t="n">
        <v>592.51</v>
      </c>
      <c r="F15" s="108" t="n">
        <v>50</v>
      </c>
      <c r="G15" s="107">
        <f>ROUND(E15*(1+IF(ABS(F15)&lt;=1,F15,F15/100)),2)</f>
        <v/>
      </c>
      <c r="H15" s="105" t="n">
        <v>14</v>
      </c>
      <c r="I15" s="105" t="n">
        <v>5</v>
      </c>
      <c r="J15" s="105">
        <f>IF(OR(UPPER(C15)="SERVIÇO",UPPER(C15)="SERVICO"),"SERVIÇO",IF(H15&lt;=0,"ZERADO",IF(H15&lt;=I15,"ESTOQUE BAIXO","NORMAL")))</f>
        <v/>
      </c>
      <c r="K15" s="107">
        <f>IF(OR(UPPER(C15)="SERVIÇO",UPPER(C15)="SERVICO"),0,N(H15)*N(E15))</f>
        <v/>
      </c>
      <c r="L15" s="107">
        <f>IF(OR(UPPER(C15)="SERVIÇO",UPPER(C15)="SERVICO"),0,N(H15)*N(G15))</f>
        <v/>
      </c>
      <c r="M15" s="107">
        <f>IF(OR(UPPER(C15)="SERVIÇO",UPPER(C15)="SERVICO"),0,L15-K15)</f>
        <v/>
      </c>
    </row>
    <row r="16" ht="15" customHeight="1">
      <c r="B16" s="105" t="n">
        <v>5</v>
      </c>
      <c r="C16" s="105" t="inlineStr">
        <is>
          <t>Produto</t>
        </is>
      </c>
      <c r="D16" s="106" t="inlineStr">
        <is>
          <t>Skate alta performance verde</t>
        </is>
      </c>
      <c r="E16" s="107" t="n">
        <v>319.04</v>
      </c>
      <c r="F16" s="108" t="n">
        <v>50</v>
      </c>
      <c r="G16" s="107">
        <f>ROUND(E16*(1+IF(ABS(F16)&lt;=1,F16,F16/100)),2)</f>
        <v/>
      </c>
      <c r="H16" s="105" t="n">
        <v>15</v>
      </c>
      <c r="I16" s="105" t="n">
        <v>5</v>
      </c>
      <c r="J16" s="105">
        <f>IF(OR(UPPER(C16)="SERVIÇO",UPPER(C16)="SERVICO"),"SERVIÇO",IF(H16&lt;=0,"ZERADO",IF(H16&lt;=I16,"ESTOQUE BAIXO","NORMAL")))</f>
        <v/>
      </c>
      <c r="K16" s="107">
        <f>IF(OR(UPPER(C16)="SERVIÇO",UPPER(C16)="SERVICO"),0,N(H16)*N(E16))</f>
        <v/>
      </c>
      <c r="L16" s="107">
        <f>IF(OR(UPPER(C16)="SERVIÇO",UPPER(C16)="SERVICO"),0,N(H16)*N(G16))</f>
        <v/>
      </c>
      <c r="M16" s="107">
        <f>IF(OR(UPPER(C16)="SERVIÇO",UPPER(C16)="SERVICO"),0,L16-K16)</f>
        <v/>
      </c>
    </row>
    <row r="17" ht="15" customHeight="1">
      <c r="B17" s="105" t="n">
        <v>6</v>
      </c>
      <c r="C17" s="105" t="inlineStr">
        <is>
          <t>Produto</t>
        </is>
      </c>
      <c r="D17" s="106" t="inlineStr">
        <is>
          <t>Bolsa de academia leve laranja</t>
        </is>
      </c>
      <c r="E17" s="107" t="n">
        <v>80.98</v>
      </c>
      <c r="F17" s="108" t="n">
        <v>50</v>
      </c>
      <c r="G17" s="107">
        <f>ROUND(E17*(1+IF(ABS(F17)&lt;=1,F17,F17/100)),2)</f>
        <v/>
      </c>
      <c r="H17" s="105" t="n">
        <v>15</v>
      </c>
      <c r="I17" s="105" t="n">
        <v>5</v>
      </c>
      <c r="J17" s="105">
        <f>IF(OR(UPPER(C17)="SERVIÇO",UPPER(C17)="SERVICO"),"SERVIÇO",IF(H17&lt;=0,"ZERADO",IF(H17&lt;=I17,"ESTOQUE BAIXO","NORMAL")))</f>
        <v/>
      </c>
      <c r="K17" s="107">
        <f>IF(OR(UPPER(C17)="SERVIÇO",UPPER(C17)="SERVICO"),0,N(H17)*N(E17))</f>
        <v/>
      </c>
      <c r="L17" s="107">
        <f>IF(OR(UPPER(C17)="SERVIÇO",UPPER(C17)="SERVICO"),0,N(H17)*N(G17))</f>
        <v/>
      </c>
      <c r="M17" s="107">
        <f>IF(OR(UPPER(C17)="SERVIÇO",UPPER(C17)="SERVICO"),0,L17-K17)</f>
        <v/>
      </c>
    </row>
    <row r="18" ht="15" customHeight="1">
      <c r="B18" s="105" t="n">
        <v>7</v>
      </c>
      <c r="C18" s="105" t="inlineStr">
        <is>
          <t>Produto</t>
        </is>
      </c>
      <c r="D18" s="106" t="inlineStr">
        <is>
          <t>Chuteira society modelo básico azul tam. M</t>
        </is>
      </c>
      <c r="E18" s="107" t="n">
        <v>196.72</v>
      </c>
      <c r="F18" s="108" t="n">
        <v>50</v>
      </c>
      <c r="G18" s="107">
        <f>ROUND(E18*(1+IF(ABS(F18)&lt;=1,F18,F18/100)),2)</f>
        <v/>
      </c>
      <c r="H18" s="105" t="n">
        <v>15</v>
      </c>
      <c r="I18" s="105" t="n">
        <v>5</v>
      </c>
      <c r="J18" s="105">
        <f>IF(OR(UPPER(C18)="SERVIÇO",UPPER(C18)="SERVICO"),"SERVIÇO",IF(H18&lt;=0,"ZERADO",IF(H18&lt;=I18,"ESTOQUE BAIXO","NORMAL")))</f>
        <v/>
      </c>
      <c r="K18" s="107">
        <f>IF(OR(UPPER(C18)="SERVIÇO",UPPER(C18)="SERVICO"),0,N(H18)*N(E18))</f>
        <v/>
      </c>
      <c r="L18" s="107">
        <f>IF(OR(UPPER(C18)="SERVIÇO",UPPER(C18)="SERVICO"),0,N(H18)*N(G18))</f>
        <v/>
      </c>
      <c r="M18" s="107">
        <f>IF(OR(UPPER(C18)="SERVIÇO",UPPER(C18)="SERVICO"),0,L18-K18)</f>
        <v/>
      </c>
    </row>
    <row r="19" ht="15" customHeight="1">
      <c r="B19" s="105" t="n">
        <v>8</v>
      </c>
      <c r="C19" s="105" t="inlineStr">
        <is>
          <t>Produto</t>
        </is>
      </c>
      <c r="D19" s="106" t="inlineStr">
        <is>
          <t>Colchonete de exercício versão 2026 cinza</t>
        </is>
      </c>
      <c r="E19" s="107" t="n">
        <v>101.42</v>
      </c>
      <c r="F19" s="108" t="n">
        <v>50</v>
      </c>
      <c r="G19" s="107">
        <f>ROUND(E19*(1+IF(ABS(F19)&lt;=1,F19,F19/100)),2)</f>
        <v/>
      </c>
      <c r="H19" s="105" t="n">
        <v>14</v>
      </c>
      <c r="I19" s="105" t="n">
        <v>5</v>
      </c>
      <c r="J19" s="105">
        <f>IF(OR(UPPER(C19)="SERVIÇO",UPPER(C19)="SERVICO"),"SERVIÇO",IF(H19&lt;=0,"ZERADO",IF(H19&lt;=I19,"ESTOQUE BAIXO","NORMAL")))</f>
        <v/>
      </c>
      <c r="K19" s="107">
        <f>IF(OR(UPPER(C19)="SERVIÇO",UPPER(C19)="SERVICO"),0,N(H19)*N(E19))</f>
        <v/>
      </c>
      <c r="L19" s="107">
        <f>IF(OR(UPPER(C19)="SERVIÇO",UPPER(C19)="SERVICO"),0,N(H19)*N(G19))</f>
        <v/>
      </c>
      <c r="M19" s="107">
        <f>IF(OR(UPPER(C19)="SERVIÇO",UPPER(C19)="SERVICO"),0,L19-K19)</f>
        <v/>
      </c>
    </row>
    <row r="20" ht="15" customHeight="1">
      <c r="B20" s="105" t="n">
        <v>9</v>
      </c>
      <c r="C20" s="105" t="inlineStr">
        <is>
          <t>Produto</t>
        </is>
      </c>
      <c r="D20" s="106" t="inlineStr">
        <is>
          <t>Bastão de caminhada ventilado azul</t>
        </is>
      </c>
      <c r="E20" s="107" t="n">
        <v>175.91</v>
      </c>
      <c r="F20" s="108" t="n">
        <v>50</v>
      </c>
      <c r="G20" s="107">
        <f>ROUND(E20*(1+IF(ABS(F20)&lt;=1,F20,F20/100)),2)</f>
        <v/>
      </c>
      <c r="H20" s="105" t="n">
        <v>15</v>
      </c>
      <c r="I20" s="105" t="n">
        <v>5</v>
      </c>
      <c r="J20" s="105">
        <f>IF(OR(UPPER(C20)="SERVIÇO",UPPER(C20)="SERVICO"),"SERVIÇO",IF(H20&lt;=0,"ZERADO",IF(H20&lt;=I20,"ESTOQUE BAIXO","NORMAL")))</f>
        <v/>
      </c>
      <c r="K20" s="107">
        <f>IF(OR(UPPER(C20)="SERVIÇO",UPPER(C20)="SERVICO"),0,N(H20)*N(E20))</f>
        <v/>
      </c>
      <c r="L20" s="107">
        <f>IF(OR(UPPER(C20)="SERVIÇO",UPPER(C20)="SERVICO"),0,N(H20)*N(G20))</f>
        <v/>
      </c>
      <c r="M20" s="107">
        <f>IF(OR(UPPER(C20)="SERVIÇO",UPPER(C20)="SERVICO"),0,L20-K20)</f>
        <v/>
      </c>
    </row>
    <row r="21" ht="15" customHeight="1">
      <c r="B21" s="105" t="n">
        <v>10</v>
      </c>
      <c r="C21" s="105" t="inlineStr">
        <is>
          <t>Produto</t>
        </is>
      </c>
      <c r="D21" s="106" t="inlineStr">
        <is>
          <t>Bloco para yoga ventilado cinza</t>
        </is>
      </c>
      <c r="E21" s="107" t="n">
        <v>41.29</v>
      </c>
      <c r="F21" s="108" t="n">
        <v>50</v>
      </c>
      <c r="G21" s="107">
        <f>ROUND(E21*(1+IF(ABS(F21)&lt;=1,F21,F21/100)),2)</f>
        <v/>
      </c>
      <c r="H21" s="105" t="n">
        <v>15</v>
      </c>
      <c r="I21" s="105" t="n">
        <v>5</v>
      </c>
      <c r="J21" s="105">
        <f>IF(OR(UPPER(C21)="SERVIÇO",UPPER(C21)="SERVICO"),"SERVIÇO",IF(H21&lt;=0,"ZERADO",IF(H21&lt;=I21,"ESTOQUE BAIXO","NORMAL")))</f>
        <v/>
      </c>
      <c r="K21" s="107">
        <f>IF(OR(UPPER(C21)="SERVIÇO",UPPER(C21)="SERVICO"),0,N(H21)*N(E21))</f>
        <v/>
      </c>
      <c r="L21" s="107">
        <f>IF(OR(UPPER(C21)="SERVIÇO",UPPER(C21)="SERVICO"),0,N(H21)*N(G21))</f>
        <v/>
      </c>
      <c r="M21" s="107">
        <f>IF(OR(UPPER(C21)="SERVIÇO",UPPER(C21)="SERVICO"),0,L21-K21)</f>
        <v/>
      </c>
    </row>
    <row r="22" ht="15" customHeight="1">
      <c r="B22" s="105" t="n">
        <v>11</v>
      </c>
      <c r="C22" s="105" t="inlineStr">
        <is>
          <t>Produto</t>
        </is>
      </c>
      <c r="D22" s="106" t="inlineStr">
        <is>
          <t>Kimono de judô unissex verde tam. M</t>
        </is>
      </c>
      <c r="E22" s="107" t="n">
        <v>73.69</v>
      </c>
      <c r="F22" s="108" t="n">
        <v>50</v>
      </c>
      <c r="G22" s="107">
        <f>ROUND(E22*(1+IF(ABS(F22)&lt;=1,F22,F22/100)),2)</f>
        <v/>
      </c>
      <c r="H22" s="105" t="n">
        <v>15</v>
      </c>
      <c r="I22" s="105" t="n">
        <v>5</v>
      </c>
      <c r="J22" s="105">
        <f>IF(OR(UPPER(C22)="SERVIÇO",UPPER(C22)="SERVICO"),"SERVIÇO",IF(H22&lt;=0,"ZERADO",IF(H22&lt;=I22,"ESTOQUE BAIXO","NORMAL")))</f>
        <v/>
      </c>
      <c r="K22" s="107">
        <f>IF(OR(UPPER(C22)="SERVIÇO",UPPER(C22)="SERVICO"),0,N(H22)*N(E22))</f>
        <v/>
      </c>
      <c r="L22" s="107">
        <f>IF(OR(UPPER(C22)="SERVIÇO",UPPER(C22)="SERVICO"),0,N(H22)*N(G22))</f>
        <v/>
      </c>
      <c r="M22" s="107">
        <f>IF(OR(UPPER(C22)="SERVIÇO",UPPER(C22)="SERVICO"),0,L22-K22)</f>
        <v/>
      </c>
    </row>
    <row r="23" ht="15" customHeight="1">
      <c r="B23" s="105" t="n">
        <v>12</v>
      </c>
      <c r="C23" s="105" t="inlineStr">
        <is>
          <t>Produto</t>
        </is>
      </c>
      <c r="D23" s="106" t="inlineStr">
        <is>
          <t>Jaqueta esportiva profissional verde tam. M</t>
        </is>
      </c>
      <c r="E23" s="107" t="n">
        <v>147.45</v>
      </c>
      <c r="F23" s="108" t="n">
        <v>50</v>
      </c>
      <c r="G23" s="107">
        <f>ROUND(E23*(1+IF(ABS(F23)&lt;=1,F23,F23/100)),2)</f>
        <v/>
      </c>
      <c r="H23" s="105" t="n">
        <v>15</v>
      </c>
      <c r="I23" s="105" t="n">
        <v>5</v>
      </c>
      <c r="J23" s="105">
        <f>IF(OR(UPPER(C23)="SERVIÇO",UPPER(C23)="SERVICO"),"SERVIÇO",IF(H23&lt;=0,"ZERADO",IF(H23&lt;=I23,"ESTOQUE BAIXO","NORMAL")))</f>
        <v/>
      </c>
      <c r="K23" s="107">
        <f>IF(OR(UPPER(C23)="SERVIÇO",UPPER(C23)="SERVICO"),0,N(H23)*N(E23))</f>
        <v/>
      </c>
      <c r="L23" s="107">
        <f>IF(OR(UPPER(C23)="SERVIÇO",UPPER(C23)="SERVICO"),0,N(H23)*N(G23))</f>
        <v/>
      </c>
      <c r="M23" s="107">
        <f>IF(OR(UPPER(C23)="SERVIÇO",UPPER(C23)="SERVICO"),0,L23-K23)</f>
        <v/>
      </c>
    </row>
    <row r="24" ht="15" customHeight="1">
      <c r="B24" s="105" t="n">
        <v>13</v>
      </c>
      <c r="C24" s="105" t="inlineStr">
        <is>
          <t>Produto</t>
        </is>
      </c>
      <c r="D24" s="106" t="inlineStr">
        <is>
          <t>Capacete de ciclismo leve branco</t>
        </is>
      </c>
      <c r="E24" s="107" t="n">
        <v>158.78</v>
      </c>
      <c r="F24" s="108" t="n">
        <v>50</v>
      </c>
      <c r="G24" s="107">
        <f>ROUND(E24*(1+IF(ABS(F24)&lt;=1,F24,F24/100)),2)</f>
        <v/>
      </c>
      <c r="H24" s="105" t="n">
        <v>15</v>
      </c>
      <c r="I24" s="105" t="n">
        <v>5</v>
      </c>
      <c r="J24" s="105">
        <f>IF(OR(UPPER(C24)="SERVIÇO",UPPER(C24)="SERVICO"),"SERVIÇO",IF(H24&lt;=0,"ZERADO",IF(H24&lt;=I24,"ESTOQUE BAIXO","NORMAL")))</f>
        <v/>
      </c>
      <c r="K24" s="107">
        <f>IF(OR(UPPER(C24)="SERVIÇO",UPPER(C24)="SERVICO"),0,N(H24)*N(E24))</f>
        <v/>
      </c>
      <c r="L24" s="107">
        <f>IF(OR(UPPER(C24)="SERVIÇO",UPPER(C24)="SERVICO"),0,N(H24)*N(G24))</f>
        <v/>
      </c>
      <c r="M24" s="107">
        <f>IF(OR(UPPER(C24)="SERVIÇO",UPPER(C24)="SERVICO"),0,L24-K24)</f>
        <v/>
      </c>
    </row>
    <row r="25" ht="15" customHeight="1">
      <c r="B25" s="105" t="n">
        <v>14</v>
      </c>
      <c r="C25" s="105" t="inlineStr">
        <is>
          <t>Produto</t>
        </is>
      </c>
      <c r="D25" s="106" t="inlineStr">
        <is>
          <t>Prancha de natação profissional vermelho</t>
        </is>
      </c>
      <c r="E25" s="107" t="n">
        <v>66.01000000000001</v>
      </c>
      <c r="F25" s="108" t="n">
        <v>50</v>
      </c>
      <c r="G25" s="107">
        <f>ROUND(E25*(1+IF(ABS(F25)&lt;=1,F25,F25/100)),2)</f>
        <v/>
      </c>
      <c r="H25" s="105" t="n">
        <v>15</v>
      </c>
      <c r="I25" s="105" t="n">
        <v>5</v>
      </c>
      <c r="J25" s="105">
        <f>IF(OR(UPPER(C25)="SERVIÇO",UPPER(C25)="SERVICO"),"SERVIÇO",IF(H25&lt;=0,"ZERADO",IF(H25&lt;=I25,"ESTOQUE BAIXO","NORMAL")))</f>
        <v/>
      </c>
      <c r="K25" s="107">
        <f>IF(OR(UPPER(C25)="SERVIÇO",UPPER(C25)="SERVICO"),0,N(H25)*N(E25))</f>
        <v/>
      </c>
      <c r="L25" s="107">
        <f>IF(OR(UPPER(C25)="SERVIÇO",UPPER(C25)="SERVICO"),0,N(H25)*N(G25))</f>
        <v/>
      </c>
      <c r="M25" s="107">
        <f>IF(OR(UPPER(C25)="SERVIÇO",UPPER(C25)="SERVICO"),0,L25-K25)</f>
        <v/>
      </c>
    </row>
    <row r="26" ht="15" customHeight="1">
      <c r="B26" s="105" t="n">
        <v>15</v>
      </c>
      <c r="C26" s="105" t="inlineStr">
        <is>
          <t>Produto</t>
        </is>
      </c>
      <c r="D26" s="106" t="inlineStr">
        <is>
          <t>Meias esportivas com ajuste laranja tam. 34</t>
        </is>
      </c>
      <c r="E26" s="107" t="n">
        <v>41.56</v>
      </c>
      <c r="F26" s="108" t="n">
        <v>50</v>
      </c>
      <c r="G26" s="107">
        <f>ROUND(E26*(1+IF(ABS(F26)&lt;=1,F26,F26/100)),2)</f>
        <v/>
      </c>
      <c r="H26" s="105" t="n">
        <v>15</v>
      </c>
      <c r="I26" s="105" t="n">
        <v>5</v>
      </c>
      <c r="J26" s="105">
        <f>IF(OR(UPPER(C26)="SERVIÇO",UPPER(C26)="SERVICO"),"SERVIÇO",IF(H26&lt;=0,"ZERADO",IF(H26&lt;=I26,"ESTOQUE BAIXO","NORMAL")))</f>
        <v/>
      </c>
      <c r="K26" s="107">
        <f>IF(OR(UPPER(C26)="SERVIÇO",UPPER(C26)="SERVICO"),0,N(H26)*N(E26))</f>
        <v/>
      </c>
      <c r="L26" s="107">
        <f>IF(OR(UPPER(C26)="SERVIÇO",UPPER(C26)="SERVICO"),0,N(H26)*N(G26))</f>
        <v/>
      </c>
      <c r="M26" s="107">
        <f>IF(OR(UPPER(C26)="SERVIÇO",UPPER(C26)="SERVICO"),0,L26-K26)</f>
        <v/>
      </c>
    </row>
    <row r="27" ht="15" customHeight="1">
      <c r="B27" s="105" t="n">
        <v>16</v>
      </c>
      <c r="C27" s="105" t="inlineStr">
        <is>
          <t>Produto</t>
        </is>
      </c>
      <c r="D27" s="106" t="inlineStr">
        <is>
          <t>Touca de natação compacto branco tam. P</t>
        </is>
      </c>
      <c r="E27" s="107" t="n">
        <v>20.62</v>
      </c>
      <c r="F27" s="108" t="n">
        <v>50</v>
      </c>
      <c r="G27" s="107">
        <f>ROUND(E27*(1+IF(ABS(F27)&lt;=1,F27,F27/100)),2)</f>
        <v/>
      </c>
      <c r="H27" s="105" t="n">
        <v>15</v>
      </c>
      <c r="I27" s="105" t="n">
        <v>5</v>
      </c>
      <c r="J27" s="105">
        <f>IF(OR(UPPER(C27)="SERVIÇO",UPPER(C27)="SERVICO"),"SERVIÇO",IF(H27&lt;=0,"ZERADO",IF(H27&lt;=I27,"ESTOQUE BAIXO","NORMAL")))</f>
        <v/>
      </c>
      <c r="K27" s="107">
        <f>IF(OR(UPPER(C27)="SERVIÇO",UPPER(C27)="SERVICO"),0,N(H27)*N(E27))</f>
        <v/>
      </c>
      <c r="L27" s="107">
        <f>IF(OR(UPPER(C27)="SERVIÇO",UPPER(C27)="SERVICO"),0,N(H27)*N(G27))</f>
        <v/>
      </c>
      <c r="M27" s="107">
        <f>IF(OR(UPPER(C27)="SERVIÇO",UPPER(C27)="SERVICO"),0,L27-K27)</f>
        <v/>
      </c>
    </row>
    <row r="28" ht="15" customHeight="1">
      <c r="B28" s="105" t="n">
        <v>17</v>
      </c>
      <c r="C28" s="105" t="inlineStr">
        <is>
          <t>Produto</t>
        </is>
      </c>
      <c r="D28" s="106" t="inlineStr">
        <is>
          <t>Bola de vôlei para uso diário cinza</t>
        </is>
      </c>
      <c r="E28" s="107" t="n">
        <v>29.5</v>
      </c>
      <c r="F28" s="108" t="n">
        <v>50</v>
      </c>
      <c r="G28" s="107">
        <f>ROUND(E28*(1+IF(ABS(F28)&lt;=1,F28,F28/100)),2)</f>
        <v/>
      </c>
      <c r="H28" s="105" t="n">
        <v>15</v>
      </c>
      <c r="I28" s="105" t="n">
        <v>5</v>
      </c>
      <c r="J28" s="105">
        <f>IF(OR(UPPER(C28)="SERVIÇO",UPPER(C28)="SERVICO"),"SERVIÇO",IF(H28&lt;=0,"ZERADO",IF(H28&lt;=I28,"ESTOQUE BAIXO","NORMAL")))</f>
        <v/>
      </c>
      <c r="K28" s="107">
        <f>IF(OR(UPPER(C28)="SERVIÇO",UPPER(C28)="SERVICO"),0,N(H28)*N(E28))</f>
        <v/>
      </c>
      <c r="L28" s="107">
        <f>IF(OR(UPPER(C28)="SERVIÇO",UPPER(C28)="SERVICO"),0,N(H28)*N(G28))</f>
        <v/>
      </c>
      <c r="M28" s="107">
        <f>IF(OR(UPPER(C28)="SERVIÇO",UPPER(C28)="SERVICO"),0,L28-K28)</f>
        <v/>
      </c>
    </row>
    <row r="29" ht="15" customHeight="1">
      <c r="B29" s="105" t="n">
        <v>18</v>
      </c>
      <c r="C29" s="105" t="inlineStr">
        <is>
          <t>Produto</t>
        </is>
      </c>
      <c r="D29" s="106" t="inlineStr">
        <is>
          <t>Protetor bucal reforçado rosa</t>
        </is>
      </c>
      <c r="E29" s="107" t="n">
        <v>29.12</v>
      </c>
      <c r="F29" s="108" t="n">
        <v>50</v>
      </c>
      <c r="G29" s="107">
        <f>ROUND(E29*(1+IF(ABS(F29)&lt;=1,F29,F29/100)),2)</f>
        <v/>
      </c>
      <c r="H29" s="105" t="n">
        <v>15</v>
      </c>
      <c r="I29" s="105" t="n">
        <v>5</v>
      </c>
      <c r="J29" s="105">
        <f>IF(OR(UPPER(C29)="SERVIÇO",UPPER(C29)="SERVICO"),"SERVIÇO",IF(H29&lt;=0,"ZERADO",IF(H29&lt;=I29,"ESTOQUE BAIXO","NORMAL")))</f>
        <v/>
      </c>
      <c r="K29" s="107">
        <f>IF(OR(UPPER(C29)="SERVIÇO",UPPER(C29)="SERVICO"),0,N(H29)*N(E29))</f>
        <v/>
      </c>
      <c r="L29" s="107">
        <f>IF(OR(UPPER(C29)="SERVIÇO",UPPER(C29)="SERVICO"),0,N(H29)*N(G29))</f>
        <v/>
      </c>
      <c r="M29" s="107">
        <f>IF(OR(UPPER(C29)="SERVIÇO",UPPER(C29)="SERVICO"),0,L29-K29)</f>
        <v/>
      </c>
    </row>
    <row r="30" ht="15" customHeight="1">
      <c r="B30" s="105" t="n">
        <v>19</v>
      </c>
      <c r="C30" s="105" t="inlineStr">
        <is>
          <t>Produto</t>
        </is>
      </c>
      <c r="D30" s="106" t="inlineStr">
        <is>
          <t>Óculos de natação recreativo cinza</t>
        </is>
      </c>
      <c r="E30" s="107" t="n">
        <v>31.21</v>
      </c>
      <c r="F30" s="108" t="n">
        <v>50</v>
      </c>
      <c r="G30" s="107">
        <f>ROUND(E30*(1+IF(ABS(F30)&lt;=1,F30,F30/100)),2)</f>
        <v/>
      </c>
      <c r="H30" s="105" t="n">
        <v>15</v>
      </c>
      <c r="I30" s="105" t="n">
        <v>5</v>
      </c>
      <c r="J30" s="105">
        <f>IF(OR(UPPER(C30)="SERVIÇO",UPPER(C30)="SERVICO"),"SERVIÇO",IF(H30&lt;=0,"ZERADO",IF(H30&lt;=I30,"ESTOQUE BAIXO","NORMAL")))</f>
        <v/>
      </c>
      <c r="K30" s="107">
        <f>IF(OR(UPPER(C30)="SERVIÇO",UPPER(C30)="SERVICO"),0,N(H30)*N(E30))</f>
        <v/>
      </c>
      <c r="L30" s="107">
        <f>IF(OR(UPPER(C30)="SERVIÇO",UPPER(C30)="SERVICO"),0,N(H30)*N(G30))</f>
        <v/>
      </c>
      <c r="M30" s="107">
        <f>IF(OR(UPPER(C30)="SERVIÇO",UPPER(C30)="SERVICO"),0,L30-K30)</f>
        <v/>
      </c>
    </row>
    <row r="31" ht="15" customHeight="1">
      <c r="B31" s="105" t="n">
        <v>20</v>
      </c>
      <c r="C31" s="105" t="inlineStr">
        <is>
          <t>Produto</t>
        </is>
      </c>
      <c r="D31" s="106" t="inlineStr">
        <is>
          <t>Bola de pilates ventilado cinza</t>
        </is>
      </c>
      <c r="E31" s="107" t="n">
        <v>95.65000000000001</v>
      </c>
      <c r="F31" s="108" t="n">
        <v>50</v>
      </c>
      <c r="G31" s="107">
        <f>ROUND(E31*(1+IF(ABS(F31)&lt;=1,F31,F31/100)),2)</f>
        <v/>
      </c>
      <c r="H31" s="105" t="n">
        <v>15</v>
      </c>
      <c r="I31" s="105" t="n">
        <v>5</v>
      </c>
      <c r="J31" s="105">
        <f>IF(OR(UPPER(C31)="SERVIÇO",UPPER(C31)="SERVICO"),"SERVIÇO",IF(H31&lt;=0,"ZERADO",IF(H31&lt;=I31,"ESTOQUE BAIXO","NORMAL")))</f>
        <v/>
      </c>
      <c r="K31" s="107">
        <f>IF(OR(UPPER(C31)="SERVIÇO",UPPER(C31)="SERVICO"),0,N(H31)*N(E31))</f>
        <v/>
      </c>
      <c r="L31" s="107">
        <f>IF(OR(UPPER(C31)="SERVIÇO",UPPER(C31)="SERVICO"),0,N(H31)*N(G31))</f>
        <v/>
      </c>
      <c r="M31" s="107">
        <f>IF(OR(UPPER(C31)="SERVIÇO",UPPER(C31)="SERVICO"),0,L31-K31)</f>
        <v/>
      </c>
    </row>
    <row r="32" ht="15" customHeight="1">
      <c r="B32" s="105" t="n">
        <v>21</v>
      </c>
      <c r="C32" s="105" t="inlineStr">
        <is>
          <t>Produto</t>
        </is>
      </c>
      <c r="D32" s="106" t="inlineStr">
        <is>
          <t>Bicicleta ergométrica para uso diário branco</t>
        </is>
      </c>
      <c r="E32" s="107" t="n">
        <v>938.95</v>
      </c>
      <c r="F32" s="108" t="n">
        <v>50</v>
      </c>
      <c r="G32" s="107">
        <f>ROUND(E32*(1+IF(ABS(F32)&lt;=1,F32,F32/100)),2)</f>
        <v/>
      </c>
      <c r="H32" s="105" t="n">
        <v>15</v>
      </c>
      <c r="I32" s="105" t="n">
        <v>5</v>
      </c>
      <c r="J32" s="105">
        <f>IF(OR(UPPER(C32)="SERVIÇO",UPPER(C32)="SERVICO"),"SERVIÇO",IF(H32&lt;=0,"ZERADO",IF(H32&lt;=I32,"ESTOQUE BAIXO","NORMAL")))</f>
        <v/>
      </c>
      <c r="K32" s="107">
        <f>IF(OR(UPPER(C32)="SERVIÇO",UPPER(C32)="SERVICO"),0,N(H32)*N(E32))</f>
        <v/>
      </c>
      <c r="L32" s="107">
        <f>IF(OR(UPPER(C32)="SERVIÇO",UPPER(C32)="SERVICO"),0,N(H32)*N(G32))</f>
        <v/>
      </c>
      <c r="M32" s="107">
        <f>IF(OR(UPPER(C32)="SERVIÇO",UPPER(C32)="SERVICO"),0,L32-K32)</f>
        <v/>
      </c>
    </row>
    <row r="33" ht="15" customHeight="1">
      <c r="B33" s="105" t="n">
        <v>22</v>
      </c>
      <c r="C33" s="105" t="inlineStr">
        <is>
          <t>Produto</t>
        </is>
      </c>
      <c r="D33" s="106" t="inlineStr">
        <is>
          <t>Chuteira de campo ergonômico azul tam. P</t>
        </is>
      </c>
      <c r="E33" s="107" t="n">
        <v>474.94</v>
      </c>
      <c r="F33" s="108" t="n">
        <v>50</v>
      </c>
      <c r="G33" s="107">
        <f>ROUND(E33*(1+IF(ABS(F33)&lt;=1,F33,F33/100)),2)</f>
        <v/>
      </c>
      <c r="H33" s="105" t="n">
        <v>15</v>
      </c>
      <c r="I33" s="105" t="n">
        <v>5</v>
      </c>
      <c r="J33" s="105">
        <f>IF(OR(UPPER(C33)="SERVIÇO",UPPER(C33)="SERVICO"),"SERVIÇO",IF(H33&lt;=0,"ZERADO",IF(H33&lt;=I33,"ESTOQUE BAIXO","NORMAL")))</f>
        <v/>
      </c>
      <c r="K33" s="107">
        <f>IF(OR(UPPER(C33)="SERVIÇO",UPPER(C33)="SERVICO"),0,N(H33)*N(E33))</f>
        <v/>
      </c>
      <c r="L33" s="107">
        <f>IF(OR(UPPER(C33)="SERVIÇO",UPPER(C33)="SERVICO"),0,N(H33)*N(G33))</f>
        <v/>
      </c>
      <c r="M33" s="107">
        <f>IF(OR(UPPER(C33)="SERVIÇO",UPPER(C33)="SERVICO"),0,L33-K33)</f>
        <v/>
      </c>
    </row>
    <row r="34" ht="15" customHeight="1">
      <c r="B34" s="105" t="n">
        <v>23</v>
      </c>
      <c r="C34" s="105" t="inlineStr">
        <is>
          <t>Produto</t>
        </is>
      </c>
      <c r="D34" s="106" t="inlineStr">
        <is>
          <t>Chuteira society alta performance azul tam. 38</t>
        </is>
      </c>
      <c r="E34" s="107" t="n">
        <v>197.32</v>
      </c>
      <c r="F34" s="108" t="n">
        <v>50</v>
      </c>
      <c r="G34" s="107">
        <f>ROUND(E34*(1+IF(ABS(F34)&lt;=1,F34,F34/100)),2)</f>
        <v/>
      </c>
      <c r="H34" s="105" t="n">
        <v>15</v>
      </c>
      <c r="I34" s="105" t="n">
        <v>5</v>
      </c>
      <c r="J34" s="105">
        <f>IF(OR(UPPER(C34)="SERVIÇO",UPPER(C34)="SERVICO"),"SERVIÇO",IF(H34&lt;=0,"ZERADO",IF(H34&lt;=I34,"ESTOQUE BAIXO","NORMAL")))</f>
        <v/>
      </c>
      <c r="K34" s="107">
        <f>IF(OR(UPPER(C34)="SERVIÇO",UPPER(C34)="SERVICO"),0,N(H34)*N(E34))</f>
        <v/>
      </c>
      <c r="L34" s="107">
        <f>IF(OR(UPPER(C34)="SERVIÇO",UPPER(C34)="SERVICO"),0,N(H34)*N(G34))</f>
        <v/>
      </c>
      <c r="M34" s="107">
        <f>IF(OR(UPPER(C34)="SERVIÇO",UPPER(C34)="SERVICO"),0,L34-K34)</f>
        <v/>
      </c>
    </row>
    <row r="35" ht="15" customHeight="1">
      <c r="B35" s="105" t="n">
        <v>24</v>
      </c>
      <c r="C35" s="105" t="inlineStr">
        <is>
          <t>Produto</t>
        </is>
      </c>
      <c r="D35" s="106" t="inlineStr">
        <is>
          <t>Capacete de ciclismo premium preto</t>
        </is>
      </c>
      <c r="E35" s="107" t="n">
        <v>260.19</v>
      </c>
      <c r="F35" s="108" t="n">
        <v>50</v>
      </c>
      <c r="G35" s="107">
        <f>ROUND(E35*(1+IF(ABS(F35)&lt;=1,F35,F35/100)),2)</f>
        <v/>
      </c>
      <c r="H35" s="105" t="n">
        <v>15</v>
      </c>
      <c r="I35" s="105" t="n">
        <v>5</v>
      </c>
      <c r="J35" s="105">
        <f>IF(OR(UPPER(C35)="SERVIÇO",UPPER(C35)="SERVICO"),"SERVIÇO",IF(H35&lt;=0,"ZERADO",IF(H35&lt;=I35,"ESTOQUE BAIXO","NORMAL")))</f>
        <v/>
      </c>
      <c r="K35" s="107">
        <f>IF(OR(UPPER(C35)="SERVIÇO",UPPER(C35)="SERVICO"),0,N(H35)*N(E35))</f>
        <v/>
      </c>
      <c r="L35" s="107">
        <f>IF(OR(UPPER(C35)="SERVIÇO",UPPER(C35)="SERVICO"),0,N(H35)*N(G35))</f>
        <v/>
      </c>
      <c r="M35" s="107">
        <f>IF(OR(UPPER(C35)="SERVIÇO",UPPER(C35)="SERVICO"),0,L35-K35)</f>
        <v/>
      </c>
    </row>
    <row r="36" ht="15" customHeight="1">
      <c r="B36" s="105" t="n">
        <v>25</v>
      </c>
      <c r="C36" s="105" t="inlineStr">
        <is>
          <t>Produto</t>
        </is>
      </c>
      <c r="D36" s="106" t="inlineStr">
        <is>
          <t>Tênis para quadra premium branco tam. M</t>
        </is>
      </c>
      <c r="E36" s="107" t="n">
        <v>195.93</v>
      </c>
      <c r="F36" s="108" t="n">
        <v>50</v>
      </c>
      <c r="G36" s="107">
        <f>ROUND(E36*(1+IF(ABS(F36)&lt;=1,F36,F36/100)),2)</f>
        <v/>
      </c>
      <c r="H36" s="105" t="n">
        <v>15</v>
      </c>
      <c r="I36" s="105" t="n">
        <v>5</v>
      </c>
      <c r="J36" s="105">
        <f>IF(OR(UPPER(C36)="SERVIÇO",UPPER(C36)="SERVICO"),"SERVIÇO",IF(H36&lt;=0,"ZERADO",IF(H36&lt;=I36,"ESTOQUE BAIXO","NORMAL")))</f>
        <v/>
      </c>
      <c r="K36" s="107">
        <f>IF(OR(UPPER(C36)="SERVIÇO",UPPER(C36)="SERVICO"),0,N(H36)*N(E36))</f>
        <v/>
      </c>
      <c r="L36" s="107">
        <f>IF(OR(UPPER(C36)="SERVIÇO",UPPER(C36)="SERVICO"),0,N(H36)*N(G36))</f>
        <v/>
      </c>
      <c r="M36" s="107">
        <f>IF(OR(UPPER(C36)="SERVIÇO",UPPER(C36)="SERVICO"),0,L36-K36)</f>
        <v/>
      </c>
    </row>
    <row r="37" ht="15" customHeight="1">
      <c r="B37" s="105" t="n">
        <v>26</v>
      </c>
      <c r="C37" s="105" t="inlineStr">
        <is>
          <t>Produto</t>
        </is>
      </c>
      <c r="D37" s="106" t="inlineStr">
        <is>
          <t>Camiseta esportiva adulto cinza tam. 42</t>
        </is>
      </c>
      <c r="E37" s="107" t="n">
        <v>95.66</v>
      </c>
      <c r="F37" s="108" t="n">
        <v>50</v>
      </c>
      <c r="G37" s="107">
        <f>ROUND(E37*(1+IF(ABS(F37)&lt;=1,F37,F37/100)),2)</f>
        <v/>
      </c>
      <c r="H37" s="105" t="n">
        <v>15</v>
      </c>
      <c r="I37" s="105" t="n">
        <v>5</v>
      </c>
      <c r="J37" s="105">
        <f>IF(OR(UPPER(C37)="SERVIÇO",UPPER(C37)="SERVICO"),"SERVIÇO",IF(H37&lt;=0,"ZERADO",IF(H37&lt;=I37,"ESTOQUE BAIXO","NORMAL")))</f>
        <v/>
      </c>
      <c r="K37" s="107">
        <f>IF(OR(UPPER(C37)="SERVIÇO",UPPER(C37)="SERVICO"),0,N(H37)*N(E37))</f>
        <v/>
      </c>
      <c r="L37" s="107">
        <f>IF(OR(UPPER(C37)="SERVIÇO",UPPER(C37)="SERVICO"),0,N(H37)*N(G37))</f>
        <v/>
      </c>
      <c r="M37" s="107">
        <f>IF(OR(UPPER(C37)="SERVIÇO",UPPER(C37)="SERVICO"),0,L37-K37)</f>
        <v/>
      </c>
    </row>
    <row r="38" ht="15" customHeight="1">
      <c r="B38" s="105" t="n">
        <v>27</v>
      </c>
      <c r="C38" s="105" t="inlineStr">
        <is>
          <t>Produto</t>
        </is>
      </c>
      <c r="D38" s="106" t="inlineStr">
        <is>
          <t>Relógio esportivo iniciante verde</t>
        </is>
      </c>
      <c r="E38" s="107" t="n">
        <v>280.03</v>
      </c>
      <c r="F38" s="108" t="n">
        <v>50</v>
      </c>
      <c r="G38" s="107">
        <f>ROUND(E38*(1+IF(ABS(F38)&lt;=1,F38,F38/100)),2)</f>
        <v/>
      </c>
      <c r="H38" s="105" t="n">
        <v>15</v>
      </c>
      <c r="I38" s="105" t="n">
        <v>5</v>
      </c>
      <c r="J38" s="105">
        <f>IF(OR(UPPER(C38)="SERVIÇO",UPPER(C38)="SERVICO"),"SERVIÇO",IF(H38&lt;=0,"ZERADO",IF(H38&lt;=I38,"ESTOQUE BAIXO","NORMAL")))</f>
        <v/>
      </c>
      <c r="K38" s="107">
        <f>IF(OR(UPPER(C38)="SERVIÇO",UPPER(C38)="SERVICO"),0,N(H38)*N(E38))</f>
        <v/>
      </c>
      <c r="L38" s="107">
        <f>IF(OR(UPPER(C38)="SERVIÇO",UPPER(C38)="SERVICO"),0,N(H38)*N(G38))</f>
        <v/>
      </c>
      <c r="M38" s="107">
        <f>IF(OR(UPPER(C38)="SERVIÇO",UPPER(C38)="SERVICO"),0,L38-K38)</f>
        <v/>
      </c>
    </row>
    <row r="39" ht="15" customHeight="1">
      <c r="B39" s="105" t="n">
        <v>28</v>
      </c>
      <c r="C39" s="105" t="inlineStr">
        <is>
          <t>Produto</t>
        </is>
      </c>
      <c r="D39" s="106" t="inlineStr">
        <is>
          <t>Step de ginástica ventilado preto</t>
        </is>
      </c>
      <c r="E39" s="107" t="n">
        <v>203.69</v>
      </c>
      <c r="F39" s="108" t="n">
        <v>50</v>
      </c>
      <c r="G39" s="107">
        <f>ROUND(E39*(1+IF(ABS(F39)&lt;=1,F39,F39/100)),2)</f>
        <v/>
      </c>
      <c r="H39" s="105" t="n">
        <v>15</v>
      </c>
      <c r="I39" s="105" t="n">
        <v>5</v>
      </c>
      <c r="J39" s="105">
        <f>IF(OR(UPPER(C39)="SERVIÇO",UPPER(C39)="SERVICO"),"SERVIÇO",IF(H39&lt;=0,"ZERADO",IF(H39&lt;=I39,"ESTOQUE BAIXO","NORMAL")))</f>
        <v/>
      </c>
      <c r="K39" s="107">
        <f>IF(OR(UPPER(C39)="SERVIÇO",UPPER(C39)="SERVICO"),0,N(H39)*N(E39))</f>
        <v/>
      </c>
      <c r="L39" s="107">
        <f>IF(OR(UPPER(C39)="SERVIÇO",UPPER(C39)="SERVICO"),0,N(H39)*N(G39))</f>
        <v/>
      </c>
      <c r="M39" s="107">
        <f>IF(OR(UPPER(C39)="SERVIÇO",UPPER(C39)="SERVICO"),0,L39-K39)</f>
        <v/>
      </c>
    </row>
    <row r="40" ht="15" customHeight="1">
      <c r="B40" s="105" t="n">
        <v>29</v>
      </c>
      <c r="C40" s="105" t="inlineStr">
        <is>
          <t>Produto</t>
        </is>
      </c>
      <c r="D40" s="106" t="inlineStr">
        <is>
          <t>Óculos esportivos treino branco</t>
        </is>
      </c>
      <c r="E40" s="107" t="n">
        <v>371.92</v>
      </c>
      <c r="F40" s="108" t="n">
        <v>50</v>
      </c>
      <c r="G40" s="107">
        <f>ROUND(E40*(1+IF(ABS(F40)&lt;=1,F40,F40/100)),2)</f>
        <v/>
      </c>
      <c r="H40" s="105" t="n">
        <v>15</v>
      </c>
      <c r="I40" s="105" t="n">
        <v>5</v>
      </c>
      <c r="J40" s="105">
        <f>IF(OR(UPPER(C40)="SERVIÇO",UPPER(C40)="SERVICO"),"SERVIÇO",IF(H40&lt;=0,"ZERADO",IF(H40&lt;=I40,"ESTOQUE BAIXO","NORMAL")))</f>
        <v/>
      </c>
      <c r="K40" s="107">
        <f>IF(OR(UPPER(C40)="SERVIÇO",UPPER(C40)="SERVICO"),0,N(H40)*N(E40))</f>
        <v/>
      </c>
      <c r="L40" s="107">
        <f>IF(OR(UPPER(C40)="SERVIÇO",UPPER(C40)="SERVICO"),0,N(H40)*N(G40))</f>
        <v/>
      </c>
      <c r="M40" s="107">
        <f>IF(OR(UPPER(C40)="SERVIÇO",UPPER(C40)="SERVICO"),0,L40-K40)</f>
        <v/>
      </c>
    </row>
    <row r="41" ht="15" customHeight="1">
      <c r="B41" s="105" t="n">
        <v>30</v>
      </c>
      <c r="C41" s="105" t="inlineStr">
        <is>
          <t>Produto</t>
        </is>
      </c>
      <c r="D41" s="106" t="inlineStr">
        <is>
          <t>Coqueteleira juvenil verde</t>
        </is>
      </c>
      <c r="E41" s="107" t="n">
        <v>48.82</v>
      </c>
      <c r="F41" s="108" t="n">
        <v>50</v>
      </c>
      <c r="G41" s="107">
        <f>ROUND(E41*(1+IF(ABS(F41)&lt;=1,F41,F41/100)),2)</f>
        <v/>
      </c>
      <c r="H41" s="105" t="n">
        <v>15</v>
      </c>
      <c r="I41" s="105" t="n">
        <v>5</v>
      </c>
      <c r="J41" s="105">
        <f>IF(OR(UPPER(C41)="SERVIÇO",UPPER(C41)="SERVICO"),"SERVIÇO",IF(H41&lt;=0,"ZERADO",IF(H41&lt;=I41,"ESTOQUE BAIXO","NORMAL")))</f>
        <v/>
      </c>
      <c r="K41" s="107">
        <f>IF(OR(UPPER(C41)="SERVIÇO",UPPER(C41)="SERVICO"),0,N(H41)*N(E41))</f>
        <v/>
      </c>
      <c r="L41" s="107">
        <f>IF(OR(UPPER(C41)="SERVIÇO",UPPER(C41)="SERVICO"),0,N(H41)*N(G41))</f>
        <v/>
      </c>
      <c r="M41" s="107">
        <f>IF(OR(UPPER(C41)="SERVIÇO",UPPER(C41)="SERVICO"),0,L41-K41)</f>
        <v/>
      </c>
    </row>
    <row r="42" ht="15" customHeight="1">
      <c r="B42" s="105" t="n">
        <v>31</v>
      </c>
      <c r="C42" s="105" t="inlineStr">
        <is>
          <t>Produto</t>
        </is>
      </c>
      <c r="D42" s="106" t="inlineStr">
        <is>
          <t>Raquete de badminton ergonômico azul</t>
        </is>
      </c>
      <c r="E42" s="107" t="n">
        <v>235.31</v>
      </c>
      <c r="F42" s="108" t="n">
        <v>50</v>
      </c>
      <c r="G42" s="107">
        <f>ROUND(E42*(1+IF(ABS(F42)&lt;=1,F42,F42/100)),2)</f>
        <v/>
      </c>
      <c r="H42" s="105" t="n">
        <v>15</v>
      </c>
      <c r="I42" s="105" t="n">
        <v>5</v>
      </c>
      <c r="J42" s="105">
        <f>IF(OR(UPPER(C42)="SERVIÇO",UPPER(C42)="SERVICO"),"SERVIÇO",IF(H42&lt;=0,"ZERADO",IF(H42&lt;=I42,"ESTOQUE BAIXO","NORMAL")))</f>
        <v/>
      </c>
      <c r="K42" s="107">
        <f>IF(OR(UPPER(C42)="SERVIÇO",UPPER(C42)="SERVICO"),0,N(H42)*N(E42))</f>
        <v/>
      </c>
      <c r="L42" s="107">
        <f>IF(OR(UPPER(C42)="SERVIÇO",UPPER(C42)="SERVICO"),0,N(H42)*N(G42))</f>
        <v/>
      </c>
      <c r="M42" s="107">
        <f>IF(OR(UPPER(C42)="SERVIÇO",UPPER(C42)="SERVICO"),0,L42-K42)</f>
        <v/>
      </c>
    </row>
    <row r="43" ht="15" customHeight="1">
      <c r="B43" s="105" t="n">
        <v>32</v>
      </c>
      <c r="C43" s="105" t="inlineStr">
        <is>
          <t>Produto</t>
        </is>
      </c>
      <c r="D43" s="106" t="inlineStr">
        <is>
          <t>Caneleira de futebol recreativo rosa</t>
        </is>
      </c>
      <c r="E43" s="107" t="n">
        <v>85.79000000000001</v>
      </c>
      <c r="F43" s="108" t="n">
        <v>50</v>
      </c>
      <c r="G43" s="107">
        <f>ROUND(E43*(1+IF(ABS(F43)&lt;=1,F43,F43/100)),2)</f>
        <v/>
      </c>
      <c r="H43" s="105" t="n">
        <v>15</v>
      </c>
      <c r="I43" s="105" t="n">
        <v>5</v>
      </c>
      <c r="J43" s="105">
        <f>IF(OR(UPPER(C43)="SERVIÇO",UPPER(C43)="SERVICO"),"SERVIÇO",IF(H43&lt;=0,"ZERADO",IF(H43&lt;=I43,"ESTOQUE BAIXO","NORMAL")))</f>
        <v/>
      </c>
      <c r="K43" s="107">
        <f>IF(OR(UPPER(C43)="SERVIÇO",UPPER(C43)="SERVICO"),0,N(H43)*N(E43))</f>
        <v/>
      </c>
      <c r="L43" s="107">
        <f>IF(OR(UPPER(C43)="SERVIÇO",UPPER(C43)="SERVICO"),0,N(H43)*N(G43))</f>
        <v/>
      </c>
      <c r="M43" s="107">
        <f>IF(OR(UPPER(C43)="SERVIÇO",UPPER(C43)="SERVICO"),0,L43-K43)</f>
        <v/>
      </c>
    </row>
    <row r="44" ht="15" customHeight="1">
      <c r="B44" s="105" t="n">
        <v>33</v>
      </c>
      <c r="C44" s="105" t="inlineStr">
        <is>
          <t>Produto</t>
        </is>
      </c>
      <c r="D44" s="106" t="inlineStr">
        <is>
          <t>Camiseta esportiva resistente laranja tam. GG</t>
        </is>
      </c>
      <c r="E44" s="107" t="n">
        <v>112.69</v>
      </c>
      <c r="F44" s="108" t="n">
        <v>50</v>
      </c>
      <c r="G44" s="107">
        <f>ROUND(E44*(1+IF(ABS(F44)&lt;=1,F44,F44/100)),2)</f>
        <v/>
      </c>
      <c r="H44" s="105" t="n">
        <v>15</v>
      </c>
      <c r="I44" s="105" t="n">
        <v>5</v>
      </c>
      <c r="J44" s="105">
        <f>IF(OR(UPPER(C44)="SERVIÇO",UPPER(C44)="SERVICO"),"SERVIÇO",IF(H44&lt;=0,"ZERADO",IF(H44&lt;=I44,"ESTOQUE BAIXO","NORMAL")))</f>
        <v/>
      </c>
      <c r="K44" s="107">
        <f>IF(OR(UPPER(C44)="SERVIÇO",UPPER(C44)="SERVICO"),0,N(H44)*N(E44))</f>
        <v/>
      </c>
      <c r="L44" s="107">
        <f>IF(OR(UPPER(C44)="SERVIÇO",UPPER(C44)="SERVICO"),0,N(H44)*N(G44))</f>
        <v/>
      </c>
      <c r="M44" s="107">
        <f>IF(OR(UPPER(C44)="SERVIÇO",UPPER(C44)="SERVICO"),0,L44-K44)</f>
        <v/>
      </c>
    </row>
    <row r="45" ht="15" customHeight="1">
      <c r="B45" s="105" t="n">
        <v>34</v>
      </c>
      <c r="C45" s="105" t="inlineStr">
        <is>
          <t>Produto</t>
        </is>
      </c>
      <c r="D45" s="106" t="inlineStr">
        <is>
          <t>Step de ginástica iniciante laranja</t>
        </is>
      </c>
      <c r="E45" s="107" t="n">
        <v>298.78</v>
      </c>
      <c r="F45" s="108" t="n">
        <v>50</v>
      </c>
      <c r="G45" s="107">
        <f>ROUND(E45*(1+IF(ABS(F45)&lt;=1,F45,F45/100)),2)</f>
        <v/>
      </c>
      <c r="H45" s="105" t="n">
        <v>15</v>
      </c>
      <c r="I45" s="105" t="n">
        <v>5</v>
      </c>
      <c r="J45" s="105">
        <f>IF(OR(UPPER(C45)="SERVIÇO",UPPER(C45)="SERVICO"),"SERVIÇO",IF(H45&lt;=0,"ZERADO",IF(H45&lt;=I45,"ESTOQUE BAIXO","NORMAL")))</f>
        <v/>
      </c>
      <c r="K45" s="107">
        <f>IF(OR(UPPER(C45)="SERVIÇO",UPPER(C45)="SERVICO"),0,N(H45)*N(E45))</f>
        <v/>
      </c>
      <c r="L45" s="107">
        <f>IF(OR(UPPER(C45)="SERVIÇO",UPPER(C45)="SERVICO"),0,N(H45)*N(G45))</f>
        <v/>
      </c>
      <c r="M45" s="107">
        <f>IF(OR(UPPER(C45)="SERVIÇO",UPPER(C45)="SERVICO"),0,L45-K45)</f>
        <v/>
      </c>
    </row>
    <row r="46" ht="15" customHeight="1">
      <c r="B46" s="105" t="n">
        <v>35</v>
      </c>
      <c r="C46" s="105" t="inlineStr">
        <is>
          <t>Produto</t>
        </is>
      </c>
      <c r="D46" s="106" t="inlineStr">
        <is>
          <t>Óculos de natação com ajuste rosa</t>
        </is>
      </c>
      <c r="E46" s="107" t="n">
        <v>28.64</v>
      </c>
      <c r="F46" s="108" t="n">
        <v>50</v>
      </c>
      <c r="G46" s="107">
        <f>ROUND(E46*(1+IF(ABS(F46)&lt;=1,F46,F46/100)),2)</f>
        <v/>
      </c>
      <c r="H46" s="105" t="n">
        <v>15</v>
      </c>
      <c r="I46" s="105" t="n">
        <v>5</v>
      </c>
      <c r="J46" s="105">
        <f>IF(OR(UPPER(C46)="SERVIÇO",UPPER(C46)="SERVICO"),"SERVIÇO",IF(H46&lt;=0,"ZERADO",IF(H46&lt;=I46,"ESTOQUE BAIXO","NORMAL")))</f>
        <v/>
      </c>
      <c r="K46" s="107">
        <f>IF(OR(UPPER(C46)="SERVIÇO",UPPER(C46)="SERVICO"),0,N(H46)*N(E46))</f>
        <v/>
      </c>
      <c r="L46" s="107">
        <f>IF(OR(UPPER(C46)="SERVIÇO",UPPER(C46)="SERVICO"),0,N(H46)*N(G46))</f>
        <v/>
      </c>
      <c r="M46" s="107">
        <f>IF(OR(UPPER(C46)="SERVIÇO",UPPER(C46)="SERVICO"),0,L46-K46)</f>
        <v/>
      </c>
    </row>
    <row r="47" ht="15" customHeight="1">
      <c r="B47" s="105" t="n">
        <v>36</v>
      </c>
      <c r="C47" s="105" t="inlineStr">
        <is>
          <t>Produto</t>
        </is>
      </c>
      <c r="D47" s="106" t="inlineStr">
        <is>
          <t>Jaqueta esportiva modelo básico preto tam. 44</t>
        </is>
      </c>
      <c r="E47" s="107" t="n">
        <v>190.21</v>
      </c>
      <c r="F47" s="108" t="n">
        <v>50</v>
      </c>
      <c r="G47" s="107">
        <f>ROUND(E47*(1+IF(ABS(F47)&lt;=1,F47,F47/100)),2)</f>
        <v/>
      </c>
      <c r="H47" s="105" t="n">
        <v>15</v>
      </c>
      <c r="I47" s="105" t="n">
        <v>5</v>
      </c>
      <c r="J47" s="105">
        <f>IF(OR(UPPER(C47)="SERVIÇO",UPPER(C47)="SERVICO"),"SERVIÇO",IF(H47&lt;=0,"ZERADO",IF(H47&lt;=I47,"ESTOQUE BAIXO","NORMAL")))</f>
        <v/>
      </c>
      <c r="K47" s="107">
        <f>IF(OR(UPPER(C47)="SERVIÇO",UPPER(C47)="SERVICO"),0,N(H47)*N(E47))</f>
        <v/>
      </c>
      <c r="L47" s="107">
        <f>IF(OR(UPPER(C47)="SERVIÇO",UPPER(C47)="SERVICO"),0,N(H47)*N(G47))</f>
        <v/>
      </c>
      <c r="M47" s="107">
        <f>IF(OR(UPPER(C47)="SERVIÇO",UPPER(C47)="SERVICO"),0,L47-K47)</f>
        <v/>
      </c>
    </row>
    <row r="48" ht="15" customHeight="1">
      <c r="B48" s="105" t="n">
        <v>37</v>
      </c>
      <c r="C48" s="105" t="inlineStr">
        <is>
          <t>Produto</t>
        </is>
      </c>
      <c r="D48" s="106" t="inlineStr">
        <is>
          <t>Luva de boxe adulto azul tam. P</t>
        </is>
      </c>
      <c r="E48" s="107" t="n">
        <v>101</v>
      </c>
      <c r="F48" s="108" t="n">
        <v>50</v>
      </c>
      <c r="G48" s="107">
        <f>ROUND(E48*(1+IF(ABS(F48)&lt;=1,F48,F48/100)),2)</f>
        <v/>
      </c>
      <c r="H48" s="105" t="n">
        <v>15</v>
      </c>
      <c r="I48" s="105" t="n">
        <v>5</v>
      </c>
      <c r="J48" s="105">
        <f>IF(OR(UPPER(C48)="SERVIÇO",UPPER(C48)="SERVICO"),"SERVIÇO",IF(H48&lt;=0,"ZERADO",IF(H48&lt;=I48,"ESTOQUE BAIXO","NORMAL")))</f>
        <v/>
      </c>
      <c r="K48" s="107">
        <f>IF(OR(UPPER(C48)="SERVIÇO",UPPER(C48)="SERVICO"),0,N(H48)*N(E48))</f>
        <v/>
      </c>
      <c r="L48" s="107">
        <f>IF(OR(UPPER(C48)="SERVIÇO",UPPER(C48)="SERVICO"),0,N(H48)*N(G48))</f>
        <v/>
      </c>
      <c r="M48" s="107">
        <f>IF(OR(UPPER(C48)="SERVIÇO",UPPER(C48)="SERVICO"),0,L48-K48)</f>
        <v/>
      </c>
    </row>
    <row r="49" ht="15" customHeight="1">
      <c r="B49" s="105" t="n">
        <v>38</v>
      </c>
      <c r="C49" s="105" t="inlineStr">
        <is>
          <t>Produto</t>
        </is>
      </c>
      <c r="D49" s="106" t="inlineStr">
        <is>
          <t>Bola de vôlei profissional verde</t>
        </is>
      </c>
      <c r="E49" s="107" t="n">
        <v>47.33</v>
      </c>
      <c r="F49" s="108" t="n">
        <v>50</v>
      </c>
      <c r="G49" s="107">
        <f>ROUND(E49*(1+IF(ABS(F49)&lt;=1,F49,F49/100)),2)</f>
        <v/>
      </c>
      <c r="H49" s="105" t="n">
        <v>15</v>
      </c>
      <c r="I49" s="105" t="n">
        <v>5</v>
      </c>
      <c r="J49" s="105">
        <f>IF(OR(UPPER(C49)="SERVIÇO",UPPER(C49)="SERVICO"),"SERVIÇO",IF(H49&lt;=0,"ZERADO",IF(H49&lt;=I49,"ESTOQUE BAIXO","NORMAL")))</f>
        <v/>
      </c>
      <c r="K49" s="107">
        <f>IF(OR(UPPER(C49)="SERVIÇO",UPPER(C49)="SERVICO"),0,N(H49)*N(E49))</f>
        <v/>
      </c>
      <c r="L49" s="107">
        <f>IF(OR(UPPER(C49)="SERVIÇO",UPPER(C49)="SERVICO"),0,N(H49)*N(G49))</f>
        <v/>
      </c>
      <c r="M49" s="107">
        <f>IF(OR(UPPER(C49)="SERVIÇO",UPPER(C49)="SERVICO"),0,L49-K49)</f>
        <v/>
      </c>
    </row>
    <row r="50" ht="15" customHeight="1">
      <c r="B50" s="105" t="n">
        <v>39</v>
      </c>
      <c r="C50" s="105" t="inlineStr">
        <is>
          <t>Produto</t>
        </is>
      </c>
      <c r="D50" s="106" t="inlineStr">
        <is>
          <t>Óculos esportivos ventilado vermelho</t>
        </is>
      </c>
      <c r="E50" s="107" t="n">
        <v>310.39</v>
      </c>
      <c r="F50" s="108" t="n">
        <v>50</v>
      </c>
      <c r="G50" s="107">
        <f>ROUND(E50*(1+IF(ABS(F50)&lt;=1,F50,F50/100)),2)</f>
        <v/>
      </c>
      <c r="H50" s="105" t="n">
        <v>15</v>
      </c>
      <c r="I50" s="105" t="n">
        <v>5</v>
      </c>
      <c r="J50" s="105">
        <f>IF(OR(UPPER(C50)="SERVIÇO",UPPER(C50)="SERVICO"),"SERVIÇO",IF(H50&lt;=0,"ZERADO",IF(H50&lt;=I50,"ESTOQUE BAIXO","NORMAL")))</f>
        <v/>
      </c>
      <c r="K50" s="107">
        <f>IF(OR(UPPER(C50)="SERVIÇO",UPPER(C50)="SERVICO"),0,N(H50)*N(E50))</f>
        <v/>
      </c>
      <c r="L50" s="107">
        <f>IF(OR(UPPER(C50)="SERVIÇO",UPPER(C50)="SERVICO"),0,N(H50)*N(G50))</f>
        <v/>
      </c>
      <c r="M50" s="107">
        <f>IF(OR(UPPER(C50)="SERVIÇO",UPPER(C50)="SERVICO"),0,L50-K50)</f>
        <v/>
      </c>
    </row>
    <row r="51" ht="15" customHeight="1">
      <c r="B51" s="105" t="n">
        <v>40</v>
      </c>
      <c r="C51" s="105" t="inlineStr">
        <is>
          <t>Produto</t>
        </is>
      </c>
      <c r="D51" s="106" t="inlineStr">
        <is>
          <t>Protetor bucal ergonômico verde</t>
        </is>
      </c>
      <c r="E51" s="107" t="n">
        <v>48.95</v>
      </c>
      <c r="F51" s="108" t="n">
        <v>50</v>
      </c>
      <c r="G51" s="107">
        <f>ROUND(E51*(1+IF(ABS(F51)&lt;=1,F51,F51/100)),2)</f>
        <v/>
      </c>
      <c r="H51" s="105" t="n">
        <v>15</v>
      </c>
      <c r="I51" s="105" t="n">
        <v>5</v>
      </c>
      <c r="J51" s="105">
        <f>IF(OR(UPPER(C51)="SERVIÇO",UPPER(C51)="SERVICO"),"SERVIÇO",IF(H51&lt;=0,"ZERADO",IF(H51&lt;=I51,"ESTOQUE BAIXO","NORMAL")))</f>
        <v/>
      </c>
      <c r="K51" s="107">
        <f>IF(OR(UPPER(C51)="SERVIÇO",UPPER(C51)="SERVICO"),0,N(H51)*N(E51))</f>
        <v/>
      </c>
      <c r="L51" s="107">
        <f>IF(OR(UPPER(C51)="SERVIÇO",UPPER(C51)="SERVICO"),0,N(H51)*N(G51))</f>
        <v/>
      </c>
      <c r="M51" s="107">
        <f>IF(OR(UPPER(C51)="SERVIÇO",UPPER(C51)="SERVICO"),0,L51-K51)</f>
        <v/>
      </c>
    </row>
    <row r="52" ht="15" customHeight="1">
      <c r="B52" s="105" t="n">
        <v>41</v>
      </c>
      <c r="C52" s="105" t="inlineStr">
        <is>
          <t>Produto</t>
        </is>
      </c>
      <c r="D52" s="106" t="inlineStr">
        <is>
          <t>Corda de pular treino azul</t>
        </is>
      </c>
      <c r="E52" s="107" t="n">
        <v>62.32</v>
      </c>
      <c r="F52" s="108" t="n">
        <v>50</v>
      </c>
      <c r="G52" s="107">
        <f>ROUND(E52*(1+IF(ABS(F52)&lt;=1,F52,F52/100)),2)</f>
        <v/>
      </c>
      <c r="H52" s="105" t="n">
        <v>15</v>
      </c>
      <c r="I52" s="105" t="n">
        <v>5</v>
      </c>
      <c r="J52" s="105">
        <f>IF(OR(UPPER(C52)="SERVIÇO",UPPER(C52)="SERVICO"),"SERVIÇO",IF(H52&lt;=0,"ZERADO",IF(H52&lt;=I52,"ESTOQUE BAIXO","NORMAL")))</f>
        <v/>
      </c>
      <c r="K52" s="107">
        <f>IF(OR(UPPER(C52)="SERVIÇO",UPPER(C52)="SERVICO"),0,N(H52)*N(E52))</f>
        <v/>
      </c>
      <c r="L52" s="107">
        <f>IF(OR(UPPER(C52)="SERVIÇO",UPPER(C52)="SERVICO"),0,N(H52)*N(G52))</f>
        <v/>
      </c>
      <c r="M52" s="107">
        <f>IF(OR(UPPER(C52)="SERVIÇO",UPPER(C52)="SERVICO"),0,L52-K52)</f>
        <v/>
      </c>
    </row>
    <row r="53" ht="15" customHeight="1">
      <c r="B53" s="105" t="n">
        <v>42</v>
      </c>
      <c r="C53" s="105" t="inlineStr">
        <is>
          <t>Produto</t>
        </is>
      </c>
      <c r="D53" s="106" t="inlineStr">
        <is>
          <t>Colchonete de exercício alta performance rosa</t>
        </is>
      </c>
      <c r="E53" s="107" t="n">
        <v>106.87</v>
      </c>
      <c r="F53" s="108" t="n">
        <v>50</v>
      </c>
      <c r="G53" s="107">
        <f>ROUND(E53*(1+IF(ABS(F53)&lt;=1,F53,F53/100)),2)</f>
        <v/>
      </c>
      <c r="H53" s="105" t="n">
        <v>15</v>
      </c>
      <c r="I53" s="105" t="n">
        <v>5</v>
      </c>
      <c r="J53" s="105">
        <f>IF(OR(UPPER(C53)="SERVIÇO",UPPER(C53)="SERVICO"),"SERVIÇO",IF(H53&lt;=0,"ZERADO",IF(H53&lt;=I53,"ESTOQUE BAIXO","NORMAL")))</f>
        <v/>
      </c>
      <c r="K53" s="107">
        <f>IF(OR(UPPER(C53)="SERVIÇO",UPPER(C53)="SERVICO"),0,N(H53)*N(E53))</f>
        <v/>
      </c>
      <c r="L53" s="107">
        <f>IF(OR(UPPER(C53)="SERVIÇO",UPPER(C53)="SERVICO"),0,N(H53)*N(G53))</f>
        <v/>
      </c>
      <c r="M53" s="107">
        <f>IF(OR(UPPER(C53)="SERVIÇO",UPPER(C53)="SERVICO"),0,L53-K53)</f>
        <v/>
      </c>
    </row>
    <row r="54" ht="15" customHeight="1">
      <c r="B54" s="105" t="n">
        <v>43</v>
      </c>
      <c r="C54" s="105" t="inlineStr">
        <is>
          <t>Produto</t>
        </is>
      </c>
      <c r="D54" s="106" t="inlineStr">
        <is>
          <t>Raquete de tênis juvenil laranja tam. 36</t>
        </is>
      </c>
      <c r="E54" s="107" t="n">
        <v>443.03</v>
      </c>
      <c r="F54" s="108" t="n">
        <v>50</v>
      </c>
      <c r="G54" s="107">
        <f>ROUND(E54*(1+IF(ABS(F54)&lt;=1,F54,F54/100)),2)</f>
        <v/>
      </c>
      <c r="H54" s="105" t="n">
        <v>15</v>
      </c>
      <c r="I54" s="105" t="n">
        <v>5</v>
      </c>
      <c r="J54" s="105">
        <f>IF(OR(UPPER(C54)="SERVIÇO",UPPER(C54)="SERVICO"),"SERVIÇO",IF(H54&lt;=0,"ZERADO",IF(H54&lt;=I54,"ESTOQUE BAIXO","NORMAL")))</f>
        <v/>
      </c>
      <c r="K54" s="107">
        <f>IF(OR(UPPER(C54)="SERVIÇO",UPPER(C54)="SERVICO"),0,N(H54)*N(E54))</f>
        <v/>
      </c>
      <c r="L54" s="107">
        <f>IF(OR(UPPER(C54)="SERVIÇO",UPPER(C54)="SERVICO"),0,N(H54)*N(G54))</f>
        <v/>
      </c>
      <c r="M54" s="107">
        <f>IF(OR(UPPER(C54)="SERVIÇO",UPPER(C54)="SERVICO"),0,L54-K54)</f>
        <v/>
      </c>
    </row>
    <row r="55" ht="15" customHeight="1">
      <c r="B55" s="105" t="n">
        <v>44</v>
      </c>
      <c r="C55" s="105" t="inlineStr">
        <is>
          <t>Produto</t>
        </is>
      </c>
      <c r="D55" s="106" t="inlineStr">
        <is>
          <t>Tênis de corrida reforçado verde tam. 42</t>
        </is>
      </c>
      <c r="E55" s="107" t="n">
        <v>318.73</v>
      </c>
      <c r="F55" s="108" t="n">
        <v>50</v>
      </c>
      <c r="G55" s="107">
        <f>ROUND(E55*(1+IF(ABS(F55)&lt;=1,F55,F55/100)),2)</f>
        <v/>
      </c>
      <c r="H55" s="105" t="n">
        <v>15</v>
      </c>
      <c r="I55" s="105" t="n">
        <v>5</v>
      </c>
      <c r="J55" s="105">
        <f>IF(OR(UPPER(C55)="SERVIÇO",UPPER(C55)="SERVICO"),"SERVIÇO",IF(H55&lt;=0,"ZERADO",IF(H55&lt;=I55,"ESTOQUE BAIXO","NORMAL")))</f>
        <v/>
      </c>
      <c r="K55" s="107">
        <f>IF(OR(UPPER(C55)="SERVIÇO",UPPER(C55)="SERVICO"),0,N(H55)*N(E55))</f>
        <v/>
      </c>
      <c r="L55" s="107">
        <f>IF(OR(UPPER(C55)="SERVIÇO",UPPER(C55)="SERVICO"),0,N(H55)*N(G55))</f>
        <v/>
      </c>
      <c r="M55" s="107">
        <f>IF(OR(UPPER(C55)="SERVIÇO",UPPER(C55)="SERVICO"),0,L55-K55)</f>
        <v/>
      </c>
    </row>
    <row r="56" ht="15" customHeight="1">
      <c r="B56" s="105" t="n">
        <v>45</v>
      </c>
      <c r="C56" s="105" t="inlineStr">
        <is>
          <t>Produto</t>
        </is>
      </c>
      <c r="D56" s="106" t="inlineStr">
        <is>
          <t>Bicicleta ergométrica premium rosa</t>
        </is>
      </c>
      <c r="E56" s="107" t="n">
        <v>1019.43</v>
      </c>
      <c r="F56" s="108" t="n">
        <v>50</v>
      </c>
      <c r="G56" s="107">
        <f>ROUND(E56*(1+IF(ABS(F56)&lt;=1,F56,F56/100)),2)</f>
        <v/>
      </c>
      <c r="H56" s="105" t="n">
        <v>15</v>
      </c>
      <c r="I56" s="105" t="n">
        <v>5</v>
      </c>
      <c r="J56" s="105">
        <f>IF(OR(UPPER(C56)="SERVIÇO",UPPER(C56)="SERVICO"),"SERVIÇO",IF(H56&lt;=0,"ZERADO",IF(H56&lt;=I56,"ESTOQUE BAIXO","NORMAL")))</f>
        <v/>
      </c>
      <c r="K56" s="107">
        <f>IF(OR(UPPER(C56)="SERVIÇO",UPPER(C56)="SERVICO"),0,N(H56)*N(E56))</f>
        <v/>
      </c>
      <c r="L56" s="107">
        <f>IF(OR(UPPER(C56)="SERVIÇO",UPPER(C56)="SERVICO"),0,N(H56)*N(G56))</f>
        <v/>
      </c>
      <c r="M56" s="107">
        <f>IF(OR(UPPER(C56)="SERVIÇO",UPPER(C56)="SERVICO"),0,L56-K56)</f>
        <v/>
      </c>
    </row>
    <row r="57" ht="15" customHeight="1">
      <c r="B57" s="105" t="n">
        <v>46</v>
      </c>
      <c r="C57" s="105" t="inlineStr">
        <is>
          <t>Produto</t>
        </is>
      </c>
      <c r="D57" s="106" t="inlineStr">
        <is>
          <t>Raquete de beach tennis ventilado azul</t>
        </is>
      </c>
      <c r="E57" s="107" t="n">
        <v>113.45</v>
      </c>
      <c r="F57" s="108" t="n">
        <v>50</v>
      </c>
      <c r="G57" s="107">
        <f>ROUND(E57*(1+IF(ABS(F57)&lt;=1,F57,F57/100)),2)</f>
        <v/>
      </c>
      <c r="H57" s="105" t="n">
        <v>15</v>
      </c>
      <c r="I57" s="105" t="n">
        <v>5</v>
      </c>
      <c r="J57" s="105">
        <f>IF(OR(UPPER(C57)="SERVIÇO",UPPER(C57)="SERVICO"),"SERVIÇO",IF(H57&lt;=0,"ZERADO",IF(H57&lt;=I57,"ESTOQUE BAIXO","NORMAL")))</f>
        <v/>
      </c>
      <c r="K57" s="107">
        <f>IF(OR(UPPER(C57)="SERVIÇO",UPPER(C57)="SERVICO"),0,N(H57)*N(E57))</f>
        <v/>
      </c>
      <c r="L57" s="107">
        <f>IF(OR(UPPER(C57)="SERVIÇO",UPPER(C57)="SERVICO"),0,N(H57)*N(G57))</f>
        <v/>
      </c>
      <c r="M57" s="107">
        <f>IF(OR(UPPER(C57)="SERVIÇO",UPPER(C57)="SERVICO"),0,L57-K57)</f>
        <v/>
      </c>
    </row>
    <row r="58" ht="15" customHeight="1">
      <c r="B58" s="105" t="n">
        <v>47</v>
      </c>
      <c r="C58" s="105" t="inlineStr">
        <is>
          <t>Produto</t>
        </is>
      </c>
      <c r="D58" s="106" t="inlineStr">
        <is>
          <t>Caneleira de futebol profissional verde</t>
        </is>
      </c>
      <c r="E58" s="107" t="n">
        <v>24.91</v>
      </c>
      <c r="F58" s="108" t="n">
        <v>50</v>
      </c>
      <c r="G58" s="107">
        <f>ROUND(E58*(1+IF(ABS(F58)&lt;=1,F58,F58/100)),2)</f>
        <v/>
      </c>
      <c r="H58" s="105" t="n">
        <v>15</v>
      </c>
      <c r="I58" s="105" t="n">
        <v>5</v>
      </c>
      <c r="J58" s="105">
        <f>IF(OR(UPPER(C58)="SERVIÇO",UPPER(C58)="SERVICO"),"SERVIÇO",IF(H58&lt;=0,"ZERADO",IF(H58&lt;=I58,"ESTOQUE BAIXO","NORMAL")))</f>
        <v/>
      </c>
      <c r="K58" s="107">
        <f>IF(OR(UPPER(C58)="SERVIÇO",UPPER(C58)="SERVICO"),0,N(H58)*N(E58))</f>
        <v/>
      </c>
      <c r="L58" s="107">
        <f>IF(OR(UPPER(C58)="SERVIÇO",UPPER(C58)="SERVICO"),0,N(H58)*N(G58))</f>
        <v/>
      </c>
      <c r="M58" s="107">
        <f>IF(OR(UPPER(C58)="SERVIÇO",UPPER(C58)="SERVICO"),0,L58-K58)</f>
        <v/>
      </c>
    </row>
    <row r="59" ht="15" customHeight="1">
      <c r="B59" s="105" t="n">
        <v>48</v>
      </c>
      <c r="C59" s="105" t="inlineStr">
        <is>
          <t>Produto</t>
        </is>
      </c>
      <c r="D59" s="106" t="inlineStr">
        <is>
          <t>Óculos esportivos reforçado laranja</t>
        </is>
      </c>
      <c r="E59" s="107" t="n">
        <v>381.31</v>
      </c>
      <c r="F59" s="108" t="n">
        <v>50</v>
      </c>
      <c r="G59" s="107">
        <f>ROUND(E59*(1+IF(ABS(F59)&lt;=1,F59,F59/100)),2)</f>
        <v/>
      </c>
      <c r="H59" s="105" t="n">
        <v>15</v>
      </c>
      <c r="I59" s="105" t="n">
        <v>5</v>
      </c>
      <c r="J59" s="105">
        <f>IF(OR(UPPER(C59)="SERVIÇO",UPPER(C59)="SERVICO"),"SERVIÇO",IF(H59&lt;=0,"ZERADO",IF(H59&lt;=I59,"ESTOQUE BAIXO","NORMAL")))</f>
        <v/>
      </c>
      <c r="K59" s="107">
        <f>IF(OR(UPPER(C59)="SERVIÇO",UPPER(C59)="SERVICO"),0,N(H59)*N(E59))</f>
        <v/>
      </c>
      <c r="L59" s="107">
        <f>IF(OR(UPPER(C59)="SERVIÇO",UPPER(C59)="SERVICO"),0,N(H59)*N(G59))</f>
        <v/>
      </c>
      <c r="M59" s="107">
        <f>IF(OR(UPPER(C59)="SERVIÇO",UPPER(C59)="SERVICO"),0,L59-K59)</f>
        <v/>
      </c>
    </row>
    <row r="60" ht="15" customHeight="1">
      <c r="B60" s="105" t="n">
        <v>49</v>
      </c>
      <c r="C60" s="105" t="inlineStr">
        <is>
          <t>Produto</t>
        </is>
      </c>
      <c r="D60" s="106" t="inlineStr">
        <is>
          <t>Camiseta esportiva adulto laranja tam. 34</t>
        </is>
      </c>
      <c r="E60" s="107" t="n">
        <v>112.45</v>
      </c>
      <c r="F60" s="108" t="n">
        <v>50</v>
      </c>
      <c r="G60" s="107">
        <f>ROUND(E60*(1+IF(ABS(F60)&lt;=1,F60,F60/100)),2)</f>
        <v/>
      </c>
      <c r="H60" s="105" t="n">
        <v>15</v>
      </c>
      <c r="I60" s="105" t="n">
        <v>5</v>
      </c>
      <c r="J60" s="105">
        <f>IF(OR(UPPER(C60)="SERVIÇO",UPPER(C60)="SERVICO"),"SERVIÇO",IF(H60&lt;=0,"ZERADO",IF(H60&lt;=I60,"ESTOQUE BAIXO","NORMAL")))</f>
        <v/>
      </c>
      <c r="K60" s="107">
        <f>IF(OR(UPPER(C60)="SERVIÇO",UPPER(C60)="SERVICO"),0,N(H60)*N(E60))</f>
        <v/>
      </c>
      <c r="L60" s="107">
        <f>IF(OR(UPPER(C60)="SERVIÇO",UPPER(C60)="SERVICO"),0,N(H60)*N(G60))</f>
        <v/>
      </c>
      <c r="M60" s="107">
        <f>IF(OR(UPPER(C60)="SERVIÇO",UPPER(C60)="SERVICO"),0,L60-K60)</f>
        <v/>
      </c>
    </row>
    <row r="61" ht="15" customHeight="1">
      <c r="B61" s="105" t="n">
        <v>50</v>
      </c>
      <c r="C61" s="105" t="inlineStr">
        <is>
          <t>Produto</t>
        </is>
      </c>
      <c r="D61" s="106" t="inlineStr">
        <is>
          <t>Capacete de ciclismo alta performance rosa</t>
        </is>
      </c>
      <c r="E61" s="107" t="n">
        <v>96.23</v>
      </c>
      <c r="F61" s="108" t="n">
        <v>50</v>
      </c>
      <c r="G61" s="107">
        <f>ROUND(E61*(1+IF(ABS(F61)&lt;=1,F61,F61/100)),2)</f>
        <v/>
      </c>
      <c r="H61" s="105" t="n">
        <v>15</v>
      </c>
      <c r="I61" s="105" t="n">
        <v>5</v>
      </c>
      <c r="J61" s="105">
        <f>IF(OR(UPPER(C61)="SERVIÇO",UPPER(C61)="SERVICO"),"SERVIÇO",IF(H61&lt;=0,"ZERADO",IF(H61&lt;=I61,"ESTOQUE BAIXO","NORMAL")))</f>
        <v/>
      </c>
      <c r="K61" s="107">
        <f>IF(OR(UPPER(C61)="SERVIÇO",UPPER(C61)="SERVICO"),0,N(H61)*N(E61))</f>
        <v/>
      </c>
      <c r="L61" s="107">
        <f>IF(OR(UPPER(C61)="SERVIÇO",UPPER(C61)="SERVICO"),0,N(H61)*N(G61))</f>
        <v/>
      </c>
      <c r="M61" s="107">
        <f>IF(OR(UPPER(C61)="SERVIÇO",UPPER(C61)="SERVICO"),0,L61-K61)</f>
        <v/>
      </c>
    </row>
    <row r="62" ht="15" customHeight="1">
      <c r="B62" s="105" t="n">
        <v>51</v>
      </c>
      <c r="C62" s="105" t="inlineStr">
        <is>
          <t>Produto</t>
        </is>
      </c>
      <c r="D62" s="106" t="inlineStr">
        <is>
          <t>Garrafa squeeze juvenil preto</t>
        </is>
      </c>
      <c r="E62" s="107" t="n">
        <v>47.09</v>
      </c>
      <c r="F62" s="108" t="n">
        <v>50</v>
      </c>
      <c r="G62" s="107">
        <f>ROUND(E62*(1+IF(ABS(F62)&lt;=1,F62,F62/100)),2)</f>
        <v/>
      </c>
      <c r="H62" s="105" t="n">
        <v>15</v>
      </c>
      <c r="I62" s="105" t="n">
        <v>5</v>
      </c>
      <c r="J62" s="105">
        <f>IF(OR(UPPER(C62)="SERVIÇO",UPPER(C62)="SERVICO"),"SERVIÇO",IF(H62&lt;=0,"ZERADO",IF(H62&lt;=I62,"ESTOQUE BAIXO","NORMAL")))</f>
        <v/>
      </c>
      <c r="K62" s="107">
        <f>IF(OR(UPPER(C62)="SERVIÇO",UPPER(C62)="SERVICO"),0,N(H62)*N(E62))</f>
        <v/>
      </c>
      <c r="L62" s="107">
        <f>IF(OR(UPPER(C62)="SERVIÇO",UPPER(C62)="SERVICO"),0,N(H62)*N(G62))</f>
        <v/>
      </c>
      <c r="M62" s="107">
        <f>IF(OR(UPPER(C62)="SERVIÇO",UPPER(C62)="SERVICO"),0,L62-K62)</f>
        <v/>
      </c>
    </row>
    <row r="63" ht="15" customHeight="1">
      <c r="B63" s="105" t="n">
        <v>52</v>
      </c>
      <c r="C63" s="105" t="inlineStr">
        <is>
          <t>Produto</t>
        </is>
      </c>
      <c r="D63" s="106" t="inlineStr">
        <is>
          <t>Raquete de tênis unissex rosa tam. 42</t>
        </is>
      </c>
      <c r="E63" s="107" t="n">
        <v>500.76</v>
      </c>
      <c r="F63" s="108" t="n">
        <v>50</v>
      </c>
      <c r="G63" s="107">
        <f>ROUND(E63*(1+IF(ABS(F63)&lt;=1,F63,F63/100)),2)</f>
        <v/>
      </c>
      <c r="H63" s="105" t="n">
        <v>15</v>
      </c>
      <c r="I63" s="105" t="n">
        <v>5</v>
      </c>
      <c r="J63" s="105">
        <f>IF(OR(UPPER(C63)="SERVIÇO",UPPER(C63)="SERVICO"),"SERVIÇO",IF(H63&lt;=0,"ZERADO",IF(H63&lt;=I63,"ESTOQUE BAIXO","NORMAL")))</f>
        <v/>
      </c>
      <c r="K63" s="107">
        <f>IF(OR(UPPER(C63)="SERVIÇO",UPPER(C63)="SERVICO"),0,N(H63)*N(E63))</f>
        <v/>
      </c>
      <c r="L63" s="107">
        <f>IF(OR(UPPER(C63)="SERVIÇO",UPPER(C63)="SERVICO"),0,N(H63)*N(G63))</f>
        <v/>
      </c>
      <c r="M63" s="107">
        <f>IF(OR(UPPER(C63)="SERVIÇO",UPPER(C63)="SERVICO"),0,L63-K63)</f>
        <v/>
      </c>
    </row>
    <row r="64" ht="15" customHeight="1">
      <c r="B64" s="105" t="n">
        <v>53</v>
      </c>
      <c r="C64" s="105" t="inlineStr">
        <is>
          <t>Produto</t>
        </is>
      </c>
      <c r="D64" s="106" t="inlineStr">
        <is>
          <t>Monitor cardíaco juvenil azul</t>
        </is>
      </c>
      <c r="E64" s="107" t="n">
        <v>518.77</v>
      </c>
      <c r="F64" s="108" t="n">
        <v>50</v>
      </c>
      <c r="G64" s="107">
        <f>ROUND(E64*(1+IF(ABS(F64)&lt;=1,F64,F64/100)),2)</f>
        <v/>
      </c>
      <c r="H64" s="105" t="n">
        <v>15</v>
      </c>
      <c r="I64" s="105" t="n">
        <v>5</v>
      </c>
      <c r="J64" s="105">
        <f>IF(OR(UPPER(C64)="SERVIÇO",UPPER(C64)="SERVICO"),"SERVIÇO",IF(H64&lt;=0,"ZERADO",IF(H64&lt;=I64,"ESTOQUE BAIXO","NORMAL")))</f>
        <v/>
      </c>
      <c r="K64" s="107">
        <f>IF(OR(UPPER(C64)="SERVIÇO",UPPER(C64)="SERVICO"),0,N(H64)*N(E64))</f>
        <v/>
      </c>
      <c r="L64" s="107">
        <f>IF(OR(UPPER(C64)="SERVIÇO",UPPER(C64)="SERVICO"),0,N(H64)*N(G64))</f>
        <v/>
      </c>
      <c r="M64" s="107">
        <f>IF(OR(UPPER(C64)="SERVIÇO",UPPER(C64)="SERVICO"),0,L64-K64)</f>
        <v/>
      </c>
    </row>
    <row r="65" ht="15" customHeight="1">
      <c r="B65" s="105" t="n">
        <v>54</v>
      </c>
      <c r="C65" s="105" t="inlineStr">
        <is>
          <t>Produto</t>
        </is>
      </c>
      <c r="D65" s="106" t="inlineStr">
        <is>
          <t>Raquete de beach tennis profissional verde</t>
        </is>
      </c>
      <c r="E65" s="107" t="n">
        <v>361.39</v>
      </c>
      <c r="F65" s="108" t="n">
        <v>50</v>
      </c>
      <c r="G65" s="107">
        <f>ROUND(E65*(1+IF(ABS(F65)&lt;=1,F65,F65/100)),2)</f>
        <v/>
      </c>
      <c r="H65" s="105" t="n">
        <v>15</v>
      </c>
      <c r="I65" s="105" t="n">
        <v>5</v>
      </c>
      <c r="J65" s="105">
        <f>IF(OR(UPPER(C65)="SERVIÇO",UPPER(C65)="SERVICO"),"SERVIÇO",IF(H65&lt;=0,"ZERADO",IF(H65&lt;=I65,"ESTOQUE BAIXO","NORMAL")))</f>
        <v/>
      </c>
      <c r="K65" s="107">
        <f>IF(OR(UPPER(C65)="SERVIÇO",UPPER(C65)="SERVICO"),0,N(H65)*N(E65))</f>
        <v/>
      </c>
      <c r="L65" s="107">
        <f>IF(OR(UPPER(C65)="SERVIÇO",UPPER(C65)="SERVICO"),0,N(H65)*N(G65))</f>
        <v/>
      </c>
      <c r="M65" s="107">
        <f>IF(OR(UPPER(C65)="SERVIÇO",UPPER(C65)="SERVICO"),0,L65-K65)</f>
        <v/>
      </c>
    </row>
    <row r="66" ht="15" customHeight="1">
      <c r="B66" s="105" t="n">
        <v>55</v>
      </c>
      <c r="C66" s="105" t="inlineStr">
        <is>
          <t>Produto</t>
        </is>
      </c>
      <c r="D66" s="106" t="inlineStr">
        <is>
          <t>Protetor bucal unissex preto</t>
        </is>
      </c>
      <c r="E66" s="107" t="n">
        <v>40.53</v>
      </c>
      <c r="F66" s="108" t="n">
        <v>50</v>
      </c>
      <c r="G66" s="107">
        <f>ROUND(E66*(1+IF(ABS(F66)&lt;=1,F66,F66/100)),2)</f>
        <v/>
      </c>
      <c r="H66" s="105" t="n">
        <v>15</v>
      </c>
      <c r="I66" s="105" t="n">
        <v>5</v>
      </c>
      <c r="J66" s="105">
        <f>IF(OR(UPPER(C66)="SERVIÇO",UPPER(C66)="SERVICO"),"SERVIÇO",IF(H66&lt;=0,"ZERADO",IF(H66&lt;=I66,"ESTOQUE BAIXO","NORMAL")))</f>
        <v/>
      </c>
      <c r="K66" s="107">
        <f>IF(OR(UPPER(C66)="SERVIÇO",UPPER(C66)="SERVICO"),0,N(H66)*N(E66))</f>
        <v/>
      </c>
      <c r="L66" s="107">
        <f>IF(OR(UPPER(C66)="SERVIÇO",UPPER(C66)="SERVICO"),0,N(H66)*N(G66))</f>
        <v/>
      </c>
      <c r="M66" s="107">
        <f>IF(OR(UPPER(C66)="SERVIÇO",UPPER(C66)="SERVICO"),0,L66-K66)</f>
        <v/>
      </c>
    </row>
    <row r="67" ht="15" customHeight="1">
      <c r="B67" s="105" t="n">
        <v>56</v>
      </c>
      <c r="C67" s="105" t="inlineStr">
        <is>
          <t>Produto</t>
        </is>
      </c>
      <c r="D67" s="106" t="inlineStr">
        <is>
          <t>Corda de pular unissex branco</t>
        </is>
      </c>
      <c r="E67" s="107" t="n">
        <v>84.65000000000001</v>
      </c>
      <c r="F67" s="108" t="n">
        <v>50</v>
      </c>
      <c r="G67" s="107">
        <f>ROUND(E67*(1+IF(ABS(F67)&lt;=1,F67,F67/100)),2)</f>
        <v/>
      </c>
      <c r="H67" s="105" t="n">
        <v>15</v>
      </c>
      <c r="I67" s="105" t="n">
        <v>5</v>
      </c>
      <c r="J67" s="105">
        <f>IF(OR(UPPER(C67)="SERVIÇO",UPPER(C67)="SERVICO"),"SERVIÇO",IF(H67&lt;=0,"ZERADO",IF(H67&lt;=I67,"ESTOQUE BAIXO","NORMAL")))</f>
        <v/>
      </c>
      <c r="K67" s="107">
        <f>IF(OR(UPPER(C67)="SERVIÇO",UPPER(C67)="SERVICO"),0,N(H67)*N(E67))</f>
        <v/>
      </c>
      <c r="L67" s="107">
        <f>IF(OR(UPPER(C67)="SERVIÇO",UPPER(C67)="SERVICO"),0,N(H67)*N(G67))</f>
        <v/>
      </c>
      <c r="M67" s="107">
        <f>IF(OR(UPPER(C67)="SERVIÇO",UPPER(C67)="SERVICO"),0,L67-K67)</f>
        <v/>
      </c>
    </row>
    <row r="68" ht="15" customHeight="1">
      <c r="B68" s="105" t="n">
        <v>57</v>
      </c>
      <c r="C68" s="105" t="inlineStr">
        <is>
          <t>Produto</t>
        </is>
      </c>
      <c r="D68" s="106" t="inlineStr">
        <is>
          <t>Calça legging compacto cinza tam. 38</t>
        </is>
      </c>
      <c r="E68" s="107" t="n">
        <v>49.57</v>
      </c>
      <c r="F68" s="108" t="n">
        <v>50</v>
      </c>
      <c r="G68" s="107">
        <f>ROUND(E68*(1+IF(ABS(F68)&lt;=1,F68,F68/100)),2)</f>
        <v/>
      </c>
      <c r="H68" s="105" t="n">
        <v>15</v>
      </c>
      <c r="I68" s="105" t="n">
        <v>5</v>
      </c>
      <c r="J68" s="105">
        <f>IF(OR(UPPER(C68)="SERVIÇO",UPPER(C68)="SERVICO"),"SERVIÇO",IF(H68&lt;=0,"ZERADO",IF(H68&lt;=I68,"ESTOQUE BAIXO","NORMAL")))</f>
        <v/>
      </c>
      <c r="K68" s="107">
        <f>IF(OR(UPPER(C68)="SERVIÇO",UPPER(C68)="SERVICO"),0,N(H68)*N(E68))</f>
        <v/>
      </c>
      <c r="L68" s="107">
        <f>IF(OR(UPPER(C68)="SERVIÇO",UPPER(C68)="SERVICO"),0,N(H68)*N(G68))</f>
        <v/>
      </c>
      <c r="M68" s="107">
        <f>IF(OR(UPPER(C68)="SERVIÇO",UPPER(C68)="SERVICO"),0,L68-K68)</f>
        <v/>
      </c>
    </row>
    <row r="69" ht="15" customHeight="1">
      <c r="B69" s="105" t="n">
        <v>58</v>
      </c>
      <c r="C69" s="105" t="inlineStr">
        <is>
          <t>Produto</t>
        </is>
      </c>
      <c r="D69" s="106" t="inlineStr">
        <is>
          <t>Óculos de natação com ajuste branco</t>
        </is>
      </c>
      <c r="E69" s="107" t="n">
        <v>140.14</v>
      </c>
      <c r="F69" s="108" t="n">
        <v>50</v>
      </c>
      <c r="G69" s="107">
        <f>ROUND(E69*(1+IF(ABS(F69)&lt;=1,F69,F69/100)),2)</f>
        <v/>
      </c>
      <c r="H69" s="105" t="n">
        <v>15</v>
      </c>
      <c r="I69" s="105" t="n">
        <v>5</v>
      </c>
      <c r="J69" s="105">
        <f>IF(OR(UPPER(C69)="SERVIÇO",UPPER(C69)="SERVICO"),"SERVIÇO",IF(H69&lt;=0,"ZERADO",IF(H69&lt;=I69,"ESTOQUE BAIXO","NORMAL")))</f>
        <v/>
      </c>
      <c r="K69" s="107">
        <f>IF(OR(UPPER(C69)="SERVIÇO",UPPER(C69)="SERVICO"),0,N(H69)*N(E69))</f>
        <v/>
      </c>
      <c r="L69" s="107">
        <f>IF(OR(UPPER(C69)="SERVIÇO",UPPER(C69)="SERVICO"),0,N(H69)*N(G69))</f>
        <v/>
      </c>
      <c r="M69" s="107">
        <f>IF(OR(UPPER(C69)="SERVIÇO",UPPER(C69)="SERVICO"),0,L69-K69)</f>
        <v/>
      </c>
    </row>
    <row r="70" ht="15" customHeight="1">
      <c r="B70" s="105" t="n">
        <v>59</v>
      </c>
      <c r="C70" s="105" t="inlineStr">
        <is>
          <t>Produto</t>
        </is>
      </c>
      <c r="D70" s="106" t="inlineStr">
        <is>
          <t>Raquete de beach tennis com ajuste azul</t>
        </is>
      </c>
      <c r="E70" s="107" t="n">
        <v>129.37</v>
      </c>
      <c r="F70" s="108" t="n">
        <v>50</v>
      </c>
      <c r="G70" s="107">
        <f>ROUND(E70*(1+IF(ABS(F70)&lt;=1,F70,F70/100)),2)</f>
        <v/>
      </c>
      <c r="H70" s="105" t="n">
        <v>15</v>
      </c>
      <c r="I70" s="105" t="n">
        <v>5</v>
      </c>
      <c r="J70" s="105">
        <f>IF(OR(UPPER(C70)="SERVIÇO",UPPER(C70)="SERVICO"),"SERVIÇO",IF(H70&lt;=0,"ZERADO",IF(H70&lt;=I70,"ESTOQUE BAIXO","NORMAL")))</f>
        <v/>
      </c>
      <c r="K70" s="107">
        <f>IF(OR(UPPER(C70)="SERVIÇO",UPPER(C70)="SERVICO"),0,N(H70)*N(E70))</f>
        <v/>
      </c>
      <c r="L70" s="107">
        <f>IF(OR(UPPER(C70)="SERVIÇO",UPPER(C70)="SERVICO"),0,N(H70)*N(G70))</f>
        <v/>
      </c>
      <c r="M70" s="107">
        <f>IF(OR(UPPER(C70)="SERVIÇO",UPPER(C70)="SERVICO"),0,L70-K70)</f>
        <v/>
      </c>
    </row>
    <row r="71" ht="15" customHeight="1">
      <c r="B71" s="105" t="n">
        <v>60</v>
      </c>
      <c r="C71" s="105" t="inlineStr">
        <is>
          <t>Produto</t>
        </is>
      </c>
      <c r="D71" s="106" t="inlineStr">
        <is>
          <t>Calça legging premium vermelho tam. 36</t>
        </is>
      </c>
      <c r="E71" s="107" t="n">
        <v>162.07</v>
      </c>
      <c r="F71" s="108" t="n">
        <v>50</v>
      </c>
      <c r="G71" s="107">
        <f>ROUND(E71*(1+IF(ABS(F71)&lt;=1,F71,F71/100)),2)</f>
        <v/>
      </c>
      <c r="H71" s="105" t="n">
        <v>15</v>
      </c>
      <c r="I71" s="105" t="n">
        <v>5</v>
      </c>
      <c r="J71" s="105">
        <f>IF(OR(UPPER(C71)="SERVIÇO",UPPER(C71)="SERVICO"),"SERVIÇO",IF(H71&lt;=0,"ZERADO",IF(H71&lt;=I71,"ESTOQUE BAIXO","NORMAL")))</f>
        <v/>
      </c>
      <c r="K71" s="107">
        <f>IF(OR(UPPER(C71)="SERVIÇO",UPPER(C71)="SERVICO"),0,N(H71)*N(E71))</f>
        <v/>
      </c>
      <c r="L71" s="107">
        <f>IF(OR(UPPER(C71)="SERVIÇO",UPPER(C71)="SERVICO"),0,N(H71)*N(G71))</f>
        <v/>
      </c>
      <c r="M71" s="107">
        <f>IF(OR(UPPER(C71)="SERVIÇO",UPPER(C71)="SERVICO"),0,L71-K71)</f>
        <v/>
      </c>
    </row>
    <row r="72" ht="15" customHeight="1">
      <c r="B72" s="105" t="n">
        <v>61</v>
      </c>
      <c r="C72" s="105" t="inlineStr">
        <is>
          <t>Produto</t>
        </is>
      </c>
      <c r="D72" s="106" t="inlineStr">
        <is>
          <t>Meias esportivas iniciante vermelho tam. 40</t>
        </is>
      </c>
      <c r="E72" s="107" t="n">
        <v>35.95</v>
      </c>
      <c r="F72" s="108" t="n">
        <v>50</v>
      </c>
      <c r="G72" s="107">
        <f>ROUND(E72*(1+IF(ABS(F72)&lt;=1,F72,F72/100)),2)</f>
        <v/>
      </c>
      <c r="H72" s="105" t="n">
        <v>15</v>
      </c>
      <c r="I72" s="105" t="n">
        <v>5</v>
      </c>
      <c r="J72" s="105">
        <f>IF(OR(UPPER(C72)="SERVIÇO",UPPER(C72)="SERVICO"),"SERVIÇO",IF(H72&lt;=0,"ZERADO",IF(H72&lt;=I72,"ESTOQUE BAIXO","NORMAL")))</f>
        <v/>
      </c>
      <c r="K72" s="107">
        <f>IF(OR(UPPER(C72)="SERVIÇO",UPPER(C72)="SERVICO"),0,N(H72)*N(E72))</f>
        <v/>
      </c>
      <c r="L72" s="107">
        <f>IF(OR(UPPER(C72)="SERVIÇO",UPPER(C72)="SERVICO"),0,N(H72)*N(G72))</f>
        <v/>
      </c>
      <c r="M72" s="107">
        <f>IF(OR(UPPER(C72)="SERVIÇO",UPPER(C72)="SERVICO"),0,L72-K72)</f>
        <v/>
      </c>
    </row>
    <row r="73" ht="15" customHeight="1">
      <c r="B73" s="105" t="n">
        <v>62</v>
      </c>
      <c r="C73" s="105" t="inlineStr">
        <is>
          <t>Produto</t>
        </is>
      </c>
      <c r="D73" s="106" t="inlineStr">
        <is>
          <t>Patins versão 2026 preto</t>
        </is>
      </c>
      <c r="E73" s="107" t="n">
        <v>560.73</v>
      </c>
      <c r="F73" s="108" t="n">
        <v>50</v>
      </c>
      <c r="G73" s="107">
        <f>ROUND(E73*(1+IF(ABS(F73)&lt;=1,F73,F73/100)),2)</f>
        <v/>
      </c>
      <c r="H73" s="105" t="n">
        <v>15</v>
      </c>
      <c r="I73" s="105" t="n">
        <v>5</v>
      </c>
      <c r="J73" s="105">
        <f>IF(OR(UPPER(C73)="SERVIÇO",UPPER(C73)="SERVICO"),"SERVIÇO",IF(H73&lt;=0,"ZERADO",IF(H73&lt;=I73,"ESTOQUE BAIXO","NORMAL")))</f>
        <v/>
      </c>
      <c r="K73" s="107">
        <f>IF(OR(UPPER(C73)="SERVIÇO",UPPER(C73)="SERVICO"),0,N(H73)*N(E73))</f>
        <v/>
      </c>
      <c r="L73" s="107">
        <f>IF(OR(UPPER(C73)="SERVIÇO",UPPER(C73)="SERVICO"),0,N(H73)*N(G73))</f>
        <v/>
      </c>
      <c r="M73" s="107">
        <f>IF(OR(UPPER(C73)="SERVIÇO",UPPER(C73)="SERVICO"),0,L73-K73)</f>
        <v/>
      </c>
    </row>
    <row r="74" ht="15" customHeight="1">
      <c r="B74" s="105" t="n">
        <v>63</v>
      </c>
      <c r="C74" s="105" t="inlineStr">
        <is>
          <t>Produto</t>
        </is>
      </c>
      <c r="D74" s="106" t="inlineStr">
        <is>
          <t>Luva de goleiro treino vermelho tam. 34</t>
        </is>
      </c>
      <c r="E74" s="107" t="n">
        <v>48.87</v>
      </c>
      <c r="F74" s="108" t="n">
        <v>50</v>
      </c>
      <c r="G74" s="107">
        <f>ROUND(E74*(1+IF(ABS(F74)&lt;=1,F74,F74/100)),2)</f>
        <v/>
      </c>
      <c r="H74" s="105" t="n">
        <v>15</v>
      </c>
      <c r="I74" s="105" t="n">
        <v>5</v>
      </c>
      <c r="J74" s="105">
        <f>IF(OR(UPPER(C74)="SERVIÇO",UPPER(C74)="SERVICO"),"SERVIÇO",IF(H74&lt;=0,"ZERADO",IF(H74&lt;=I74,"ESTOQUE BAIXO","NORMAL")))</f>
        <v/>
      </c>
      <c r="K74" s="107">
        <f>IF(OR(UPPER(C74)="SERVIÇO",UPPER(C74)="SERVICO"),0,N(H74)*N(E74))</f>
        <v/>
      </c>
      <c r="L74" s="107">
        <f>IF(OR(UPPER(C74)="SERVIÇO",UPPER(C74)="SERVICO"),0,N(H74)*N(G74))</f>
        <v/>
      </c>
      <c r="M74" s="107">
        <f>IF(OR(UPPER(C74)="SERVIÇO",UPPER(C74)="SERVICO"),0,L74-K74)</f>
        <v/>
      </c>
    </row>
    <row r="75" ht="15" customHeight="1">
      <c r="B75" s="105" t="n">
        <v>64</v>
      </c>
      <c r="C75" s="105" t="inlineStr">
        <is>
          <t>Produto</t>
        </is>
      </c>
      <c r="D75" s="106" t="inlineStr">
        <is>
          <t>Tênis de corrida recreativo cinza tam. 34</t>
        </is>
      </c>
      <c r="E75" s="107" t="n">
        <v>398.41</v>
      </c>
      <c r="F75" s="108" t="n">
        <v>50</v>
      </c>
      <c r="G75" s="107">
        <f>ROUND(E75*(1+IF(ABS(F75)&lt;=1,F75,F75/100)),2)</f>
        <v/>
      </c>
      <c r="H75" s="105" t="n">
        <v>15</v>
      </c>
      <c r="I75" s="105" t="n">
        <v>5</v>
      </c>
      <c r="J75" s="105">
        <f>IF(OR(UPPER(C75)="SERVIÇO",UPPER(C75)="SERVICO"),"SERVIÇO",IF(H75&lt;=0,"ZERADO",IF(H75&lt;=I75,"ESTOQUE BAIXO","NORMAL")))</f>
        <v/>
      </c>
      <c r="K75" s="107">
        <f>IF(OR(UPPER(C75)="SERVIÇO",UPPER(C75)="SERVICO"),0,N(H75)*N(E75))</f>
        <v/>
      </c>
      <c r="L75" s="107">
        <f>IF(OR(UPPER(C75)="SERVIÇO",UPPER(C75)="SERVICO"),0,N(H75)*N(G75))</f>
        <v/>
      </c>
      <c r="M75" s="107">
        <f>IF(OR(UPPER(C75)="SERVIÇO",UPPER(C75)="SERVICO"),0,L75-K75)</f>
        <v/>
      </c>
    </row>
    <row r="76" ht="15" customHeight="1">
      <c r="B76" s="105" t="n">
        <v>65</v>
      </c>
      <c r="C76" s="105" t="inlineStr">
        <is>
          <t>Produto</t>
        </is>
      </c>
      <c r="D76" s="106" t="inlineStr">
        <is>
          <t>Patins reforçado cinza</t>
        </is>
      </c>
      <c r="E76" s="107" t="n">
        <v>453.51</v>
      </c>
      <c r="F76" s="108" t="n">
        <v>50</v>
      </c>
      <c r="G76" s="107">
        <f>ROUND(E76*(1+IF(ABS(F76)&lt;=1,F76,F76/100)),2)</f>
        <v/>
      </c>
      <c r="H76" s="105" t="n">
        <v>15</v>
      </c>
      <c r="I76" s="105" t="n">
        <v>5</v>
      </c>
      <c r="J76" s="105">
        <f>IF(OR(UPPER(C76)="SERVIÇO",UPPER(C76)="SERVICO"),"SERVIÇO",IF(H76&lt;=0,"ZERADO",IF(H76&lt;=I76,"ESTOQUE BAIXO","NORMAL")))</f>
        <v/>
      </c>
      <c r="K76" s="107">
        <f>IF(OR(UPPER(C76)="SERVIÇO",UPPER(C76)="SERVICO"),0,N(H76)*N(E76))</f>
        <v/>
      </c>
      <c r="L76" s="107">
        <f>IF(OR(UPPER(C76)="SERVIÇO",UPPER(C76)="SERVICO"),0,N(H76)*N(G76))</f>
        <v/>
      </c>
      <c r="M76" s="107">
        <f>IF(OR(UPPER(C76)="SERVIÇO",UPPER(C76)="SERVICO"),0,L76-K76)</f>
        <v/>
      </c>
    </row>
    <row r="77" ht="15" customHeight="1">
      <c r="B77" s="105" t="n">
        <v>66</v>
      </c>
      <c r="C77" s="105" t="inlineStr">
        <is>
          <t>Produto</t>
        </is>
      </c>
      <c r="D77" s="106" t="inlineStr">
        <is>
          <t>Mochila esportiva profissional laranja</t>
        </is>
      </c>
      <c r="E77" s="107" t="n">
        <v>205.13</v>
      </c>
      <c r="F77" s="108" t="n">
        <v>50</v>
      </c>
      <c r="G77" s="107">
        <f>ROUND(E77*(1+IF(ABS(F77)&lt;=1,F77,F77/100)),2)</f>
        <v/>
      </c>
      <c r="H77" s="105" t="n">
        <v>15</v>
      </c>
      <c r="I77" s="105" t="n">
        <v>5</v>
      </c>
      <c r="J77" s="105">
        <f>IF(OR(UPPER(C77)="SERVIÇO",UPPER(C77)="SERVICO"),"SERVIÇO",IF(H77&lt;=0,"ZERADO",IF(H77&lt;=I77,"ESTOQUE BAIXO","NORMAL")))</f>
        <v/>
      </c>
      <c r="K77" s="107">
        <f>IF(OR(UPPER(C77)="SERVIÇO",UPPER(C77)="SERVICO"),0,N(H77)*N(E77))</f>
        <v/>
      </c>
      <c r="L77" s="107">
        <f>IF(OR(UPPER(C77)="SERVIÇO",UPPER(C77)="SERVICO"),0,N(H77)*N(G77))</f>
        <v/>
      </c>
      <c r="M77" s="107">
        <f>IF(OR(UPPER(C77)="SERVIÇO",UPPER(C77)="SERVICO"),0,L77-K77)</f>
        <v/>
      </c>
    </row>
    <row r="78" ht="15" customHeight="1">
      <c r="B78" s="105" t="n">
        <v>67</v>
      </c>
      <c r="C78" s="105" t="inlineStr">
        <is>
          <t>Produto</t>
        </is>
      </c>
      <c r="D78" s="106" t="inlineStr">
        <is>
          <t>Bola de vôlei modelo básico vermelho</t>
        </is>
      </c>
      <c r="E78" s="107" t="n">
        <v>77.45999999999999</v>
      </c>
      <c r="F78" s="108" t="n">
        <v>50</v>
      </c>
      <c r="G78" s="107">
        <f>ROUND(E78*(1+IF(ABS(F78)&lt;=1,F78,F78/100)),2)</f>
        <v/>
      </c>
      <c r="H78" s="105" t="n">
        <v>15</v>
      </c>
      <c r="I78" s="105" t="n">
        <v>5</v>
      </c>
      <c r="J78" s="105">
        <f>IF(OR(UPPER(C78)="SERVIÇO",UPPER(C78)="SERVICO"),"SERVIÇO",IF(H78&lt;=0,"ZERADO",IF(H78&lt;=I78,"ESTOQUE BAIXO","NORMAL")))</f>
        <v/>
      </c>
      <c r="K78" s="107">
        <f>IF(OR(UPPER(C78)="SERVIÇO",UPPER(C78)="SERVICO"),0,N(H78)*N(E78))</f>
        <v/>
      </c>
      <c r="L78" s="107">
        <f>IF(OR(UPPER(C78)="SERVIÇO",UPPER(C78)="SERVICO"),0,N(H78)*N(G78))</f>
        <v/>
      </c>
      <c r="M78" s="107">
        <f>IF(OR(UPPER(C78)="SERVIÇO",UPPER(C78)="SERVICO"),0,L78-K78)</f>
        <v/>
      </c>
    </row>
    <row r="79" ht="15" customHeight="1">
      <c r="B79" s="105" t="n">
        <v>68</v>
      </c>
      <c r="C79" s="105" t="inlineStr">
        <is>
          <t>Produto</t>
        </is>
      </c>
      <c r="D79" s="106" t="inlineStr">
        <is>
          <t>Mochila esportiva com ajuste laranja</t>
        </is>
      </c>
      <c r="E79" s="107" t="n">
        <v>150.37</v>
      </c>
      <c r="F79" s="108" t="n">
        <v>50</v>
      </c>
      <c r="G79" s="107">
        <f>ROUND(E79*(1+IF(ABS(F79)&lt;=1,F79,F79/100)),2)</f>
        <v/>
      </c>
      <c r="H79" s="105" t="n">
        <v>15</v>
      </c>
      <c r="I79" s="105" t="n">
        <v>5</v>
      </c>
      <c r="J79" s="105">
        <f>IF(OR(UPPER(C79)="SERVIÇO",UPPER(C79)="SERVICO"),"SERVIÇO",IF(H79&lt;=0,"ZERADO",IF(H79&lt;=I79,"ESTOQUE BAIXO","NORMAL")))</f>
        <v/>
      </c>
      <c r="K79" s="107">
        <f>IF(OR(UPPER(C79)="SERVIÇO",UPPER(C79)="SERVICO"),0,N(H79)*N(E79))</f>
        <v/>
      </c>
      <c r="L79" s="107">
        <f>IF(OR(UPPER(C79)="SERVIÇO",UPPER(C79)="SERVICO"),0,N(H79)*N(G79))</f>
        <v/>
      </c>
      <c r="M79" s="107">
        <f>IF(OR(UPPER(C79)="SERVIÇO",UPPER(C79)="SERVICO"),0,L79-K79)</f>
        <v/>
      </c>
    </row>
    <row r="80" ht="15" customHeight="1">
      <c r="B80" s="105" t="n">
        <v>69</v>
      </c>
      <c r="C80" s="105" t="inlineStr">
        <is>
          <t>Produto</t>
        </is>
      </c>
      <c r="D80" s="106" t="inlineStr">
        <is>
          <t>Tênis para quadra recreativo preto tam. 36</t>
        </is>
      </c>
      <c r="E80" s="107" t="n">
        <v>312.11</v>
      </c>
      <c r="F80" s="108" t="n">
        <v>50</v>
      </c>
      <c r="G80" s="107">
        <f>ROUND(E80*(1+IF(ABS(F80)&lt;=1,F80,F80/100)),2)</f>
        <v/>
      </c>
      <c r="H80" s="105" t="n">
        <v>15</v>
      </c>
      <c r="I80" s="105" t="n">
        <v>5</v>
      </c>
      <c r="J80" s="105">
        <f>IF(OR(UPPER(C80)="SERVIÇO",UPPER(C80)="SERVICO"),"SERVIÇO",IF(H80&lt;=0,"ZERADO",IF(H80&lt;=I80,"ESTOQUE BAIXO","NORMAL")))</f>
        <v/>
      </c>
      <c r="K80" s="107">
        <f>IF(OR(UPPER(C80)="SERVIÇO",UPPER(C80)="SERVICO"),0,N(H80)*N(E80))</f>
        <v/>
      </c>
      <c r="L80" s="107">
        <f>IF(OR(UPPER(C80)="SERVIÇO",UPPER(C80)="SERVICO"),0,N(H80)*N(G80))</f>
        <v/>
      </c>
      <c r="M80" s="107">
        <f>IF(OR(UPPER(C80)="SERVIÇO",UPPER(C80)="SERVICO"),0,L80-K80)</f>
        <v/>
      </c>
    </row>
    <row r="81" ht="15" customHeight="1">
      <c r="B81" s="105" t="n">
        <v>70</v>
      </c>
      <c r="C81" s="105" t="inlineStr">
        <is>
          <t>Produto</t>
        </is>
      </c>
      <c r="D81" s="106" t="inlineStr">
        <is>
          <t>Chuteira society recreativo preto tam. 34</t>
        </is>
      </c>
      <c r="E81" s="107" t="n">
        <v>191.21</v>
      </c>
      <c r="F81" s="108" t="n">
        <v>50</v>
      </c>
      <c r="G81" s="107">
        <f>ROUND(E81*(1+IF(ABS(F81)&lt;=1,F81,F81/100)),2)</f>
        <v/>
      </c>
      <c r="H81" s="105" t="n">
        <v>15</v>
      </c>
      <c r="I81" s="105" t="n">
        <v>5</v>
      </c>
      <c r="J81" s="105">
        <f>IF(OR(UPPER(C81)="SERVIÇO",UPPER(C81)="SERVICO"),"SERVIÇO",IF(H81&lt;=0,"ZERADO",IF(H81&lt;=I81,"ESTOQUE BAIXO","NORMAL")))</f>
        <v/>
      </c>
      <c r="K81" s="107">
        <f>IF(OR(UPPER(C81)="SERVIÇO",UPPER(C81)="SERVICO"),0,N(H81)*N(E81))</f>
        <v/>
      </c>
      <c r="L81" s="107">
        <f>IF(OR(UPPER(C81)="SERVIÇO",UPPER(C81)="SERVICO"),0,N(H81)*N(G81))</f>
        <v/>
      </c>
      <c r="M81" s="107">
        <f>IF(OR(UPPER(C81)="SERVIÇO",UPPER(C81)="SERVICO"),0,L81-K81)</f>
        <v/>
      </c>
    </row>
    <row r="82" ht="15" customHeight="1">
      <c r="B82" s="105" t="n">
        <v>71</v>
      </c>
      <c r="C82" s="105" t="inlineStr">
        <is>
          <t>Produto</t>
        </is>
      </c>
      <c r="D82" s="106" t="inlineStr">
        <is>
          <t>Bola de vôlei reforçado verde</t>
        </is>
      </c>
      <c r="E82" s="107" t="n">
        <v>79.95999999999999</v>
      </c>
      <c r="F82" s="108" t="n">
        <v>50</v>
      </c>
      <c r="G82" s="107">
        <f>ROUND(E82*(1+IF(ABS(F82)&lt;=1,F82,F82/100)),2)</f>
        <v/>
      </c>
      <c r="H82" s="105" t="n">
        <v>15</v>
      </c>
      <c r="I82" s="105" t="n">
        <v>5</v>
      </c>
      <c r="J82" s="105">
        <f>IF(OR(UPPER(C82)="SERVIÇO",UPPER(C82)="SERVICO"),"SERVIÇO",IF(H82&lt;=0,"ZERADO",IF(H82&lt;=I82,"ESTOQUE BAIXO","NORMAL")))</f>
        <v/>
      </c>
      <c r="K82" s="107">
        <f>IF(OR(UPPER(C82)="SERVIÇO",UPPER(C82)="SERVICO"),0,N(H82)*N(E82))</f>
        <v/>
      </c>
      <c r="L82" s="107">
        <f>IF(OR(UPPER(C82)="SERVIÇO",UPPER(C82)="SERVICO"),0,N(H82)*N(G82))</f>
        <v/>
      </c>
      <c r="M82" s="107">
        <f>IF(OR(UPPER(C82)="SERVIÇO",UPPER(C82)="SERVICO"),0,L82-K82)</f>
        <v/>
      </c>
    </row>
    <row r="83" ht="15" customHeight="1">
      <c r="B83" s="105" t="n">
        <v>72</v>
      </c>
      <c r="C83" s="105" t="inlineStr">
        <is>
          <t>Produto</t>
        </is>
      </c>
      <c r="D83" s="106" t="inlineStr">
        <is>
          <t>Colchonete de exercício alta performance vermelho</t>
        </is>
      </c>
      <c r="E83" s="107" t="n">
        <v>112.81</v>
      </c>
      <c r="F83" s="108" t="n">
        <v>50</v>
      </c>
      <c r="G83" s="107">
        <f>ROUND(E83*(1+IF(ABS(F83)&lt;=1,F83,F83/100)),2)</f>
        <v/>
      </c>
      <c r="H83" s="105" t="n">
        <v>15</v>
      </c>
      <c r="I83" s="105" t="n">
        <v>5</v>
      </c>
      <c r="J83" s="105">
        <f>IF(OR(UPPER(C83)="SERVIÇO",UPPER(C83)="SERVICO"),"SERVIÇO",IF(H83&lt;=0,"ZERADO",IF(H83&lt;=I83,"ESTOQUE BAIXO","NORMAL")))</f>
        <v/>
      </c>
      <c r="K83" s="107">
        <f>IF(OR(UPPER(C83)="SERVIÇO",UPPER(C83)="SERVICO"),0,N(H83)*N(E83))</f>
        <v/>
      </c>
      <c r="L83" s="107">
        <f>IF(OR(UPPER(C83)="SERVIÇO",UPPER(C83)="SERVICO"),0,N(H83)*N(G83))</f>
        <v/>
      </c>
      <c r="M83" s="107">
        <f>IF(OR(UPPER(C83)="SERVIÇO",UPPER(C83)="SERVICO"),0,L83-K83)</f>
        <v/>
      </c>
    </row>
    <row r="84" ht="15" customHeight="1">
      <c r="B84" s="105" t="n">
        <v>73</v>
      </c>
      <c r="C84" s="105" t="inlineStr">
        <is>
          <t>Produto</t>
        </is>
      </c>
      <c r="D84" s="106" t="inlineStr">
        <is>
          <t>Meias esportivas leve laranja tam. P</t>
        </is>
      </c>
      <c r="E84" s="107" t="n">
        <v>12.4</v>
      </c>
      <c r="F84" s="108" t="n">
        <v>50</v>
      </c>
      <c r="G84" s="107">
        <f>ROUND(E84*(1+IF(ABS(F84)&lt;=1,F84,F84/100)),2)</f>
        <v/>
      </c>
      <c r="H84" s="105" t="n">
        <v>15</v>
      </c>
      <c r="I84" s="105" t="n">
        <v>5</v>
      </c>
      <c r="J84" s="105">
        <f>IF(OR(UPPER(C84)="SERVIÇO",UPPER(C84)="SERVICO"),"SERVIÇO",IF(H84&lt;=0,"ZERADO",IF(H84&lt;=I84,"ESTOQUE BAIXO","NORMAL")))</f>
        <v/>
      </c>
      <c r="K84" s="107">
        <f>IF(OR(UPPER(C84)="SERVIÇO",UPPER(C84)="SERVICO"),0,N(H84)*N(E84))</f>
        <v/>
      </c>
      <c r="L84" s="107">
        <f>IF(OR(UPPER(C84)="SERVIÇO",UPPER(C84)="SERVICO"),0,N(H84)*N(G84))</f>
        <v/>
      </c>
      <c r="M84" s="107">
        <f>IF(OR(UPPER(C84)="SERVIÇO",UPPER(C84)="SERVICO"),0,L84-K84)</f>
        <v/>
      </c>
    </row>
    <row r="85" ht="15" customHeight="1">
      <c r="B85" s="105" t="n">
        <v>74</v>
      </c>
      <c r="C85" s="105" t="inlineStr">
        <is>
          <t>Produto</t>
        </is>
      </c>
      <c r="D85" s="106" t="inlineStr">
        <is>
          <t>Kettlebell compacto cinza</t>
        </is>
      </c>
      <c r="E85" s="107" t="n">
        <v>63.37</v>
      </c>
      <c r="F85" s="108" t="n">
        <v>50</v>
      </c>
      <c r="G85" s="107">
        <f>ROUND(E85*(1+IF(ABS(F85)&lt;=1,F85,F85/100)),2)</f>
        <v/>
      </c>
      <c r="H85" s="105" t="n">
        <v>15</v>
      </c>
      <c r="I85" s="105" t="n">
        <v>5</v>
      </c>
      <c r="J85" s="105">
        <f>IF(OR(UPPER(C85)="SERVIÇO",UPPER(C85)="SERVICO"),"SERVIÇO",IF(H85&lt;=0,"ZERADO",IF(H85&lt;=I85,"ESTOQUE BAIXO","NORMAL")))</f>
        <v/>
      </c>
      <c r="K85" s="107">
        <f>IF(OR(UPPER(C85)="SERVIÇO",UPPER(C85)="SERVICO"),0,N(H85)*N(E85))</f>
        <v/>
      </c>
      <c r="L85" s="107">
        <f>IF(OR(UPPER(C85)="SERVIÇO",UPPER(C85)="SERVICO"),0,N(H85)*N(G85))</f>
        <v/>
      </c>
      <c r="M85" s="107">
        <f>IF(OR(UPPER(C85)="SERVIÇO",UPPER(C85)="SERVICO"),0,L85-K85)</f>
        <v/>
      </c>
    </row>
    <row r="86" ht="15" customHeight="1">
      <c r="B86" s="105" t="n">
        <v>75</v>
      </c>
      <c r="C86" s="105" t="inlineStr">
        <is>
          <t>Produto</t>
        </is>
      </c>
      <c r="D86" s="106" t="inlineStr">
        <is>
          <t>Skate para uso diário preto</t>
        </is>
      </c>
      <c r="E86" s="107" t="n">
        <v>527.8200000000001</v>
      </c>
      <c r="F86" s="108" t="n">
        <v>50</v>
      </c>
      <c r="G86" s="107">
        <f>ROUND(E86*(1+IF(ABS(F86)&lt;=1,F86,F86/100)),2)</f>
        <v/>
      </c>
      <c r="H86" s="105" t="n">
        <v>15</v>
      </c>
      <c r="I86" s="105" t="n">
        <v>5</v>
      </c>
      <c r="J86" s="105">
        <f>IF(OR(UPPER(C86)="SERVIÇO",UPPER(C86)="SERVICO"),"SERVIÇO",IF(H86&lt;=0,"ZERADO",IF(H86&lt;=I86,"ESTOQUE BAIXO","NORMAL")))</f>
        <v/>
      </c>
      <c r="K86" s="107">
        <f>IF(OR(UPPER(C86)="SERVIÇO",UPPER(C86)="SERVICO"),0,N(H86)*N(E86))</f>
        <v/>
      </c>
      <c r="L86" s="107">
        <f>IF(OR(UPPER(C86)="SERVIÇO",UPPER(C86)="SERVICO"),0,N(H86)*N(G86))</f>
        <v/>
      </c>
      <c r="M86" s="107">
        <f>IF(OR(UPPER(C86)="SERVIÇO",UPPER(C86)="SERVICO"),0,L86-K86)</f>
        <v/>
      </c>
    </row>
    <row r="87" ht="15" customHeight="1">
      <c r="B87" s="105" t="n">
        <v>76</v>
      </c>
      <c r="C87" s="105" t="inlineStr">
        <is>
          <t>Produto</t>
        </is>
      </c>
      <c r="D87" s="106" t="inlineStr">
        <is>
          <t>Jaqueta esportiva com ajuste branco tam. 34</t>
        </is>
      </c>
      <c r="E87" s="107" t="n">
        <v>255.79</v>
      </c>
      <c r="F87" s="108" t="n">
        <v>50</v>
      </c>
      <c r="G87" s="107">
        <f>ROUND(E87*(1+IF(ABS(F87)&lt;=1,F87,F87/100)),2)</f>
        <v/>
      </c>
      <c r="H87" s="105" t="n">
        <v>15</v>
      </c>
      <c r="I87" s="105" t="n">
        <v>5</v>
      </c>
      <c r="J87" s="105">
        <f>IF(OR(UPPER(C87)="SERVIÇO",UPPER(C87)="SERVICO"),"SERVIÇO",IF(H87&lt;=0,"ZERADO",IF(H87&lt;=I87,"ESTOQUE BAIXO","NORMAL")))</f>
        <v/>
      </c>
      <c r="K87" s="107">
        <f>IF(OR(UPPER(C87)="SERVIÇO",UPPER(C87)="SERVICO"),0,N(H87)*N(E87))</f>
        <v/>
      </c>
      <c r="L87" s="107">
        <f>IF(OR(UPPER(C87)="SERVIÇO",UPPER(C87)="SERVICO"),0,N(H87)*N(G87))</f>
        <v/>
      </c>
      <c r="M87" s="107">
        <f>IF(OR(UPPER(C87)="SERVIÇO",UPPER(C87)="SERVICO"),0,L87-K87)</f>
        <v/>
      </c>
    </row>
    <row r="88" ht="15" customHeight="1">
      <c r="B88" s="105" t="n">
        <v>77</v>
      </c>
      <c r="C88" s="105" t="inlineStr">
        <is>
          <t>Produto</t>
        </is>
      </c>
      <c r="D88" s="106" t="inlineStr">
        <is>
          <t>Jaqueta esportiva adulto verde tam. 38</t>
        </is>
      </c>
      <c r="E88" s="107" t="n">
        <v>134.69</v>
      </c>
      <c r="F88" s="108" t="n">
        <v>50</v>
      </c>
      <c r="G88" s="107">
        <f>ROUND(E88*(1+IF(ABS(F88)&lt;=1,F88,F88/100)),2)</f>
        <v/>
      </c>
      <c r="H88" s="105" t="n">
        <v>15</v>
      </c>
      <c r="I88" s="105" t="n">
        <v>5</v>
      </c>
      <c r="J88" s="105">
        <f>IF(OR(UPPER(C88)="SERVIÇO",UPPER(C88)="SERVICO"),"SERVIÇO",IF(H88&lt;=0,"ZERADO",IF(H88&lt;=I88,"ESTOQUE BAIXO","NORMAL")))</f>
        <v/>
      </c>
      <c r="K88" s="107">
        <f>IF(OR(UPPER(C88)="SERVIÇO",UPPER(C88)="SERVICO"),0,N(H88)*N(E88))</f>
        <v/>
      </c>
      <c r="L88" s="107">
        <f>IF(OR(UPPER(C88)="SERVIÇO",UPPER(C88)="SERVICO"),0,N(H88)*N(G88))</f>
        <v/>
      </c>
      <c r="M88" s="107">
        <f>IF(OR(UPPER(C88)="SERVIÇO",UPPER(C88)="SERVICO"),0,L88-K88)</f>
        <v/>
      </c>
    </row>
    <row r="89" ht="15" customHeight="1">
      <c r="B89" s="105" t="n">
        <v>78</v>
      </c>
      <c r="C89" s="105" t="inlineStr">
        <is>
          <t>Produto</t>
        </is>
      </c>
      <c r="D89" s="106" t="inlineStr">
        <is>
          <t>Raquete de beach tennis modelo avançado laranja</t>
        </is>
      </c>
      <c r="E89" s="107" t="n">
        <v>554.96</v>
      </c>
      <c r="F89" s="108" t="n">
        <v>50</v>
      </c>
      <c r="G89" s="107">
        <f>ROUND(E89*(1+IF(ABS(F89)&lt;=1,F89,F89/100)),2)</f>
        <v/>
      </c>
      <c r="H89" s="105" t="n">
        <v>15</v>
      </c>
      <c r="I89" s="105" t="n">
        <v>5</v>
      </c>
      <c r="J89" s="105">
        <f>IF(OR(UPPER(C89)="SERVIÇO",UPPER(C89)="SERVICO"),"SERVIÇO",IF(H89&lt;=0,"ZERADO",IF(H89&lt;=I89,"ESTOQUE BAIXO","NORMAL")))</f>
        <v/>
      </c>
      <c r="K89" s="107">
        <f>IF(OR(UPPER(C89)="SERVIÇO",UPPER(C89)="SERVICO"),0,N(H89)*N(E89))</f>
        <v/>
      </c>
      <c r="L89" s="107">
        <f>IF(OR(UPPER(C89)="SERVIÇO",UPPER(C89)="SERVICO"),0,N(H89)*N(G89))</f>
        <v/>
      </c>
      <c r="M89" s="107">
        <f>IF(OR(UPPER(C89)="SERVIÇO",UPPER(C89)="SERVICO"),0,L89-K89)</f>
        <v/>
      </c>
    </row>
    <row r="90" ht="15" customHeight="1">
      <c r="B90" s="105" t="n">
        <v>79</v>
      </c>
      <c r="C90" s="105" t="inlineStr">
        <is>
          <t>Produto</t>
        </is>
      </c>
      <c r="D90" s="106" t="inlineStr">
        <is>
          <t>Caneleira de futebol adulto azul</t>
        </is>
      </c>
      <c r="E90" s="107" t="n">
        <v>80.34999999999999</v>
      </c>
      <c r="F90" s="108" t="n">
        <v>50</v>
      </c>
      <c r="G90" s="107">
        <f>ROUND(E90*(1+IF(ABS(F90)&lt;=1,F90,F90/100)),2)</f>
        <v/>
      </c>
      <c r="H90" s="105" t="n">
        <v>15</v>
      </c>
      <c r="I90" s="105" t="n">
        <v>5</v>
      </c>
      <c r="J90" s="105">
        <f>IF(OR(UPPER(C90)="SERVIÇO",UPPER(C90)="SERVICO"),"SERVIÇO",IF(H90&lt;=0,"ZERADO",IF(H90&lt;=I90,"ESTOQUE BAIXO","NORMAL")))</f>
        <v/>
      </c>
      <c r="K90" s="107">
        <f>IF(OR(UPPER(C90)="SERVIÇO",UPPER(C90)="SERVICO"),0,N(H90)*N(E90))</f>
        <v/>
      </c>
      <c r="L90" s="107">
        <f>IF(OR(UPPER(C90)="SERVIÇO",UPPER(C90)="SERVICO"),0,N(H90)*N(G90))</f>
        <v/>
      </c>
      <c r="M90" s="107">
        <f>IF(OR(UPPER(C90)="SERVIÇO",UPPER(C90)="SERVICO"),0,L90-K90)</f>
        <v/>
      </c>
    </row>
    <row r="91" ht="15" customHeight="1">
      <c r="B91" s="105" t="n">
        <v>80</v>
      </c>
      <c r="C91" s="105" t="inlineStr">
        <is>
          <t>Produto</t>
        </is>
      </c>
      <c r="D91" s="106" t="inlineStr">
        <is>
          <t>Mochila esportiva unissex cinza</t>
        </is>
      </c>
      <c r="E91" s="107" t="n">
        <v>43.75</v>
      </c>
      <c r="F91" s="108" t="n">
        <v>50</v>
      </c>
      <c r="G91" s="107">
        <f>ROUND(E91*(1+IF(ABS(F91)&lt;=1,F91,F91/100)),2)</f>
        <v/>
      </c>
      <c r="H91" s="105" t="n">
        <v>15</v>
      </c>
      <c r="I91" s="105" t="n">
        <v>5</v>
      </c>
      <c r="J91" s="105">
        <f>IF(OR(UPPER(C91)="SERVIÇO",UPPER(C91)="SERVICO"),"SERVIÇO",IF(H91&lt;=0,"ZERADO",IF(H91&lt;=I91,"ESTOQUE BAIXO","NORMAL")))</f>
        <v/>
      </c>
      <c r="K91" s="107">
        <f>IF(OR(UPPER(C91)="SERVIÇO",UPPER(C91)="SERVICO"),0,N(H91)*N(E91))</f>
        <v/>
      </c>
      <c r="L91" s="107">
        <f>IF(OR(UPPER(C91)="SERVIÇO",UPPER(C91)="SERVICO"),0,N(H91)*N(G91))</f>
        <v/>
      </c>
      <c r="M91" s="107">
        <f>IF(OR(UPPER(C91)="SERVIÇO",UPPER(C91)="SERVICO"),0,L91-K91)</f>
        <v/>
      </c>
    </row>
    <row r="92" ht="15" customHeight="1">
      <c r="B92" s="105" t="n">
        <v>81</v>
      </c>
      <c r="C92" s="105" t="inlineStr">
        <is>
          <t>Produto</t>
        </is>
      </c>
      <c r="D92" s="106" t="inlineStr">
        <is>
          <t>Saco de pancadas modelo avançado branco</t>
        </is>
      </c>
      <c r="E92" s="107" t="n">
        <v>407.96</v>
      </c>
      <c r="F92" s="108" t="n">
        <v>50</v>
      </c>
      <c r="G92" s="107">
        <f>ROUND(E92*(1+IF(ABS(F92)&lt;=1,F92,F92/100)),2)</f>
        <v/>
      </c>
      <c r="H92" s="105" t="n">
        <v>15</v>
      </c>
      <c r="I92" s="105" t="n">
        <v>5</v>
      </c>
      <c r="J92" s="105">
        <f>IF(OR(UPPER(C92)="SERVIÇO",UPPER(C92)="SERVICO"),"SERVIÇO",IF(H92&lt;=0,"ZERADO",IF(H92&lt;=I92,"ESTOQUE BAIXO","NORMAL")))</f>
        <v/>
      </c>
      <c r="K92" s="107">
        <f>IF(OR(UPPER(C92)="SERVIÇO",UPPER(C92)="SERVICO"),0,N(H92)*N(E92))</f>
        <v/>
      </c>
      <c r="L92" s="107">
        <f>IF(OR(UPPER(C92)="SERVIÇO",UPPER(C92)="SERVICO"),0,N(H92)*N(G92))</f>
        <v/>
      </c>
      <c r="M92" s="107">
        <f>IF(OR(UPPER(C92)="SERVIÇO",UPPER(C92)="SERVICO"),0,L92-K92)</f>
        <v/>
      </c>
    </row>
    <row r="93" ht="15" customHeight="1">
      <c r="B93" s="105" t="n">
        <v>82</v>
      </c>
      <c r="C93" s="105" t="inlineStr">
        <is>
          <t>Produto</t>
        </is>
      </c>
      <c r="D93" s="106" t="inlineStr">
        <is>
          <t>Relógio esportivo para uso diário verde</t>
        </is>
      </c>
      <c r="E93" s="107" t="n">
        <v>426.74</v>
      </c>
      <c r="F93" s="108" t="n">
        <v>50</v>
      </c>
      <c r="G93" s="107">
        <f>ROUND(E93*(1+IF(ABS(F93)&lt;=1,F93,F93/100)),2)</f>
        <v/>
      </c>
      <c r="H93" s="105" t="n">
        <v>15</v>
      </c>
      <c r="I93" s="105" t="n">
        <v>5</v>
      </c>
      <c r="J93" s="105">
        <f>IF(OR(UPPER(C93)="SERVIÇO",UPPER(C93)="SERVICO"),"SERVIÇO",IF(H93&lt;=0,"ZERADO",IF(H93&lt;=I93,"ESTOQUE BAIXO","NORMAL")))</f>
        <v/>
      </c>
      <c r="K93" s="107">
        <f>IF(OR(UPPER(C93)="SERVIÇO",UPPER(C93)="SERVICO"),0,N(H93)*N(E93))</f>
        <v/>
      </c>
      <c r="L93" s="107">
        <f>IF(OR(UPPER(C93)="SERVIÇO",UPPER(C93)="SERVICO"),0,N(H93)*N(G93))</f>
        <v/>
      </c>
      <c r="M93" s="107">
        <f>IF(OR(UPPER(C93)="SERVIÇO",UPPER(C93)="SERVICO"),0,L93-K93)</f>
        <v/>
      </c>
    </row>
    <row r="94" ht="15" customHeight="1">
      <c r="B94" s="105" t="n">
        <v>83</v>
      </c>
      <c r="C94" s="105" t="inlineStr">
        <is>
          <t>Produto</t>
        </is>
      </c>
      <c r="D94" s="106" t="inlineStr">
        <is>
          <t>Patins adulto verde</t>
        </is>
      </c>
      <c r="E94" s="107" t="n">
        <v>360.32</v>
      </c>
      <c r="F94" s="108" t="n">
        <v>50</v>
      </c>
      <c r="G94" s="107">
        <f>ROUND(E94*(1+IF(ABS(F94)&lt;=1,F94,F94/100)),2)</f>
        <v/>
      </c>
      <c r="H94" s="105" t="n">
        <v>15</v>
      </c>
      <c r="I94" s="105" t="n">
        <v>5</v>
      </c>
      <c r="J94" s="105">
        <f>IF(OR(UPPER(C94)="SERVIÇO",UPPER(C94)="SERVICO"),"SERVIÇO",IF(H94&lt;=0,"ZERADO",IF(H94&lt;=I94,"ESTOQUE BAIXO","NORMAL")))</f>
        <v/>
      </c>
      <c r="K94" s="107">
        <f>IF(OR(UPPER(C94)="SERVIÇO",UPPER(C94)="SERVICO"),0,N(H94)*N(E94))</f>
        <v/>
      </c>
      <c r="L94" s="107">
        <f>IF(OR(UPPER(C94)="SERVIÇO",UPPER(C94)="SERVICO"),0,N(H94)*N(G94))</f>
        <v/>
      </c>
      <c r="M94" s="107">
        <f>IF(OR(UPPER(C94)="SERVIÇO",UPPER(C94)="SERVICO"),0,L94-K94)</f>
        <v/>
      </c>
    </row>
    <row r="95" ht="15" customHeight="1">
      <c r="B95" s="105" t="n">
        <v>84</v>
      </c>
      <c r="C95" s="105" t="inlineStr">
        <is>
          <t>Produto</t>
        </is>
      </c>
      <c r="D95" s="106" t="inlineStr">
        <is>
          <t>Raquete de beach tennis versão 2026 branco</t>
        </is>
      </c>
      <c r="E95" s="107" t="n">
        <v>543.64</v>
      </c>
      <c r="F95" s="108" t="n">
        <v>50</v>
      </c>
      <c r="G95" s="107">
        <f>ROUND(E95*(1+IF(ABS(F95)&lt;=1,F95,F95/100)),2)</f>
        <v/>
      </c>
      <c r="H95" s="105" t="n">
        <v>15</v>
      </c>
      <c r="I95" s="105" t="n">
        <v>5</v>
      </c>
      <c r="J95" s="105">
        <f>IF(OR(UPPER(C95)="SERVIÇO",UPPER(C95)="SERVICO"),"SERVIÇO",IF(H95&lt;=0,"ZERADO",IF(H95&lt;=I95,"ESTOQUE BAIXO","NORMAL")))</f>
        <v/>
      </c>
      <c r="K95" s="107">
        <f>IF(OR(UPPER(C95)="SERVIÇO",UPPER(C95)="SERVICO"),0,N(H95)*N(E95))</f>
        <v/>
      </c>
      <c r="L95" s="107">
        <f>IF(OR(UPPER(C95)="SERVIÇO",UPPER(C95)="SERVICO"),0,N(H95)*N(G95))</f>
        <v/>
      </c>
      <c r="M95" s="107">
        <f>IF(OR(UPPER(C95)="SERVIÇO",UPPER(C95)="SERVICO"),0,L95-K95)</f>
        <v/>
      </c>
    </row>
    <row r="96" ht="15" customHeight="1">
      <c r="B96" s="105" t="n">
        <v>85</v>
      </c>
      <c r="C96" s="105" t="inlineStr">
        <is>
          <t>Produto</t>
        </is>
      </c>
      <c r="D96" s="106" t="inlineStr">
        <is>
          <t>Tênis para quadra resistente cinza tam. 38</t>
        </is>
      </c>
      <c r="E96" s="107" t="n">
        <v>209.06</v>
      </c>
      <c r="F96" s="108" t="n">
        <v>50</v>
      </c>
      <c r="G96" s="107">
        <f>ROUND(E96*(1+IF(ABS(F96)&lt;=1,F96,F96/100)),2)</f>
        <v/>
      </c>
      <c r="H96" s="105" t="n">
        <v>15</v>
      </c>
      <c r="I96" s="105" t="n">
        <v>5</v>
      </c>
      <c r="J96" s="105">
        <f>IF(OR(UPPER(C96)="SERVIÇO",UPPER(C96)="SERVICO"),"SERVIÇO",IF(H96&lt;=0,"ZERADO",IF(H96&lt;=I96,"ESTOQUE BAIXO","NORMAL")))</f>
        <v/>
      </c>
      <c r="K96" s="107">
        <f>IF(OR(UPPER(C96)="SERVIÇO",UPPER(C96)="SERVICO"),0,N(H96)*N(E96))</f>
        <v/>
      </c>
      <c r="L96" s="107">
        <f>IF(OR(UPPER(C96)="SERVIÇO",UPPER(C96)="SERVICO"),0,N(H96)*N(G96))</f>
        <v/>
      </c>
      <c r="M96" s="107">
        <f>IF(OR(UPPER(C96)="SERVIÇO",UPPER(C96)="SERVICO"),0,L96-K96)</f>
        <v/>
      </c>
    </row>
    <row r="97" ht="15" customHeight="1">
      <c r="B97" s="105" t="n">
        <v>86</v>
      </c>
      <c r="C97" s="105" t="inlineStr">
        <is>
          <t>Produto</t>
        </is>
      </c>
      <c r="D97" s="106" t="inlineStr">
        <is>
          <t>Skate ventilado vermelho</t>
        </is>
      </c>
      <c r="E97" s="107" t="n">
        <v>187.78</v>
      </c>
      <c r="F97" s="108" t="n">
        <v>50</v>
      </c>
      <c r="G97" s="107">
        <f>ROUND(E97*(1+IF(ABS(F97)&lt;=1,F97,F97/100)),2)</f>
        <v/>
      </c>
      <c r="H97" s="105" t="n">
        <v>15</v>
      </c>
      <c r="I97" s="105" t="n">
        <v>5</v>
      </c>
      <c r="J97" s="105">
        <f>IF(OR(UPPER(C97)="SERVIÇO",UPPER(C97)="SERVICO"),"SERVIÇO",IF(H97&lt;=0,"ZERADO",IF(H97&lt;=I97,"ESTOQUE BAIXO","NORMAL")))</f>
        <v/>
      </c>
      <c r="K97" s="107">
        <f>IF(OR(UPPER(C97)="SERVIÇO",UPPER(C97)="SERVICO"),0,N(H97)*N(E97))</f>
        <v/>
      </c>
      <c r="L97" s="107">
        <f>IF(OR(UPPER(C97)="SERVIÇO",UPPER(C97)="SERVICO"),0,N(H97)*N(G97))</f>
        <v/>
      </c>
      <c r="M97" s="107">
        <f>IF(OR(UPPER(C97)="SERVIÇO",UPPER(C97)="SERVICO"),0,L97-K97)</f>
        <v/>
      </c>
    </row>
    <row r="98" ht="15" customHeight="1">
      <c r="B98" s="105" t="n">
        <v>87</v>
      </c>
      <c r="C98" s="105" t="inlineStr">
        <is>
          <t>Produto</t>
        </is>
      </c>
      <c r="D98" s="106" t="inlineStr">
        <is>
          <t>Prancha de natação leve cinza</t>
        </is>
      </c>
      <c r="E98" s="107" t="n">
        <v>54.49</v>
      </c>
      <c r="F98" s="108" t="n">
        <v>50</v>
      </c>
      <c r="G98" s="107">
        <f>ROUND(E98*(1+IF(ABS(F98)&lt;=1,F98,F98/100)),2)</f>
        <v/>
      </c>
      <c r="H98" s="105" t="n">
        <v>15</v>
      </c>
      <c r="I98" s="105" t="n">
        <v>5</v>
      </c>
      <c r="J98" s="105">
        <f>IF(OR(UPPER(C98)="SERVIÇO",UPPER(C98)="SERVICO"),"SERVIÇO",IF(H98&lt;=0,"ZERADO",IF(H98&lt;=I98,"ESTOQUE BAIXO","NORMAL")))</f>
        <v/>
      </c>
      <c r="K98" s="107">
        <f>IF(OR(UPPER(C98)="SERVIÇO",UPPER(C98)="SERVICO"),0,N(H98)*N(E98))</f>
        <v/>
      </c>
      <c r="L98" s="107">
        <f>IF(OR(UPPER(C98)="SERVIÇO",UPPER(C98)="SERVICO"),0,N(H98)*N(G98))</f>
        <v/>
      </c>
      <c r="M98" s="107">
        <f>IF(OR(UPPER(C98)="SERVIÇO",UPPER(C98)="SERVICO"),0,L98-K98)</f>
        <v/>
      </c>
    </row>
    <row r="99" ht="15" customHeight="1">
      <c r="B99" s="105" t="n">
        <v>88</v>
      </c>
      <c r="C99" s="105" t="inlineStr">
        <is>
          <t>Produto</t>
        </is>
      </c>
      <c r="D99" s="106" t="inlineStr">
        <is>
          <t>Bola de futebol iniciante verde</t>
        </is>
      </c>
      <c r="E99" s="107" t="n">
        <v>94.42</v>
      </c>
      <c r="F99" s="108" t="n">
        <v>50</v>
      </c>
      <c r="G99" s="107">
        <f>ROUND(E99*(1+IF(ABS(F99)&lt;=1,F99,F99/100)),2)</f>
        <v/>
      </c>
      <c r="H99" s="105" t="n">
        <v>15</v>
      </c>
      <c r="I99" s="105" t="n">
        <v>5</v>
      </c>
      <c r="J99" s="105">
        <f>IF(OR(UPPER(C99)="SERVIÇO",UPPER(C99)="SERVICO"),"SERVIÇO",IF(H99&lt;=0,"ZERADO",IF(H99&lt;=I99,"ESTOQUE BAIXO","NORMAL")))</f>
        <v/>
      </c>
      <c r="K99" s="107">
        <f>IF(OR(UPPER(C99)="SERVIÇO",UPPER(C99)="SERVICO"),0,N(H99)*N(E99))</f>
        <v/>
      </c>
      <c r="L99" s="107">
        <f>IF(OR(UPPER(C99)="SERVIÇO",UPPER(C99)="SERVICO"),0,N(H99)*N(G99))</f>
        <v/>
      </c>
      <c r="M99" s="107">
        <f>IF(OR(UPPER(C99)="SERVIÇO",UPPER(C99)="SERVICO"),0,L99-K99)</f>
        <v/>
      </c>
    </row>
    <row r="100" ht="15" customHeight="1">
      <c r="B100" s="105" t="n">
        <v>89</v>
      </c>
      <c r="C100" s="105" t="inlineStr">
        <is>
          <t>Produto</t>
        </is>
      </c>
      <c r="D100" s="106" t="inlineStr">
        <is>
          <t>Luva de boxe modelo básico rosa tam. 40</t>
        </is>
      </c>
      <c r="E100" s="107" t="n">
        <v>156.02</v>
      </c>
      <c r="F100" s="108" t="n">
        <v>50</v>
      </c>
      <c r="G100" s="107">
        <f>ROUND(E100*(1+IF(ABS(F100)&lt;=1,F100,F100/100)),2)</f>
        <v/>
      </c>
      <c r="H100" s="105" t="n">
        <v>15</v>
      </c>
      <c r="I100" s="105" t="n">
        <v>5</v>
      </c>
      <c r="J100" s="105">
        <f>IF(OR(UPPER(C100)="SERVIÇO",UPPER(C100)="SERVICO"),"SERVIÇO",IF(H100&lt;=0,"ZERADO",IF(H100&lt;=I100,"ESTOQUE BAIXO","NORMAL")))</f>
        <v/>
      </c>
      <c r="K100" s="107">
        <f>IF(OR(UPPER(C100)="SERVIÇO",UPPER(C100)="SERVICO"),0,N(H100)*N(E100))</f>
        <v/>
      </c>
      <c r="L100" s="107">
        <f>IF(OR(UPPER(C100)="SERVIÇO",UPPER(C100)="SERVICO"),0,N(H100)*N(G100))</f>
        <v/>
      </c>
      <c r="M100" s="107">
        <f>IF(OR(UPPER(C100)="SERVIÇO",UPPER(C100)="SERVICO"),0,L100-K100)</f>
        <v/>
      </c>
    </row>
    <row r="101" ht="15" customHeight="1">
      <c r="B101" s="105" t="n">
        <v>90</v>
      </c>
      <c r="C101" s="105" t="inlineStr">
        <is>
          <t>Produto</t>
        </is>
      </c>
      <c r="D101" s="106" t="inlineStr">
        <is>
          <t>Calça legging ergonômico vermelho tam. M</t>
        </is>
      </c>
      <c r="E101" s="107" t="n">
        <v>72.51000000000001</v>
      </c>
      <c r="F101" s="108" t="n">
        <v>50</v>
      </c>
      <c r="G101" s="107">
        <f>ROUND(E101*(1+IF(ABS(F101)&lt;=1,F101,F101/100)),2)</f>
        <v/>
      </c>
      <c r="H101" s="105" t="n">
        <v>15</v>
      </c>
      <c r="I101" s="105" t="n">
        <v>5</v>
      </c>
      <c r="J101" s="105">
        <f>IF(OR(UPPER(C101)="SERVIÇO",UPPER(C101)="SERVICO"),"SERVIÇO",IF(H101&lt;=0,"ZERADO",IF(H101&lt;=I101,"ESTOQUE BAIXO","NORMAL")))</f>
        <v/>
      </c>
      <c r="K101" s="107">
        <f>IF(OR(UPPER(C101)="SERVIÇO",UPPER(C101)="SERVICO"),0,N(H101)*N(E101))</f>
        <v/>
      </c>
      <c r="L101" s="107">
        <f>IF(OR(UPPER(C101)="SERVIÇO",UPPER(C101)="SERVICO"),0,N(H101)*N(G101))</f>
        <v/>
      </c>
      <c r="M101" s="107">
        <f>IF(OR(UPPER(C101)="SERVIÇO",UPPER(C101)="SERVICO"),0,L101-K101)</f>
        <v/>
      </c>
    </row>
    <row r="102" ht="15" customHeight="1">
      <c r="B102" s="105" t="n">
        <v>91</v>
      </c>
      <c r="C102" s="105" t="inlineStr">
        <is>
          <t>Produto</t>
        </is>
      </c>
      <c r="D102" s="106" t="inlineStr">
        <is>
          <t>Prancha de natação modelo básico azul</t>
        </is>
      </c>
      <c r="E102" s="107" t="n">
        <v>91.59999999999999</v>
      </c>
      <c r="F102" s="108" t="n">
        <v>50</v>
      </c>
      <c r="G102" s="107">
        <f>ROUND(E102*(1+IF(ABS(F102)&lt;=1,F102,F102/100)),2)</f>
        <v/>
      </c>
      <c r="H102" s="105" t="n">
        <v>15</v>
      </c>
      <c r="I102" s="105" t="n">
        <v>5</v>
      </c>
      <c r="J102" s="105">
        <f>IF(OR(UPPER(C102)="SERVIÇO",UPPER(C102)="SERVICO"),"SERVIÇO",IF(H102&lt;=0,"ZERADO",IF(H102&lt;=I102,"ESTOQUE BAIXO","NORMAL")))</f>
        <v/>
      </c>
      <c r="K102" s="107">
        <f>IF(OR(UPPER(C102)="SERVIÇO",UPPER(C102)="SERVICO"),0,N(H102)*N(E102))</f>
        <v/>
      </c>
      <c r="L102" s="107">
        <f>IF(OR(UPPER(C102)="SERVIÇO",UPPER(C102)="SERVICO"),0,N(H102)*N(G102))</f>
        <v/>
      </c>
      <c r="M102" s="107">
        <f>IF(OR(UPPER(C102)="SERVIÇO",UPPER(C102)="SERVICO"),0,L102-K102)</f>
        <v/>
      </c>
    </row>
    <row r="103" ht="15" customHeight="1">
      <c r="B103" s="105" t="n">
        <v>92</v>
      </c>
      <c r="C103" s="105" t="inlineStr">
        <is>
          <t>Produto</t>
        </is>
      </c>
      <c r="D103" s="106" t="inlineStr">
        <is>
          <t>Step de ginástica iniciante verde</t>
        </is>
      </c>
      <c r="E103" s="107" t="n">
        <v>253.52</v>
      </c>
      <c r="F103" s="108" t="n">
        <v>50</v>
      </c>
      <c r="G103" s="107">
        <f>ROUND(E103*(1+IF(ABS(F103)&lt;=1,F103,F103/100)),2)</f>
        <v/>
      </c>
      <c r="H103" s="105" t="n">
        <v>15</v>
      </c>
      <c r="I103" s="105" t="n">
        <v>5</v>
      </c>
      <c r="J103" s="105">
        <f>IF(OR(UPPER(C103)="SERVIÇO",UPPER(C103)="SERVICO"),"SERVIÇO",IF(H103&lt;=0,"ZERADO",IF(H103&lt;=I103,"ESTOQUE BAIXO","NORMAL")))</f>
        <v/>
      </c>
      <c r="K103" s="107">
        <f>IF(OR(UPPER(C103)="SERVIÇO",UPPER(C103)="SERVICO"),0,N(H103)*N(E103))</f>
        <v/>
      </c>
      <c r="L103" s="107">
        <f>IF(OR(UPPER(C103)="SERVIÇO",UPPER(C103)="SERVICO"),0,N(H103)*N(G103))</f>
        <v/>
      </c>
      <c r="M103" s="107">
        <f>IF(OR(UPPER(C103)="SERVIÇO",UPPER(C103)="SERVICO"),0,L103-K103)</f>
        <v/>
      </c>
    </row>
    <row r="104" ht="15" customHeight="1">
      <c r="B104" s="105" t="n">
        <v>93</v>
      </c>
      <c r="C104" s="105" t="inlineStr">
        <is>
          <t>Produto</t>
        </is>
      </c>
      <c r="D104" s="106" t="inlineStr">
        <is>
          <t>Chuteira society juvenil verde tam. 40</t>
        </is>
      </c>
      <c r="E104" s="107" t="n">
        <v>280</v>
      </c>
      <c r="F104" s="108" t="n">
        <v>50</v>
      </c>
      <c r="G104" s="107">
        <f>ROUND(E104*(1+IF(ABS(F104)&lt;=1,F104,F104/100)),2)</f>
        <v/>
      </c>
      <c r="H104" s="105" t="n">
        <v>15</v>
      </c>
      <c r="I104" s="105" t="n">
        <v>5</v>
      </c>
      <c r="J104" s="105">
        <f>IF(OR(UPPER(C104)="SERVIÇO",UPPER(C104)="SERVICO"),"SERVIÇO",IF(H104&lt;=0,"ZERADO",IF(H104&lt;=I104,"ESTOQUE BAIXO","NORMAL")))</f>
        <v/>
      </c>
      <c r="K104" s="107">
        <f>IF(OR(UPPER(C104)="SERVIÇO",UPPER(C104)="SERVICO"),0,N(H104)*N(E104))</f>
        <v/>
      </c>
      <c r="L104" s="107">
        <f>IF(OR(UPPER(C104)="SERVIÇO",UPPER(C104)="SERVICO"),0,N(H104)*N(G104))</f>
        <v/>
      </c>
      <c r="M104" s="107">
        <f>IF(OR(UPPER(C104)="SERVIÇO",UPPER(C104)="SERVICO"),0,L104-K104)</f>
        <v/>
      </c>
    </row>
    <row r="105" ht="15" customHeight="1">
      <c r="B105" s="105" t="n">
        <v>94</v>
      </c>
      <c r="C105" s="105" t="inlineStr">
        <is>
          <t>Produto</t>
        </is>
      </c>
      <c r="D105" s="106" t="inlineStr">
        <is>
          <t>Banco de musculação com ajuste laranja</t>
        </is>
      </c>
      <c r="E105" s="107" t="n">
        <v>1349.64</v>
      </c>
      <c r="F105" s="108" t="n">
        <v>50</v>
      </c>
      <c r="G105" s="107">
        <f>ROUND(E105*(1+IF(ABS(F105)&lt;=1,F105,F105/100)),2)</f>
        <v/>
      </c>
      <c r="H105" s="105" t="n">
        <v>15</v>
      </c>
      <c r="I105" s="105" t="n">
        <v>5</v>
      </c>
      <c r="J105" s="105">
        <f>IF(OR(UPPER(C105)="SERVIÇO",UPPER(C105)="SERVICO"),"SERVIÇO",IF(H105&lt;=0,"ZERADO",IF(H105&lt;=I105,"ESTOQUE BAIXO","NORMAL")))</f>
        <v/>
      </c>
      <c r="K105" s="107">
        <f>IF(OR(UPPER(C105)="SERVIÇO",UPPER(C105)="SERVICO"),0,N(H105)*N(E105))</f>
        <v/>
      </c>
      <c r="L105" s="107">
        <f>IF(OR(UPPER(C105)="SERVIÇO",UPPER(C105)="SERVICO"),0,N(H105)*N(G105))</f>
        <v/>
      </c>
      <c r="M105" s="107">
        <f>IF(OR(UPPER(C105)="SERVIÇO",UPPER(C105)="SERVICO"),0,L105-K105)</f>
        <v/>
      </c>
    </row>
    <row r="106" ht="15" customHeight="1">
      <c r="B106" s="105" t="n">
        <v>95</v>
      </c>
      <c r="C106" s="105" t="inlineStr">
        <is>
          <t>Produto</t>
        </is>
      </c>
      <c r="D106" s="106" t="inlineStr">
        <is>
          <t>Protetor bucal para uso diário rosa</t>
        </is>
      </c>
      <c r="E106" s="107" t="n">
        <v>29.32</v>
      </c>
      <c r="F106" s="108" t="n">
        <v>50</v>
      </c>
      <c r="G106" s="107">
        <f>ROUND(E106*(1+IF(ABS(F106)&lt;=1,F106,F106/100)),2)</f>
        <v/>
      </c>
      <c r="H106" s="105" t="n">
        <v>15</v>
      </c>
      <c r="I106" s="105" t="n">
        <v>5</v>
      </c>
      <c r="J106" s="105">
        <f>IF(OR(UPPER(C106)="SERVIÇO",UPPER(C106)="SERVICO"),"SERVIÇO",IF(H106&lt;=0,"ZERADO",IF(H106&lt;=I106,"ESTOQUE BAIXO","NORMAL")))</f>
        <v/>
      </c>
      <c r="K106" s="107">
        <f>IF(OR(UPPER(C106)="SERVIÇO",UPPER(C106)="SERVICO"),0,N(H106)*N(E106))</f>
        <v/>
      </c>
      <c r="L106" s="107">
        <f>IF(OR(UPPER(C106)="SERVIÇO",UPPER(C106)="SERVICO"),0,N(H106)*N(G106))</f>
        <v/>
      </c>
      <c r="M106" s="107">
        <f>IF(OR(UPPER(C106)="SERVIÇO",UPPER(C106)="SERVICO"),0,L106-K106)</f>
        <v/>
      </c>
    </row>
    <row r="107" ht="15" customHeight="1">
      <c r="B107" s="105" t="n">
        <v>96</v>
      </c>
      <c r="C107" s="105" t="inlineStr">
        <is>
          <t>Produto</t>
        </is>
      </c>
      <c r="D107" s="106" t="inlineStr">
        <is>
          <t>Chuteira society treino laranja tam. GG</t>
        </is>
      </c>
      <c r="E107" s="107" t="n">
        <v>123.26</v>
      </c>
      <c r="F107" s="108" t="n">
        <v>50</v>
      </c>
      <c r="G107" s="107">
        <f>ROUND(E107*(1+IF(ABS(F107)&lt;=1,F107,F107/100)),2)</f>
        <v/>
      </c>
      <c r="H107" s="105" t="n">
        <v>15</v>
      </c>
      <c r="I107" s="105" t="n">
        <v>5</v>
      </c>
      <c r="J107" s="105">
        <f>IF(OR(UPPER(C107)="SERVIÇO",UPPER(C107)="SERVICO"),"SERVIÇO",IF(H107&lt;=0,"ZERADO",IF(H107&lt;=I107,"ESTOQUE BAIXO","NORMAL")))</f>
        <v/>
      </c>
      <c r="K107" s="107">
        <f>IF(OR(UPPER(C107)="SERVIÇO",UPPER(C107)="SERVICO"),0,N(H107)*N(E107))</f>
        <v/>
      </c>
      <c r="L107" s="107">
        <f>IF(OR(UPPER(C107)="SERVIÇO",UPPER(C107)="SERVICO"),0,N(H107)*N(G107))</f>
        <v/>
      </c>
      <c r="M107" s="107">
        <f>IF(OR(UPPER(C107)="SERVIÇO",UPPER(C107)="SERVICO"),0,L107-K107)</f>
        <v/>
      </c>
    </row>
    <row r="108" ht="15" customHeight="1">
      <c r="B108" s="105" t="n">
        <v>97</v>
      </c>
      <c r="C108" s="105" t="inlineStr">
        <is>
          <t>Produto</t>
        </is>
      </c>
      <c r="D108" s="106" t="inlineStr">
        <is>
          <t>Skate com ajuste preto</t>
        </is>
      </c>
      <c r="E108" s="107" t="n">
        <v>374.21</v>
      </c>
      <c r="F108" s="108" t="n">
        <v>50</v>
      </c>
      <c r="G108" s="107">
        <f>ROUND(E108*(1+IF(ABS(F108)&lt;=1,F108,F108/100)),2)</f>
        <v/>
      </c>
      <c r="H108" s="105" t="n">
        <v>15</v>
      </c>
      <c r="I108" s="105" t="n">
        <v>5</v>
      </c>
      <c r="J108" s="105">
        <f>IF(OR(UPPER(C108)="SERVIÇO",UPPER(C108)="SERVICO"),"SERVIÇO",IF(H108&lt;=0,"ZERADO",IF(H108&lt;=I108,"ESTOQUE BAIXO","NORMAL")))</f>
        <v/>
      </c>
      <c r="K108" s="107">
        <f>IF(OR(UPPER(C108)="SERVIÇO",UPPER(C108)="SERVICO"),0,N(H108)*N(E108))</f>
        <v/>
      </c>
      <c r="L108" s="107">
        <f>IF(OR(UPPER(C108)="SERVIÇO",UPPER(C108)="SERVICO"),0,N(H108)*N(G108))</f>
        <v/>
      </c>
      <c r="M108" s="107">
        <f>IF(OR(UPPER(C108)="SERVIÇO",UPPER(C108)="SERVICO"),0,L108-K108)</f>
        <v/>
      </c>
    </row>
    <row r="109" ht="15" customHeight="1">
      <c r="B109" s="105" t="n">
        <v>98</v>
      </c>
      <c r="C109" s="105" t="inlineStr">
        <is>
          <t>Produto</t>
        </is>
      </c>
      <c r="D109" s="106" t="inlineStr">
        <is>
          <t>Tênis para quadra recreativo rosa tam. 42</t>
        </is>
      </c>
      <c r="E109" s="107" t="n">
        <v>475.07</v>
      </c>
      <c r="F109" s="108" t="n">
        <v>50</v>
      </c>
      <c r="G109" s="107">
        <f>ROUND(E109*(1+IF(ABS(F109)&lt;=1,F109,F109/100)),2)</f>
        <v/>
      </c>
      <c r="H109" s="105" t="n">
        <v>15</v>
      </c>
      <c r="I109" s="105" t="n">
        <v>5</v>
      </c>
      <c r="J109" s="105">
        <f>IF(OR(UPPER(C109)="SERVIÇO",UPPER(C109)="SERVICO"),"SERVIÇO",IF(H109&lt;=0,"ZERADO",IF(H109&lt;=I109,"ESTOQUE BAIXO","NORMAL")))</f>
        <v/>
      </c>
      <c r="K109" s="107">
        <f>IF(OR(UPPER(C109)="SERVIÇO",UPPER(C109)="SERVICO"),0,N(H109)*N(E109))</f>
        <v/>
      </c>
      <c r="L109" s="107">
        <f>IF(OR(UPPER(C109)="SERVIÇO",UPPER(C109)="SERVICO"),0,N(H109)*N(G109))</f>
        <v/>
      </c>
      <c r="M109" s="107">
        <f>IF(OR(UPPER(C109)="SERVIÇO",UPPER(C109)="SERVICO"),0,L109-K109)</f>
        <v/>
      </c>
    </row>
    <row r="110" ht="15" customHeight="1">
      <c r="B110" s="105" t="n">
        <v>99</v>
      </c>
      <c r="C110" s="105" t="inlineStr">
        <is>
          <t>Produto</t>
        </is>
      </c>
      <c r="D110" s="106" t="inlineStr">
        <is>
          <t>Saco de pancadas com ajuste laranja</t>
        </is>
      </c>
      <c r="E110" s="107" t="n">
        <v>668.12</v>
      </c>
      <c r="F110" s="108" t="n">
        <v>50</v>
      </c>
      <c r="G110" s="107">
        <f>ROUND(E110*(1+IF(ABS(F110)&lt;=1,F110,F110/100)),2)</f>
        <v/>
      </c>
      <c r="H110" s="105" t="n">
        <v>15</v>
      </c>
      <c r="I110" s="105" t="n">
        <v>5</v>
      </c>
      <c r="J110" s="105">
        <f>IF(OR(UPPER(C110)="SERVIÇO",UPPER(C110)="SERVICO"),"SERVIÇO",IF(H110&lt;=0,"ZERADO",IF(H110&lt;=I110,"ESTOQUE BAIXO","NORMAL")))</f>
        <v/>
      </c>
      <c r="K110" s="107">
        <f>IF(OR(UPPER(C110)="SERVIÇO",UPPER(C110)="SERVICO"),0,N(H110)*N(E110))</f>
        <v/>
      </c>
      <c r="L110" s="107">
        <f>IF(OR(UPPER(C110)="SERVIÇO",UPPER(C110)="SERVICO"),0,N(H110)*N(G110))</f>
        <v/>
      </c>
      <c r="M110" s="107">
        <f>IF(OR(UPPER(C110)="SERVIÇO",UPPER(C110)="SERVICO"),0,L110-K110)</f>
        <v/>
      </c>
    </row>
    <row r="111" ht="15" customHeight="1">
      <c r="B111" s="105" t="n">
        <v>100</v>
      </c>
      <c r="C111" s="105" t="inlineStr">
        <is>
          <t>Produto</t>
        </is>
      </c>
      <c r="D111" s="106" t="inlineStr">
        <is>
          <t>Luva de goleiro leve rosa tam. 40</t>
        </is>
      </c>
      <c r="E111" s="107" t="n">
        <v>79.93000000000001</v>
      </c>
      <c r="F111" s="108" t="n">
        <v>50</v>
      </c>
      <c r="G111" s="107">
        <f>ROUND(E111*(1+IF(ABS(F111)&lt;=1,F111,F111/100)),2)</f>
        <v/>
      </c>
      <c r="H111" s="105" t="n">
        <v>15</v>
      </c>
      <c r="I111" s="105" t="n">
        <v>5</v>
      </c>
      <c r="J111" s="105">
        <f>IF(OR(UPPER(C111)="SERVIÇO",UPPER(C111)="SERVICO"),"SERVIÇO",IF(H111&lt;=0,"ZERADO",IF(H111&lt;=I111,"ESTOQUE BAIXO","NORMAL")))</f>
        <v/>
      </c>
      <c r="K111" s="107">
        <f>IF(OR(UPPER(C111)="SERVIÇO",UPPER(C111)="SERVICO"),0,N(H111)*N(E111))</f>
        <v/>
      </c>
      <c r="L111" s="107">
        <f>IF(OR(UPPER(C111)="SERVIÇO",UPPER(C111)="SERVICO"),0,N(H111)*N(G111))</f>
        <v/>
      </c>
      <c r="M111" s="107">
        <f>IF(OR(UPPER(C111)="SERVIÇO",UPPER(C111)="SERVICO"),0,L111-K111)</f>
        <v/>
      </c>
    </row>
    <row r="112" ht="15" customHeight="1">
      <c r="B112" s="105" t="n">
        <v>101</v>
      </c>
      <c r="C112" s="105" t="inlineStr">
        <is>
          <t>Produto</t>
        </is>
      </c>
      <c r="D112" s="106" t="inlineStr">
        <is>
          <t>Meias esportivas resistente rosa tam. GG</t>
        </is>
      </c>
      <c r="E112" s="107" t="n">
        <v>15.83</v>
      </c>
      <c r="F112" s="108" t="n">
        <v>50</v>
      </c>
      <c r="G112" s="107">
        <f>ROUND(E112*(1+IF(ABS(F112)&lt;=1,F112,F112/100)),2)</f>
        <v/>
      </c>
      <c r="H112" s="105" t="n">
        <v>15</v>
      </c>
      <c r="I112" s="105" t="n">
        <v>5</v>
      </c>
      <c r="J112" s="105">
        <f>IF(OR(UPPER(C112)="SERVIÇO",UPPER(C112)="SERVICO"),"SERVIÇO",IF(H112&lt;=0,"ZERADO",IF(H112&lt;=I112,"ESTOQUE BAIXO","NORMAL")))</f>
        <v/>
      </c>
      <c r="K112" s="107">
        <f>IF(OR(UPPER(C112)="SERVIÇO",UPPER(C112)="SERVICO"),0,N(H112)*N(E112))</f>
        <v/>
      </c>
      <c r="L112" s="107">
        <f>IF(OR(UPPER(C112)="SERVIÇO",UPPER(C112)="SERVICO"),0,N(H112)*N(G112))</f>
        <v/>
      </c>
      <c r="M112" s="107">
        <f>IF(OR(UPPER(C112)="SERVIÇO",UPPER(C112)="SERVICO"),0,L112-K112)</f>
        <v/>
      </c>
    </row>
    <row r="113" ht="15" customHeight="1">
      <c r="B113" s="105" t="n">
        <v>102</v>
      </c>
      <c r="C113" s="105" t="inlineStr">
        <is>
          <t>Produto</t>
        </is>
      </c>
      <c r="D113" s="106" t="inlineStr">
        <is>
          <t>Raquete de beach tennis compacto cinza</t>
        </is>
      </c>
      <c r="E113" s="107" t="n">
        <v>313.7</v>
      </c>
      <c r="F113" s="108" t="n">
        <v>50</v>
      </c>
      <c r="G113" s="107">
        <f>ROUND(E113*(1+IF(ABS(F113)&lt;=1,F113,F113/100)),2)</f>
        <v/>
      </c>
      <c r="H113" s="105" t="n">
        <v>15</v>
      </c>
      <c r="I113" s="105" t="n">
        <v>5</v>
      </c>
      <c r="J113" s="105">
        <f>IF(OR(UPPER(C113)="SERVIÇO",UPPER(C113)="SERVICO"),"SERVIÇO",IF(H113&lt;=0,"ZERADO",IF(H113&lt;=I113,"ESTOQUE BAIXO","NORMAL")))</f>
        <v/>
      </c>
      <c r="K113" s="107">
        <f>IF(OR(UPPER(C113)="SERVIÇO",UPPER(C113)="SERVICO"),0,N(H113)*N(E113))</f>
        <v/>
      </c>
      <c r="L113" s="107">
        <f>IF(OR(UPPER(C113)="SERVIÇO",UPPER(C113)="SERVICO"),0,N(H113)*N(G113))</f>
        <v/>
      </c>
      <c r="M113" s="107">
        <f>IF(OR(UPPER(C113)="SERVIÇO",UPPER(C113)="SERVICO"),0,L113-K113)</f>
        <v/>
      </c>
    </row>
    <row r="114" ht="15" customHeight="1">
      <c r="B114" s="105" t="n">
        <v>103</v>
      </c>
      <c r="C114" s="105" t="inlineStr">
        <is>
          <t>Produto</t>
        </is>
      </c>
      <c r="D114" s="106" t="inlineStr">
        <is>
          <t>Caneleira de futebol recreativo vermelho</t>
        </is>
      </c>
      <c r="E114" s="107" t="n">
        <v>29.98</v>
      </c>
      <c r="F114" s="108" t="n">
        <v>50</v>
      </c>
      <c r="G114" s="107">
        <f>ROUND(E114*(1+IF(ABS(F114)&lt;=1,F114,F114/100)),2)</f>
        <v/>
      </c>
      <c r="H114" s="105" t="n">
        <v>15</v>
      </c>
      <c r="I114" s="105" t="n">
        <v>5</v>
      </c>
      <c r="J114" s="105">
        <f>IF(OR(UPPER(C114)="SERVIÇO",UPPER(C114)="SERVICO"),"SERVIÇO",IF(H114&lt;=0,"ZERADO",IF(H114&lt;=I114,"ESTOQUE BAIXO","NORMAL")))</f>
        <v/>
      </c>
      <c r="K114" s="107">
        <f>IF(OR(UPPER(C114)="SERVIÇO",UPPER(C114)="SERVICO"),0,N(H114)*N(E114))</f>
        <v/>
      </c>
      <c r="L114" s="107">
        <f>IF(OR(UPPER(C114)="SERVIÇO",UPPER(C114)="SERVICO"),0,N(H114)*N(G114))</f>
        <v/>
      </c>
      <c r="M114" s="107">
        <f>IF(OR(UPPER(C114)="SERVIÇO",UPPER(C114)="SERVICO"),0,L114-K114)</f>
        <v/>
      </c>
    </row>
    <row r="115" ht="15" customHeight="1">
      <c r="B115" s="105" t="n">
        <v>104</v>
      </c>
      <c r="C115" s="105" t="inlineStr">
        <is>
          <t>Produto</t>
        </is>
      </c>
      <c r="D115" s="106" t="inlineStr">
        <is>
          <t>Skate reforçado azul</t>
        </is>
      </c>
      <c r="E115" s="107" t="n">
        <v>301.52</v>
      </c>
      <c r="F115" s="108" t="n">
        <v>50</v>
      </c>
      <c r="G115" s="107">
        <f>ROUND(E115*(1+IF(ABS(F115)&lt;=1,F115,F115/100)),2)</f>
        <v/>
      </c>
      <c r="H115" s="105" t="n">
        <v>15</v>
      </c>
      <c r="I115" s="105" t="n">
        <v>5</v>
      </c>
      <c r="J115" s="105">
        <f>IF(OR(UPPER(C115)="SERVIÇO",UPPER(C115)="SERVICO"),"SERVIÇO",IF(H115&lt;=0,"ZERADO",IF(H115&lt;=I115,"ESTOQUE BAIXO","NORMAL")))</f>
        <v/>
      </c>
      <c r="K115" s="107">
        <f>IF(OR(UPPER(C115)="SERVIÇO",UPPER(C115)="SERVICO"),0,N(H115)*N(E115))</f>
        <v/>
      </c>
      <c r="L115" s="107">
        <f>IF(OR(UPPER(C115)="SERVIÇO",UPPER(C115)="SERVICO"),0,N(H115)*N(G115))</f>
        <v/>
      </c>
      <c r="M115" s="107">
        <f>IF(OR(UPPER(C115)="SERVIÇO",UPPER(C115)="SERVICO"),0,L115-K115)</f>
        <v/>
      </c>
    </row>
    <row r="116" ht="15" customHeight="1">
      <c r="B116" s="105" t="n">
        <v>105</v>
      </c>
      <c r="C116" s="105" t="inlineStr">
        <is>
          <t>Produto</t>
        </is>
      </c>
      <c r="D116" s="106" t="inlineStr">
        <is>
          <t>Kettlebell com ajuste laranja</t>
        </is>
      </c>
      <c r="E116" s="107" t="n">
        <v>43.01</v>
      </c>
      <c r="F116" s="108" t="n">
        <v>50</v>
      </c>
      <c r="G116" s="107">
        <f>ROUND(E116*(1+IF(ABS(F116)&lt;=1,F116,F116/100)),2)</f>
        <v/>
      </c>
      <c r="H116" s="105" t="n">
        <v>15</v>
      </c>
      <c r="I116" s="105" t="n">
        <v>5</v>
      </c>
      <c r="J116" s="105">
        <f>IF(OR(UPPER(C116)="SERVIÇO",UPPER(C116)="SERVICO"),"SERVIÇO",IF(H116&lt;=0,"ZERADO",IF(H116&lt;=I116,"ESTOQUE BAIXO","NORMAL")))</f>
        <v/>
      </c>
      <c r="K116" s="107">
        <f>IF(OR(UPPER(C116)="SERVIÇO",UPPER(C116)="SERVICO"),0,N(H116)*N(E116))</f>
        <v/>
      </c>
      <c r="L116" s="107">
        <f>IF(OR(UPPER(C116)="SERVIÇO",UPPER(C116)="SERVICO"),0,N(H116)*N(G116))</f>
        <v/>
      </c>
      <c r="M116" s="107">
        <f>IF(OR(UPPER(C116)="SERVIÇO",UPPER(C116)="SERVICO"),0,L116-K116)</f>
        <v/>
      </c>
    </row>
    <row r="117" ht="15" customHeight="1">
      <c r="B117" s="105" t="n">
        <v>106</v>
      </c>
      <c r="C117" s="105" t="inlineStr">
        <is>
          <t>Produto</t>
        </is>
      </c>
      <c r="D117" s="106" t="inlineStr">
        <is>
          <t>Corda de pular unissex preto</t>
        </is>
      </c>
      <c r="E117" s="107" t="n">
        <v>78.34</v>
      </c>
      <c r="F117" s="108" t="n">
        <v>50</v>
      </c>
      <c r="G117" s="107">
        <f>ROUND(E117*(1+IF(ABS(F117)&lt;=1,F117,F117/100)),2)</f>
        <v/>
      </c>
      <c r="H117" s="105" t="n">
        <v>15</v>
      </c>
      <c r="I117" s="105" t="n">
        <v>5</v>
      </c>
      <c r="J117" s="105">
        <f>IF(OR(UPPER(C117)="SERVIÇO",UPPER(C117)="SERVICO"),"SERVIÇO",IF(H117&lt;=0,"ZERADO",IF(H117&lt;=I117,"ESTOQUE BAIXO","NORMAL")))</f>
        <v/>
      </c>
      <c r="K117" s="107">
        <f>IF(OR(UPPER(C117)="SERVIÇO",UPPER(C117)="SERVICO"),0,N(H117)*N(E117))</f>
        <v/>
      </c>
      <c r="L117" s="107">
        <f>IF(OR(UPPER(C117)="SERVIÇO",UPPER(C117)="SERVICO"),0,N(H117)*N(G117))</f>
        <v/>
      </c>
      <c r="M117" s="107">
        <f>IF(OR(UPPER(C117)="SERVIÇO",UPPER(C117)="SERVICO"),0,L117-K117)</f>
        <v/>
      </c>
    </row>
    <row r="118" ht="15" customHeight="1">
      <c r="B118" s="105" t="n">
        <v>107</v>
      </c>
      <c r="C118" s="105" t="inlineStr">
        <is>
          <t>Produto</t>
        </is>
      </c>
      <c r="D118" s="106" t="inlineStr">
        <is>
          <t>Step de ginástica para uso diário rosa</t>
        </is>
      </c>
      <c r="E118" s="107" t="n">
        <v>61.36</v>
      </c>
      <c r="F118" s="108" t="n">
        <v>50</v>
      </c>
      <c r="G118" s="107">
        <f>ROUND(E118*(1+IF(ABS(F118)&lt;=1,F118,F118/100)),2)</f>
        <v/>
      </c>
      <c r="H118" s="105" t="n">
        <v>15</v>
      </c>
      <c r="I118" s="105" t="n">
        <v>5</v>
      </c>
      <c r="J118" s="105">
        <f>IF(OR(UPPER(C118)="SERVIÇO",UPPER(C118)="SERVICO"),"SERVIÇO",IF(H118&lt;=0,"ZERADO",IF(H118&lt;=I118,"ESTOQUE BAIXO","NORMAL")))</f>
        <v/>
      </c>
      <c r="K118" s="107">
        <f>IF(OR(UPPER(C118)="SERVIÇO",UPPER(C118)="SERVICO"),0,N(H118)*N(E118))</f>
        <v/>
      </c>
      <c r="L118" s="107">
        <f>IF(OR(UPPER(C118)="SERVIÇO",UPPER(C118)="SERVICO"),0,N(H118)*N(G118))</f>
        <v/>
      </c>
      <c r="M118" s="107">
        <f>IF(OR(UPPER(C118)="SERVIÇO",UPPER(C118)="SERVICO"),0,L118-K118)</f>
        <v/>
      </c>
    </row>
    <row r="119" ht="15" customHeight="1">
      <c r="B119" s="105" t="n">
        <v>108</v>
      </c>
      <c r="C119" s="105" t="inlineStr">
        <is>
          <t>Produto</t>
        </is>
      </c>
      <c r="D119" s="106" t="inlineStr">
        <is>
          <t>Colchonete de exercício para uso diário laranja</t>
        </is>
      </c>
      <c r="E119" s="107" t="n">
        <v>75.61</v>
      </c>
      <c r="F119" s="108" t="n">
        <v>50</v>
      </c>
      <c r="G119" s="107">
        <f>ROUND(E119*(1+IF(ABS(F119)&lt;=1,F119,F119/100)),2)</f>
        <v/>
      </c>
      <c r="H119" s="105" t="n">
        <v>15</v>
      </c>
      <c r="I119" s="105" t="n">
        <v>5</v>
      </c>
      <c r="J119" s="105">
        <f>IF(OR(UPPER(C119)="SERVIÇO",UPPER(C119)="SERVICO"),"SERVIÇO",IF(H119&lt;=0,"ZERADO",IF(H119&lt;=I119,"ESTOQUE BAIXO","NORMAL")))</f>
        <v/>
      </c>
      <c r="K119" s="107">
        <f>IF(OR(UPPER(C119)="SERVIÇO",UPPER(C119)="SERVICO"),0,N(H119)*N(E119))</f>
        <v/>
      </c>
      <c r="L119" s="107">
        <f>IF(OR(UPPER(C119)="SERVIÇO",UPPER(C119)="SERVICO"),0,N(H119)*N(G119))</f>
        <v/>
      </c>
      <c r="M119" s="107">
        <f>IF(OR(UPPER(C119)="SERVIÇO",UPPER(C119)="SERVICO"),0,L119-K119)</f>
        <v/>
      </c>
    </row>
    <row r="120" ht="15" customHeight="1">
      <c r="B120" s="105" t="n">
        <v>109</v>
      </c>
      <c r="C120" s="105" t="inlineStr">
        <is>
          <t>Produto</t>
        </is>
      </c>
      <c r="D120" s="106" t="inlineStr">
        <is>
          <t>Bola de pilates versão 2026 verde</t>
        </is>
      </c>
      <c r="E120" s="107" t="n">
        <v>70.81</v>
      </c>
      <c r="F120" s="108" t="n">
        <v>50</v>
      </c>
      <c r="G120" s="107">
        <f>ROUND(E120*(1+IF(ABS(F120)&lt;=1,F120,F120/100)),2)</f>
        <v/>
      </c>
      <c r="H120" s="105" t="n">
        <v>15</v>
      </c>
      <c r="I120" s="105" t="n">
        <v>5</v>
      </c>
      <c r="J120" s="105">
        <f>IF(OR(UPPER(C120)="SERVIÇO",UPPER(C120)="SERVICO"),"SERVIÇO",IF(H120&lt;=0,"ZERADO",IF(H120&lt;=I120,"ESTOQUE BAIXO","NORMAL")))</f>
        <v/>
      </c>
      <c r="K120" s="107">
        <f>IF(OR(UPPER(C120)="SERVIÇO",UPPER(C120)="SERVICO"),0,N(H120)*N(E120))</f>
        <v/>
      </c>
      <c r="L120" s="107">
        <f>IF(OR(UPPER(C120)="SERVIÇO",UPPER(C120)="SERVICO"),0,N(H120)*N(G120))</f>
        <v/>
      </c>
      <c r="M120" s="107">
        <f>IF(OR(UPPER(C120)="SERVIÇO",UPPER(C120)="SERVICO"),0,L120-K120)</f>
        <v/>
      </c>
    </row>
    <row r="121" ht="15" customHeight="1">
      <c r="B121" s="105" t="n">
        <v>110</v>
      </c>
      <c r="C121" s="105" t="inlineStr">
        <is>
          <t>Produto</t>
        </is>
      </c>
      <c r="D121" s="106" t="inlineStr">
        <is>
          <t>Bolsa de academia ergonômico preto</t>
        </is>
      </c>
      <c r="E121" s="107" t="n">
        <v>88.27</v>
      </c>
      <c r="F121" s="108" t="n">
        <v>50</v>
      </c>
      <c r="G121" s="107">
        <f>ROUND(E121*(1+IF(ABS(F121)&lt;=1,F121,F121/100)),2)</f>
        <v/>
      </c>
      <c r="H121" s="105" t="n">
        <v>15</v>
      </c>
      <c r="I121" s="105" t="n">
        <v>5</v>
      </c>
      <c r="J121" s="105">
        <f>IF(OR(UPPER(C121)="SERVIÇO",UPPER(C121)="SERVICO"),"SERVIÇO",IF(H121&lt;=0,"ZERADO",IF(H121&lt;=I121,"ESTOQUE BAIXO","NORMAL")))</f>
        <v/>
      </c>
      <c r="K121" s="107">
        <f>IF(OR(UPPER(C121)="SERVIÇO",UPPER(C121)="SERVICO"),0,N(H121)*N(E121))</f>
        <v/>
      </c>
      <c r="L121" s="107">
        <f>IF(OR(UPPER(C121)="SERVIÇO",UPPER(C121)="SERVICO"),0,N(H121)*N(G121))</f>
        <v/>
      </c>
      <c r="M121" s="107">
        <f>IF(OR(UPPER(C121)="SERVIÇO",UPPER(C121)="SERVICO"),0,L121-K121)</f>
        <v/>
      </c>
    </row>
    <row r="122" ht="15" customHeight="1">
      <c r="B122" s="105" t="n">
        <v>111</v>
      </c>
      <c r="C122" s="105" t="inlineStr">
        <is>
          <t>Produto</t>
        </is>
      </c>
      <c r="D122" s="106" t="inlineStr">
        <is>
          <t>Prancha de natação leve rosa</t>
        </is>
      </c>
      <c r="E122" s="107" t="n">
        <v>100.7</v>
      </c>
      <c r="F122" s="108" t="n">
        <v>50</v>
      </c>
      <c r="G122" s="107">
        <f>ROUND(E122*(1+IF(ABS(F122)&lt;=1,F122,F122/100)),2)</f>
        <v/>
      </c>
      <c r="H122" s="105" t="n">
        <v>15</v>
      </c>
      <c r="I122" s="105" t="n">
        <v>5</v>
      </c>
      <c r="J122" s="105">
        <f>IF(OR(UPPER(C122)="SERVIÇO",UPPER(C122)="SERVICO"),"SERVIÇO",IF(H122&lt;=0,"ZERADO",IF(H122&lt;=I122,"ESTOQUE BAIXO","NORMAL")))</f>
        <v/>
      </c>
      <c r="K122" s="107">
        <f>IF(OR(UPPER(C122)="SERVIÇO",UPPER(C122)="SERVICO"),0,N(H122)*N(E122))</f>
        <v/>
      </c>
      <c r="L122" s="107">
        <f>IF(OR(UPPER(C122)="SERVIÇO",UPPER(C122)="SERVICO"),0,N(H122)*N(G122))</f>
        <v/>
      </c>
      <c r="M122" s="107">
        <f>IF(OR(UPPER(C122)="SERVIÇO",UPPER(C122)="SERVICO"),0,L122-K122)</f>
        <v/>
      </c>
    </row>
    <row r="123" ht="15" customHeight="1">
      <c r="B123" s="105" t="n">
        <v>112</v>
      </c>
      <c r="C123" s="105" t="inlineStr">
        <is>
          <t>Produto</t>
        </is>
      </c>
      <c r="D123" s="106" t="inlineStr">
        <is>
          <t>Kimono de judô adulto laranja tam. 44</t>
        </is>
      </c>
      <c r="E123" s="107" t="n">
        <v>229.26</v>
      </c>
      <c r="F123" s="108" t="n">
        <v>50</v>
      </c>
      <c r="G123" s="107">
        <f>ROUND(E123*(1+IF(ABS(F123)&lt;=1,F123,F123/100)),2)</f>
        <v/>
      </c>
      <c r="H123" s="105" t="n">
        <v>15</v>
      </c>
      <c r="I123" s="105" t="n">
        <v>5</v>
      </c>
      <c r="J123" s="105">
        <f>IF(OR(UPPER(C123)="SERVIÇO",UPPER(C123)="SERVICO"),"SERVIÇO",IF(H123&lt;=0,"ZERADO",IF(H123&lt;=I123,"ESTOQUE BAIXO","NORMAL")))</f>
        <v/>
      </c>
      <c r="K123" s="107">
        <f>IF(OR(UPPER(C123)="SERVIÇO",UPPER(C123)="SERVICO"),0,N(H123)*N(E123))</f>
        <v/>
      </c>
      <c r="L123" s="107">
        <f>IF(OR(UPPER(C123)="SERVIÇO",UPPER(C123)="SERVICO"),0,N(H123)*N(G123))</f>
        <v/>
      </c>
      <c r="M123" s="107">
        <f>IF(OR(UPPER(C123)="SERVIÇO",UPPER(C123)="SERVICO"),0,L123-K123)</f>
        <v/>
      </c>
    </row>
    <row r="124" ht="15" customHeight="1">
      <c r="B124" s="105" t="n">
        <v>113</v>
      </c>
      <c r="C124" s="105" t="inlineStr">
        <is>
          <t>Produto</t>
        </is>
      </c>
      <c r="D124" s="106" t="inlineStr">
        <is>
          <t>Bola de basquete alta performance vermelho</t>
        </is>
      </c>
      <c r="E124" s="107" t="n">
        <v>134.76</v>
      </c>
      <c r="F124" s="108" t="n">
        <v>50</v>
      </c>
      <c r="G124" s="107">
        <f>ROUND(E124*(1+IF(ABS(F124)&lt;=1,F124,F124/100)),2)</f>
        <v/>
      </c>
      <c r="H124" s="105" t="n">
        <v>15</v>
      </c>
      <c r="I124" s="105" t="n">
        <v>5</v>
      </c>
      <c r="J124" s="105">
        <f>IF(OR(UPPER(C124)="SERVIÇO",UPPER(C124)="SERVICO"),"SERVIÇO",IF(H124&lt;=0,"ZERADO",IF(H124&lt;=I124,"ESTOQUE BAIXO","NORMAL")))</f>
        <v/>
      </c>
      <c r="K124" s="107">
        <f>IF(OR(UPPER(C124)="SERVIÇO",UPPER(C124)="SERVICO"),0,N(H124)*N(E124))</f>
        <v/>
      </c>
      <c r="L124" s="107">
        <f>IF(OR(UPPER(C124)="SERVIÇO",UPPER(C124)="SERVICO"),0,N(H124)*N(G124))</f>
        <v/>
      </c>
      <c r="M124" s="107">
        <f>IF(OR(UPPER(C124)="SERVIÇO",UPPER(C124)="SERVICO"),0,L124-K124)</f>
        <v/>
      </c>
    </row>
    <row r="125" ht="15" customHeight="1">
      <c r="B125" s="105" t="n">
        <v>114</v>
      </c>
      <c r="C125" s="105" t="inlineStr">
        <is>
          <t>Produto</t>
        </is>
      </c>
      <c r="D125" s="106" t="inlineStr">
        <is>
          <t>Regata esportiva premium laranja tam. 36</t>
        </is>
      </c>
      <c r="E125" s="107" t="n">
        <v>28.27</v>
      </c>
      <c r="F125" s="108" t="n">
        <v>50</v>
      </c>
      <c r="G125" s="107">
        <f>ROUND(E125*(1+IF(ABS(F125)&lt;=1,F125,F125/100)),2)</f>
        <v/>
      </c>
      <c r="H125" s="105" t="n">
        <v>15</v>
      </c>
      <c r="I125" s="105" t="n">
        <v>5</v>
      </c>
      <c r="J125" s="105">
        <f>IF(OR(UPPER(C125)="SERVIÇO",UPPER(C125)="SERVICO"),"SERVIÇO",IF(H125&lt;=0,"ZERADO",IF(H125&lt;=I125,"ESTOQUE BAIXO","NORMAL")))</f>
        <v/>
      </c>
      <c r="K125" s="107">
        <f>IF(OR(UPPER(C125)="SERVIÇO",UPPER(C125)="SERVICO"),0,N(H125)*N(E125))</f>
        <v/>
      </c>
      <c r="L125" s="107">
        <f>IF(OR(UPPER(C125)="SERVIÇO",UPPER(C125)="SERVICO"),0,N(H125)*N(G125))</f>
        <v/>
      </c>
      <c r="M125" s="107">
        <f>IF(OR(UPPER(C125)="SERVIÇO",UPPER(C125)="SERVICO"),0,L125-K125)</f>
        <v/>
      </c>
    </row>
    <row r="126" ht="15" customHeight="1">
      <c r="B126" s="105" t="n">
        <v>115</v>
      </c>
      <c r="C126" s="105" t="inlineStr">
        <is>
          <t>Produto</t>
        </is>
      </c>
      <c r="D126" s="106" t="inlineStr">
        <is>
          <t>Halter para uso diário cinza</t>
        </is>
      </c>
      <c r="E126" s="107" t="n">
        <v>115.72</v>
      </c>
      <c r="F126" s="108" t="n">
        <v>50</v>
      </c>
      <c r="G126" s="107">
        <f>ROUND(E126*(1+IF(ABS(F126)&lt;=1,F126,F126/100)),2)</f>
        <v/>
      </c>
      <c r="H126" s="105" t="n">
        <v>15</v>
      </c>
      <c r="I126" s="105" t="n">
        <v>5</v>
      </c>
      <c r="J126" s="105">
        <f>IF(OR(UPPER(C126)="SERVIÇO",UPPER(C126)="SERVICO"),"SERVIÇO",IF(H126&lt;=0,"ZERADO",IF(H126&lt;=I126,"ESTOQUE BAIXO","NORMAL")))</f>
        <v/>
      </c>
      <c r="K126" s="107">
        <f>IF(OR(UPPER(C126)="SERVIÇO",UPPER(C126)="SERVICO"),0,N(H126)*N(E126))</f>
        <v/>
      </c>
      <c r="L126" s="107">
        <f>IF(OR(UPPER(C126)="SERVIÇO",UPPER(C126)="SERVICO"),0,N(H126)*N(G126))</f>
        <v/>
      </c>
      <c r="M126" s="107">
        <f>IF(OR(UPPER(C126)="SERVIÇO",UPPER(C126)="SERVICO"),0,L126-K126)</f>
        <v/>
      </c>
    </row>
    <row r="127" ht="15" customHeight="1">
      <c r="B127" s="105" t="n">
        <v>116</v>
      </c>
      <c r="C127" s="105" t="inlineStr">
        <is>
          <t>Produto</t>
        </is>
      </c>
      <c r="D127" s="106" t="inlineStr">
        <is>
          <t>Corda de pular profissional rosa</t>
        </is>
      </c>
      <c r="E127" s="107" t="n">
        <v>10.51</v>
      </c>
      <c r="F127" s="108" t="n">
        <v>50</v>
      </c>
      <c r="G127" s="107">
        <f>ROUND(E127*(1+IF(ABS(F127)&lt;=1,F127,F127/100)),2)</f>
        <v/>
      </c>
      <c r="H127" s="105" t="n">
        <v>15</v>
      </c>
      <c r="I127" s="105" t="n">
        <v>5</v>
      </c>
      <c r="J127" s="105">
        <f>IF(OR(UPPER(C127)="SERVIÇO",UPPER(C127)="SERVICO"),"SERVIÇO",IF(H127&lt;=0,"ZERADO",IF(H127&lt;=I127,"ESTOQUE BAIXO","NORMAL")))</f>
        <v/>
      </c>
      <c r="K127" s="107">
        <f>IF(OR(UPPER(C127)="SERVIÇO",UPPER(C127)="SERVICO"),0,N(H127)*N(E127))</f>
        <v/>
      </c>
      <c r="L127" s="107">
        <f>IF(OR(UPPER(C127)="SERVIÇO",UPPER(C127)="SERVICO"),0,N(H127)*N(G127))</f>
        <v/>
      </c>
      <c r="M127" s="107">
        <f>IF(OR(UPPER(C127)="SERVIÇO",UPPER(C127)="SERVICO"),0,L127-K127)</f>
        <v/>
      </c>
    </row>
    <row r="128" ht="15" customHeight="1">
      <c r="B128" s="105" t="n">
        <v>117</v>
      </c>
      <c r="C128" s="105" t="inlineStr">
        <is>
          <t>Produto</t>
        </is>
      </c>
      <c r="D128" s="106" t="inlineStr">
        <is>
          <t>Caneleira de futebol modelo avançado verde</t>
        </is>
      </c>
      <c r="E128" s="107" t="n">
        <v>62.65</v>
      </c>
      <c r="F128" s="108" t="n">
        <v>50</v>
      </c>
      <c r="G128" s="107">
        <f>ROUND(E128*(1+IF(ABS(F128)&lt;=1,F128,F128/100)),2)</f>
        <v/>
      </c>
      <c r="H128" s="105" t="n">
        <v>15</v>
      </c>
      <c r="I128" s="105" t="n">
        <v>5</v>
      </c>
      <c r="J128" s="105">
        <f>IF(OR(UPPER(C128)="SERVIÇO",UPPER(C128)="SERVICO"),"SERVIÇO",IF(H128&lt;=0,"ZERADO",IF(H128&lt;=I128,"ESTOQUE BAIXO","NORMAL")))</f>
        <v/>
      </c>
      <c r="K128" s="107">
        <f>IF(OR(UPPER(C128)="SERVIÇO",UPPER(C128)="SERVICO"),0,N(H128)*N(E128))</f>
        <v/>
      </c>
      <c r="L128" s="107">
        <f>IF(OR(UPPER(C128)="SERVIÇO",UPPER(C128)="SERVICO"),0,N(H128)*N(G128))</f>
        <v/>
      </c>
      <c r="M128" s="107">
        <f>IF(OR(UPPER(C128)="SERVIÇO",UPPER(C128)="SERVICO"),0,L128-K128)</f>
        <v/>
      </c>
    </row>
    <row r="129" ht="15" customHeight="1">
      <c r="B129" s="105" t="n">
        <v>118</v>
      </c>
      <c r="C129" s="105" t="inlineStr">
        <is>
          <t>Produto</t>
        </is>
      </c>
      <c r="D129" s="106" t="inlineStr">
        <is>
          <t>Banco de musculação adulto verde</t>
        </is>
      </c>
      <c r="E129" s="107" t="n">
        <v>443.09</v>
      </c>
      <c r="F129" s="108" t="n">
        <v>50</v>
      </c>
      <c r="G129" s="107">
        <f>ROUND(E129*(1+IF(ABS(F129)&lt;=1,F129,F129/100)),2)</f>
        <v/>
      </c>
      <c r="H129" s="105" t="n">
        <v>15</v>
      </c>
      <c r="I129" s="105" t="n">
        <v>5</v>
      </c>
      <c r="J129" s="105">
        <f>IF(OR(UPPER(C129)="SERVIÇO",UPPER(C129)="SERVICO"),"SERVIÇO",IF(H129&lt;=0,"ZERADO",IF(H129&lt;=I129,"ESTOQUE BAIXO","NORMAL")))</f>
        <v/>
      </c>
      <c r="K129" s="107">
        <f>IF(OR(UPPER(C129)="SERVIÇO",UPPER(C129)="SERVICO"),0,N(H129)*N(E129))</f>
        <v/>
      </c>
      <c r="L129" s="107">
        <f>IF(OR(UPPER(C129)="SERVIÇO",UPPER(C129)="SERVICO"),0,N(H129)*N(G129))</f>
        <v/>
      </c>
      <c r="M129" s="107">
        <f>IF(OR(UPPER(C129)="SERVIÇO",UPPER(C129)="SERVICO"),0,L129-K129)</f>
        <v/>
      </c>
    </row>
    <row r="130" ht="15" customHeight="1">
      <c r="B130" s="105" t="n">
        <v>119</v>
      </c>
      <c r="C130" s="105" t="inlineStr">
        <is>
          <t>Produto</t>
        </is>
      </c>
      <c r="D130" s="106" t="inlineStr">
        <is>
          <t>Bola de basquete recreativo verde</t>
        </is>
      </c>
      <c r="E130" s="107" t="n">
        <v>50.33</v>
      </c>
      <c r="F130" s="108" t="n">
        <v>50</v>
      </c>
      <c r="G130" s="107">
        <f>ROUND(E130*(1+IF(ABS(F130)&lt;=1,F130,F130/100)),2)</f>
        <v/>
      </c>
      <c r="H130" s="105" t="n">
        <v>15</v>
      </c>
      <c r="I130" s="105" t="n">
        <v>5</v>
      </c>
      <c r="J130" s="105">
        <f>IF(OR(UPPER(C130)="SERVIÇO",UPPER(C130)="SERVICO"),"SERVIÇO",IF(H130&lt;=0,"ZERADO",IF(H130&lt;=I130,"ESTOQUE BAIXO","NORMAL")))</f>
        <v/>
      </c>
      <c r="K130" s="107">
        <f>IF(OR(UPPER(C130)="SERVIÇO",UPPER(C130)="SERVICO"),0,N(H130)*N(E130))</f>
        <v/>
      </c>
      <c r="L130" s="107">
        <f>IF(OR(UPPER(C130)="SERVIÇO",UPPER(C130)="SERVICO"),0,N(H130)*N(G130))</f>
        <v/>
      </c>
      <c r="M130" s="107">
        <f>IF(OR(UPPER(C130)="SERVIÇO",UPPER(C130)="SERVICO"),0,L130-K130)</f>
        <v/>
      </c>
    </row>
    <row r="131" ht="15" customHeight="1">
      <c r="B131" s="105" t="n">
        <v>120</v>
      </c>
      <c r="C131" s="105" t="inlineStr">
        <is>
          <t>Produto</t>
        </is>
      </c>
      <c r="D131" s="106" t="inlineStr">
        <is>
          <t>Prancha de natação unissex verde</t>
        </is>
      </c>
      <c r="E131" s="107" t="n">
        <v>59.8</v>
      </c>
      <c r="F131" s="108" t="n">
        <v>50</v>
      </c>
      <c r="G131" s="107">
        <f>ROUND(E131*(1+IF(ABS(F131)&lt;=1,F131,F131/100)),2)</f>
        <v/>
      </c>
      <c r="H131" s="105" t="n">
        <v>15</v>
      </c>
      <c r="I131" s="105" t="n">
        <v>5</v>
      </c>
      <c r="J131" s="105">
        <f>IF(OR(UPPER(C131)="SERVIÇO",UPPER(C131)="SERVICO"),"SERVIÇO",IF(H131&lt;=0,"ZERADO",IF(H131&lt;=I131,"ESTOQUE BAIXO","NORMAL")))</f>
        <v/>
      </c>
      <c r="K131" s="107">
        <f>IF(OR(UPPER(C131)="SERVIÇO",UPPER(C131)="SERVICO"),0,N(H131)*N(E131))</f>
        <v/>
      </c>
      <c r="L131" s="107">
        <f>IF(OR(UPPER(C131)="SERVIÇO",UPPER(C131)="SERVICO"),0,N(H131)*N(G131))</f>
        <v/>
      </c>
      <c r="M131" s="107">
        <f>IF(OR(UPPER(C131)="SERVIÇO",UPPER(C131)="SERVICO"),0,L131-K131)</f>
        <v/>
      </c>
    </row>
    <row r="132" ht="15" customHeight="1">
      <c r="B132" s="105" t="n">
        <v>121</v>
      </c>
      <c r="C132" s="105" t="inlineStr">
        <is>
          <t>Produto</t>
        </is>
      </c>
      <c r="D132" s="106" t="inlineStr">
        <is>
          <t>Mochila esportiva leve azul</t>
        </is>
      </c>
      <c r="E132" s="107" t="n">
        <v>194.61</v>
      </c>
      <c r="F132" s="108" t="n">
        <v>50</v>
      </c>
      <c r="G132" s="107">
        <f>ROUND(E132*(1+IF(ABS(F132)&lt;=1,F132,F132/100)),2)</f>
        <v/>
      </c>
      <c r="H132" s="105" t="n">
        <v>15</v>
      </c>
      <c r="I132" s="105" t="n">
        <v>5</v>
      </c>
      <c r="J132" s="105">
        <f>IF(OR(UPPER(C132)="SERVIÇO",UPPER(C132)="SERVICO"),"SERVIÇO",IF(H132&lt;=0,"ZERADO",IF(H132&lt;=I132,"ESTOQUE BAIXO","NORMAL")))</f>
        <v/>
      </c>
      <c r="K132" s="107">
        <f>IF(OR(UPPER(C132)="SERVIÇO",UPPER(C132)="SERVICO"),0,N(H132)*N(E132))</f>
        <v/>
      </c>
      <c r="L132" s="107">
        <f>IF(OR(UPPER(C132)="SERVIÇO",UPPER(C132)="SERVICO"),0,N(H132)*N(G132))</f>
        <v/>
      </c>
      <c r="M132" s="107">
        <f>IF(OR(UPPER(C132)="SERVIÇO",UPPER(C132)="SERVICO"),0,L132-K132)</f>
        <v/>
      </c>
    </row>
    <row r="133" ht="15" customHeight="1">
      <c r="B133" s="105" t="n">
        <v>122</v>
      </c>
      <c r="C133" s="105" t="inlineStr">
        <is>
          <t>Produto</t>
        </is>
      </c>
      <c r="D133" s="106" t="inlineStr">
        <is>
          <t>Camiseta esportiva treino preto tam. 34</t>
        </is>
      </c>
      <c r="E133" s="107" t="n">
        <v>76.67</v>
      </c>
      <c r="F133" s="108" t="n">
        <v>50</v>
      </c>
      <c r="G133" s="107">
        <f>ROUND(E133*(1+IF(ABS(F133)&lt;=1,F133,F133/100)),2)</f>
        <v/>
      </c>
      <c r="H133" s="105" t="n">
        <v>15</v>
      </c>
      <c r="I133" s="105" t="n">
        <v>5</v>
      </c>
      <c r="J133" s="105">
        <f>IF(OR(UPPER(C133)="SERVIÇO",UPPER(C133)="SERVICO"),"SERVIÇO",IF(H133&lt;=0,"ZERADO",IF(H133&lt;=I133,"ESTOQUE BAIXO","NORMAL")))</f>
        <v/>
      </c>
      <c r="K133" s="107">
        <f>IF(OR(UPPER(C133)="SERVIÇO",UPPER(C133)="SERVICO"),0,N(H133)*N(E133))</f>
        <v/>
      </c>
      <c r="L133" s="107">
        <f>IF(OR(UPPER(C133)="SERVIÇO",UPPER(C133)="SERVICO"),0,N(H133)*N(G133))</f>
        <v/>
      </c>
      <c r="M133" s="107">
        <f>IF(OR(UPPER(C133)="SERVIÇO",UPPER(C133)="SERVICO"),0,L133-K133)</f>
        <v/>
      </c>
    </row>
    <row r="134" ht="15" customHeight="1">
      <c r="B134" s="105" t="n">
        <v>123</v>
      </c>
      <c r="C134" s="105" t="inlineStr">
        <is>
          <t>Produto</t>
        </is>
      </c>
      <c r="D134" s="106" t="inlineStr">
        <is>
          <t>Bloco para yoga reforçado azul</t>
        </is>
      </c>
      <c r="E134" s="107" t="n">
        <v>32.03</v>
      </c>
      <c r="F134" s="108" t="n">
        <v>50</v>
      </c>
      <c r="G134" s="107">
        <f>ROUND(E134*(1+IF(ABS(F134)&lt;=1,F134,F134/100)),2)</f>
        <v/>
      </c>
      <c r="H134" s="105" t="n">
        <v>15</v>
      </c>
      <c r="I134" s="105" t="n">
        <v>5</v>
      </c>
      <c r="J134" s="105">
        <f>IF(OR(UPPER(C134)="SERVIÇO",UPPER(C134)="SERVICO"),"SERVIÇO",IF(H134&lt;=0,"ZERADO",IF(H134&lt;=I134,"ESTOQUE BAIXO","NORMAL")))</f>
        <v/>
      </c>
      <c r="K134" s="107">
        <f>IF(OR(UPPER(C134)="SERVIÇO",UPPER(C134)="SERVICO"),0,N(H134)*N(E134))</f>
        <v/>
      </c>
      <c r="L134" s="107">
        <f>IF(OR(UPPER(C134)="SERVIÇO",UPPER(C134)="SERVICO"),0,N(H134)*N(G134))</f>
        <v/>
      </c>
      <c r="M134" s="107">
        <f>IF(OR(UPPER(C134)="SERVIÇO",UPPER(C134)="SERVICO"),0,L134-K134)</f>
        <v/>
      </c>
    </row>
    <row r="135" ht="15" customHeight="1">
      <c r="B135" s="105" t="n">
        <v>124</v>
      </c>
      <c r="C135" s="105" t="inlineStr">
        <is>
          <t>Produto</t>
        </is>
      </c>
      <c r="D135" s="106" t="inlineStr">
        <is>
          <t>Touca de natação treino cinza tam. 44</t>
        </is>
      </c>
      <c r="E135" s="107" t="n">
        <v>50.02</v>
      </c>
      <c r="F135" s="108" t="n">
        <v>50</v>
      </c>
      <c r="G135" s="107">
        <f>ROUND(E135*(1+IF(ABS(F135)&lt;=1,F135,F135/100)),2)</f>
        <v/>
      </c>
      <c r="H135" s="105" t="n">
        <v>15</v>
      </c>
      <c r="I135" s="105" t="n">
        <v>5</v>
      </c>
      <c r="J135" s="105">
        <f>IF(OR(UPPER(C135)="SERVIÇO",UPPER(C135)="SERVICO"),"SERVIÇO",IF(H135&lt;=0,"ZERADO",IF(H135&lt;=I135,"ESTOQUE BAIXO","NORMAL")))</f>
        <v/>
      </c>
      <c r="K135" s="107">
        <f>IF(OR(UPPER(C135)="SERVIÇO",UPPER(C135)="SERVICO"),0,N(H135)*N(E135))</f>
        <v/>
      </c>
      <c r="L135" s="107">
        <f>IF(OR(UPPER(C135)="SERVIÇO",UPPER(C135)="SERVICO"),0,N(H135)*N(G135))</f>
        <v/>
      </c>
      <c r="M135" s="107">
        <f>IF(OR(UPPER(C135)="SERVIÇO",UPPER(C135)="SERVICO"),0,L135-K135)</f>
        <v/>
      </c>
    </row>
    <row r="136" ht="15" customHeight="1">
      <c r="B136" s="105" t="n">
        <v>125</v>
      </c>
      <c r="C136" s="105" t="inlineStr">
        <is>
          <t>Produto</t>
        </is>
      </c>
      <c r="D136" s="106" t="inlineStr">
        <is>
          <t>Protetor bucal modelo avançado laranja</t>
        </is>
      </c>
      <c r="E136" s="107" t="n">
        <v>42.68</v>
      </c>
      <c r="F136" s="108" t="n">
        <v>50</v>
      </c>
      <c r="G136" s="107">
        <f>ROUND(E136*(1+IF(ABS(F136)&lt;=1,F136,F136/100)),2)</f>
        <v/>
      </c>
      <c r="H136" s="105" t="n">
        <v>15</v>
      </c>
      <c r="I136" s="105" t="n">
        <v>5</v>
      </c>
      <c r="J136" s="105">
        <f>IF(OR(UPPER(C136)="SERVIÇO",UPPER(C136)="SERVICO"),"SERVIÇO",IF(H136&lt;=0,"ZERADO",IF(H136&lt;=I136,"ESTOQUE BAIXO","NORMAL")))</f>
        <v/>
      </c>
      <c r="K136" s="107">
        <f>IF(OR(UPPER(C136)="SERVIÇO",UPPER(C136)="SERVICO"),0,N(H136)*N(E136))</f>
        <v/>
      </c>
      <c r="L136" s="107">
        <f>IF(OR(UPPER(C136)="SERVIÇO",UPPER(C136)="SERVICO"),0,N(H136)*N(G136))</f>
        <v/>
      </c>
      <c r="M136" s="107">
        <f>IF(OR(UPPER(C136)="SERVIÇO",UPPER(C136)="SERVICO"),0,L136-K136)</f>
        <v/>
      </c>
    </row>
    <row r="137" ht="15" customHeight="1">
      <c r="B137" s="105" t="n">
        <v>126</v>
      </c>
      <c r="C137" s="105" t="inlineStr">
        <is>
          <t>Produto</t>
        </is>
      </c>
      <c r="D137" s="106" t="inlineStr">
        <is>
          <t>Raquete de beach tennis modelo básico preto</t>
        </is>
      </c>
      <c r="E137" s="107" t="n">
        <v>674.34</v>
      </c>
      <c r="F137" s="108" t="n">
        <v>50</v>
      </c>
      <c r="G137" s="107">
        <f>ROUND(E137*(1+IF(ABS(F137)&lt;=1,F137,F137/100)),2)</f>
        <v/>
      </c>
      <c r="H137" s="105" t="n">
        <v>15</v>
      </c>
      <c r="I137" s="105" t="n">
        <v>5</v>
      </c>
      <c r="J137" s="105">
        <f>IF(OR(UPPER(C137)="SERVIÇO",UPPER(C137)="SERVICO"),"SERVIÇO",IF(H137&lt;=0,"ZERADO",IF(H137&lt;=I137,"ESTOQUE BAIXO","NORMAL")))</f>
        <v/>
      </c>
      <c r="K137" s="107">
        <f>IF(OR(UPPER(C137)="SERVIÇO",UPPER(C137)="SERVICO"),0,N(H137)*N(E137))</f>
        <v/>
      </c>
      <c r="L137" s="107">
        <f>IF(OR(UPPER(C137)="SERVIÇO",UPPER(C137)="SERVICO"),0,N(H137)*N(G137))</f>
        <v/>
      </c>
      <c r="M137" s="107">
        <f>IF(OR(UPPER(C137)="SERVIÇO",UPPER(C137)="SERVICO"),0,L137-K137)</f>
        <v/>
      </c>
    </row>
    <row r="138" ht="15" customHeight="1">
      <c r="B138" s="105" t="n">
        <v>127</v>
      </c>
      <c r="C138" s="105" t="inlineStr">
        <is>
          <t>Produto</t>
        </is>
      </c>
      <c r="D138" s="106" t="inlineStr">
        <is>
          <t>Óculos esportivos alta performance branco</t>
        </is>
      </c>
      <c r="E138" s="107" t="n">
        <v>275.63</v>
      </c>
      <c r="F138" s="108" t="n">
        <v>50</v>
      </c>
      <c r="G138" s="107">
        <f>ROUND(E138*(1+IF(ABS(F138)&lt;=1,F138,F138/100)),2)</f>
        <v/>
      </c>
      <c r="H138" s="105" t="n">
        <v>15</v>
      </c>
      <c r="I138" s="105" t="n">
        <v>5</v>
      </c>
      <c r="J138" s="105">
        <f>IF(OR(UPPER(C138)="SERVIÇO",UPPER(C138)="SERVICO"),"SERVIÇO",IF(H138&lt;=0,"ZERADO",IF(H138&lt;=I138,"ESTOQUE BAIXO","NORMAL")))</f>
        <v/>
      </c>
      <c r="K138" s="107">
        <f>IF(OR(UPPER(C138)="SERVIÇO",UPPER(C138)="SERVICO"),0,N(H138)*N(E138))</f>
        <v/>
      </c>
      <c r="L138" s="107">
        <f>IF(OR(UPPER(C138)="SERVIÇO",UPPER(C138)="SERVICO"),0,N(H138)*N(G138))</f>
        <v/>
      </c>
      <c r="M138" s="107">
        <f>IF(OR(UPPER(C138)="SERVIÇO",UPPER(C138)="SERVICO"),0,L138-K138)</f>
        <v/>
      </c>
    </row>
    <row r="139" ht="15" customHeight="1">
      <c r="B139" s="105" t="n">
        <v>128</v>
      </c>
      <c r="C139" s="105" t="inlineStr">
        <is>
          <t>Produto</t>
        </is>
      </c>
      <c r="D139" s="106" t="inlineStr">
        <is>
          <t>Capacete de ciclismo alta performance vermelho</t>
        </is>
      </c>
      <c r="E139" s="107" t="n">
        <v>276.88</v>
      </c>
      <c r="F139" s="108" t="n">
        <v>50</v>
      </c>
      <c r="G139" s="107">
        <f>ROUND(E139*(1+IF(ABS(F139)&lt;=1,F139,F139/100)),2)</f>
        <v/>
      </c>
      <c r="H139" s="105" t="n">
        <v>15</v>
      </c>
      <c r="I139" s="105" t="n">
        <v>5</v>
      </c>
      <c r="J139" s="105">
        <f>IF(OR(UPPER(C139)="SERVIÇO",UPPER(C139)="SERVICO"),"SERVIÇO",IF(H139&lt;=0,"ZERADO",IF(H139&lt;=I139,"ESTOQUE BAIXO","NORMAL")))</f>
        <v/>
      </c>
      <c r="K139" s="107">
        <f>IF(OR(UPPER(C139)="SERVIÇO",UPPER(C139)="SERVICO"),0,N(H139)*N(E139))</f>
        <v/>
      </c>
      <c r="L139" s="107">
        <f>IF(OR(UPPER(C139)="SERVIÇO",UPPER(C139)="SERVICO"),0,N(H139)*N(G139))</f>
        <v/>
      </c>
      <c r="M139" s="107">
        <f>IF(OR(UPPER(C139)="SERVIÇO",UPPER(C139)="SERVICO"),0,L139-K139)</f>
        <v/>
      </c>
    </row>
    <row r="140" ht="15" customHeight="1">
      <c r="B140" s="105" t="n">
        <v>129</v>
      </c>
      <c r="C140" s="105" t="inlineStr">
        <is>
          <t>Produto</t>
        </is>
      </c>
      <c r="D140" s="106" t="inlineStr">
        <is>
          <t>Óculos de natação versão 2026 rosa</t>
        </is>
      </c>
      <c r="E140" s="107" t="n">
        <v>76.09</v>
      </c>
      <c r="F140" s="108" t="n">
        <v>50</v>
      </c>
      <c r="G140" s="107">
        <f>ROUND(E140*(1+IF(ABS(F140)&lt;=1,F140,F140/100)),2)</f>
        <v/>
      </c>
      <c r="H140" s="105" t="n">
        <v>15</v>
      </c>
      <c r="I140" s="105" t="n">
        <v>5</v>
      </c>
      <c r="J140" s="105">
        <f>IF(OR(UPPER(C140)="SERVIÇO",UPPER(C140)="SERVICO"),"SERVIÇO",IF(H140&lt;=0,"ZERADO",IF(H140&lt;=I140,"ESTOQUE BAIXO","NORMAL")))</f>
        <v/>
      </c>
      <c r="K140" s="107">
        <f>IF(OR(UPPER(C140)="SERVIÇO",UPPER(C140)="SERVICO"),0,N(H140)*N(E140))</f>
        <v/>
      </c>
      <c r="L140" s="107">
        <f>IF(OR(UPPER(C140)="SERVIÇO",UPPER(C140)="SERVICO"),0,N(H140)*N(G140))</f>
        <v/>
      </c>
      <c r="M140" s="107">
        <f>IF(OR(UPPER(C140)="SERVIÇO",UPPER(C140)="SERVICO"),0,L140-K140)</f>
        <v/>
      </c>
    </row>
    <row r="141" ht="15" customHeight="1">
      <c r="B141" s="105" t="n">
        <v>130</v>
      </c>
      <c r="C141" s="105" t="inlineStr">
        <is>
          <t>Produto</t>
        </is>
      </c>
      <c r="D141" s="106" t="inlineStr">
        <is>
          <t>Bastão de caminhada premium branco</t>
        </is>
      </c>
      <c r="E141" s="107" t="n">
        <v>157.7</v>
      </c>
      <c r="F141" s="108" t="n">
        <v>50</v>
      </c>
      <c r="G141" s="107">
        <f>ROUND(E141*(1+IF(ABS(F141)&lt;=1,F141,F141/100)),2)</f>
        <v/>
      </c>
      <c r="H141" s="105" t="n">
        <v>15</v>
      </c>
      <c r="I141" s="105" t="n">
        <v>5</v>
      </c>
      <c r="J141" s="105">
        <f>IF(OR(UPPER(C141)="SERVIÇO",UPPER(C141)="SERVICO"),"SERVIÇO",IF(H141&lt;=0,"ZERADO",IF(H141&lt;=I141,"ESTOQUE BAIXO","NORMAL")))</f>
        <v/>
      </c>
      <c r="K141" s="107">
        <f>IF(OR(UPPER(C141)="SERVIÇO",UPPER(C141)="SERVICO"),0,N(H141)*N(E141))</f>
        <v/>
      </c>
      <c r="L141" s="107">
        <f>IF(OR(UPPER(C141)="SERVIÇO",UPPER(C141)="SERVICO"),0,N(H141)*N(G141))</f>
        <v/>
      </c>
      <c r="M141" s="107">
        <f>IF(OR(UPPER(C141)="SERVIÇO",UPPER(C141)="SERVICO"),0,L141-K141)</f>
        <v/>
      </c>
    </row>
    <row r="142" ht="15" customHeight="1">
      <c r="B142" s="105" t="n">
        <v>131</v>
      </c>
      <c r="C142" s="105" t="inlineStr">
        <is>
          <t>Produto</t>
        </is>
      </c>
      <c r="D142" s="106" t="inlineStr">
        <is>
          <t>Raquete de badminton com ajuste verde</t>
        </is>
      </c>
      <c r="E142" s="107" t="n">
        <v>187.54</v>
      </c>
      <c r="F142" s="108" t="n">
        <v>50</v>
      </c>
      <c r="G142" s="107">
        <f>ROUND(E142*(1+IF(ABS(F142)&lt;=1,F142,F142/100)),2)</f>
        <v/>
      </c>
      <c r="H142" s="105" t="n">
        <v>15</v>
      </c>
      <c r="I142" s="105" t="n">
        <v>5</v>
      </c>
      <c r="J142" s="105">
        <f>IF(OR(UPPER(C142)="SERVIÇO",UPPER(C142)="SERVICO"),"SERVIÇO",IF(H142&lt;=0,"ZERADO",IF(H142&lt;=I142,"ESTOQUE BAIXO","NORMAL")))</f>
        <v/>
      </c>
      <c r="K142" s="107">
        <f>IF(OR(UPPER(C142)="SERVIÇO",UPPER(C142)="SERVICO"),0,N(H142)*N(E142))</f>
        <v/>
      </c>
      <c r="L142" s="107">
        <f>IF(OR(UPPER(C142)="SERVIÇO",UPPER(C142)="SERVICO"),0,N(H142)*N(G142))</f>
        <v/>
      </c>
      <c r="M142" s="107">
        <f>IF(OR(UPPER(C142)="SERVIÇO",UPPER(C142)="SERVICO"),0,L142-K142)</f>
        <v/>
      </c>
    </row>
    <row r="143" ht="15" customHeight="1">
      <c r="B143" s="105" t="n">
        <v>132</v>
      </c>
      <c r="C143" s="105" t="inlineStr">
        <is>
          <t>Produto</t>
        </is>
      </c>
      <c r="D143" s="106" t="inlineStr">
        <is>
          <t>Protetor bucal para uso diário branco</t>
        </is>
      </c>
      <c r="E143" s="107" t="n">
        <v>10.4</v>
      </c>
      <c r="F143" s="108" t="n">
        <v>50</v>
      </c>
      <c r="G143" s="107">
        <f>ROUND(E143*(1+IF(ABS(F143)&lt;=1,F143,F143/100)),2)</f>
        <v/>
      </c>
      <c r="H143" s="105" t="n">
        <v>15</v>
      </c>
      <c r="I143" s="105" t="n">
        <v>5</v>
      </c>
      <c r="J143" s="105">
        <f>IF(OR(UPPER(C143)="SERVIÇO",UPPER(C143)="SERVICO"),"SERVIÇO",IF(H143&lt;=0,"ZERADO",IF(H143&lt;=I143,"ESTOQUE BAIXO","NORMAL")))</f>
        <v/>
      </c>
      <c r="K143" s="107">
        <f>IF(OR(UPPER(C143)="SERVIÇO",UPPER(C143)="SERVICO"),0,N(H143)*N(E143))</f>
        <v/>
      </c>
      <c r="L143" s="107">
        <f>IF(OR(UPPER(C143)="SERVIÇO",UPPER(C143)="SERVICO"),0,N(H143)*N(G143))</f>
        <v/>
      </c>
      <c r="M143" s="107">
        <f>IF(OR(UPPER(C143)="SERVIÇO",UPPER(C143)="SERVICO"),0,L143-K143)</f>
        <v/>
      </c>
    </row>
    <row r="144" ht="15" customHeight="1">
      <c r="B144" s="105" t="n">
        <v>133</v>
      </c>
      <c r="C144" s="105" t="inlineStr">
        <is>
          <t>Produto</t>
        </is>
      </c>
      <c r="D144" s="106" t="inlineStr">
        <is>
          <t>Halter ergonômico verde</t>
        </is>
      </c>
      <c r="E144" s="107" t="n">
        <v>60.91</v>
      </c>
      <c r="F144" s="108" t="n">
        <v>50</v>
      </c>
      <c r="G144" s="107">
        <f>ROUND(E144*(1+IF(ABS(F144)&lt;=1,F144,F144/100)),2)</f>
        <v/>
      </c>
      <c r="H144" s="105" t="n">
        <v>15</v>
      </c>
      <c r="I144" s="105" t="n">
        <v>5</v>
      </c>
      <c r="J144" s="105">
        <f>IF(OR(UPPER(C144)="SERVIÇO",UPPER(C144)="SERVICO"),"SERVIÇO",IF(H144&lt;=0,"ZERADO",IF(H144&lt;=I144,"ESTOQUE BAIXO","NORMAL")))</f>
        <v/>
      </c>
      <c r="K144" s="107">
        <f>IF(OR(UPPER(C144)="SERVIÇO",UPPER(C144)="SERVICO"),0,N(H144)*N(E144))</f>
        <v/>
      </c>
      <c r="L144" s="107">
        <f>IF(OR(UPPER(C144)="SERVIÇO",UPPER(C144)="SERVICO"),0,N(H144)*N(G144))</f>
        <v/>
      </c>
      <c r="M144" s="107">
        <f>IF(OR(UPPER(C144)="SERVIÇO",UPPER(C144)="SERVICO"),0,L144-K144)</f>
        <v/>
      </c>
    </row>
    <row r="145" ht="15" customHeight="1">
      <c r="B145" s="105" t="n">
        <v>134</v>
      </c>
      <c r="C145" s="105" t="inlineStr">
        <is>
          <t>Produto</t>
        </is>
      </c>
      <c r="D145" s="106" t="inlineStr">
        <is>
          <t>Mochila esportiva premium cinza</t>
        </is>
      </c>
      <c r="E145" s="107" t="n">
        <v>149.32</v>
      </c>
      <c r="F145" s="108" t="n">
        <v>50</v>
      </c>
      <c r="G145" s="107">
        <f>ROUND(E145*(1+IF(ABS(F145)&lt;=1,F145,F145/100)),2)</f>
        <v/>
      </c>
      <c r="H145" s="105" t="n">
        <v>15</v>
      </c>
      <c r="I145" s="105" t="n">
        <v>5</v>
      </c>
      <c r="J145" s="105">
        <f>IF(OR(UPPER(C145)="SERVIÇO",UPPER(C145)="SERVICO"),"SERVIÇO",IF(H145&lt;=0,"ZERADO",IF(H145&lt;=I145,"ESTOQUE BAIXO","NORMAL")))</f>
        <v/>
      </c>
      <c r="K145" s="107">
        <f>IF(OR(UPPER(C145)="SERVIÇO",UPPER(C145)="SERVICO"),0,N(H145)*N(E145))</f>
        <v/>
      </c>
      <c r="L145" s="107">
        <f>IF(OR(UPPER(C145)="SERVIÇO",UPPER(C145)="SERVICO"),0,N(H145)*N(G145))</f>
        <v/>
      </c>
      <c r="M145" s="107">
        <f>IF(OR(UPPER(C145)="SERVIÇO",UPPER(C145)="SERVICO"),0,L145-K145)</f>
        <v/>
      </c>
    </row>
    <row r="146" ht="15" customHeight="1">
      <c r="B146" s="105" t="n">
        <v>135</v>
      </c>
      <c r="C146" s="105" t="inlineStr">
        <is>
          <t>Produto</t>
        </is>
      </c>
      <c r="D146" s="106" t="inlineStr">
        <is>
          <t>Monitor cardíaco profissional verde</t>
        </is>
      </c>
      <c r="E146" s="107" t="n">
        <v>447.1</v>
      </c>
      <c r="F146" s="108" t="n">
        <v>50</v>
      </c>
      <c r="G146" s="107">
        <f>ROUND(E146*(1+IF(ABS(F146)&lt;=1,F146,F146/100)),2)</f>
        <v/>
      </c>
      <c r="H146" s="105" t="n">
        <v>15</v>
      </c>
      <c r="I146" s="105" t="n">
        <v>5</v>
      </c>
      <c r="J146" s="105">
        <f>IF(OR(UPPER(C146)="SERVIÇO",UPPER(C146)="SERVICO"),"SERVIÇO",IF(H146&lt;=0,"ZERADO",IF(H146&lt;=I146,"ESTOQUE BAIXO","NORMAL")))</f>
        <v/>
      </c>
      <c r="K146" s="107">
        <f>IF(OR(UPPER(C146)="SERVIÇO",UPPER(C146)="SERVICO"),0,N(H146)*N(E146))</f>
        <v/>
      </c>
      <c r="L146" s="107">
        <f>IF(OR(UPPER(C146)="SERVIÇO",UPPER(C146)="SERVICO"),0,N(H146)*N(G146))</f>
        <v/>
      </c>
      <c r="M146" s="107">
        <f>IF(OR(UPPER(C146)="SERVIÇO",UPPER(C146)="SERVICO"),0,L146-K146)</f>
        <v/>
      </c>
    </row>
    <row r="147" ht="15" customHeight="1">
      <c r="B147" s="105" t="n">
        <v>136</v>
      </c>
      <c r="C147" s="105" t="inlineStr">
        <is>
          <t>Produto</t>
        </is>
      </c>
      <c r="D147" s="106" t="inlineStr">
        <is>
          <t>Óculos esportivos compacto rosa</t>
        </is>
      </c>
      <c r="E147" s="107" t="n">
        <v>279.72</v>
      </c>
      <c r="F147" s="108" t="n">
        <v>50</v>
      </c>
      <c r="G147" s="107">
        <f>ROUND(E147*(1+IF(ABS(F147)&lt;=1,F147,F147/100)),2)</f>
        <v/>
      </c>
      <c r="H147" s="105" t="n">
        <v>15</v>
      </c>
      <c r="I147" s="105" t="n">
        <v>5</v>
      </c>
      <c r="J147" s="105">
        <f>IF(OR(UPPER(C147)="SERVIÇO",UPPER(C147)="SERVICO"),"SERVIÇO",IF(H147&lt;=0,"ZERADO",IF(H147&lt;=I147,"ESTOQUE BAIXO","NORMAL")))</f>
        <v/>
      </c>
      <c r="K147" s="107">
        <f>IF(OR(UPPER(C147)="SERVIÇO",UPPER(C147)="SERVICO"),0,N(H147)*N(E147))</f>
        <v/>
      </c>
      <c r="L147" s="107">
        <f>IF(OR(UPPER(C147)="SERVIÇO",UPPER(C147)="SERVICO"),0,N(H147)*N(G147))</f>
        <v/>
      </c>
      <c r="M147" s="107">
        <f>IF(OR(UPPER(C147)="SERVIÇO",UPPER(C147)="SERVICO"),0,L147-K147)</f>
        <v/>
      </c>
    </row>
    <row r="148" ht="15" customHeight="1">
      <c r="B148" s="105" t="n">
        <v>137</v>
      </c>
      <c r="C148" s="105" t="inlineStr">
        <is>
          <t>Produto</t>
        </is>
      </c>
      <c r="D148" s="106" t="inlineStr">
        <is>
          <t>Óculos esportivos adulto azul</t>
        </is>
      </c>
      <c r="E148" s="107" t="n">
        <v>140.46</v>
      </c>
      <c r="F148" s="108" t="n">
        <v>50</v>
      </c>
      <c r="G148" s="107">
        <f>ROUND(E148*(1+IF(ABS(F148)&lt;=1,F148,F148/100)),2)</f>
        <v/>
      </c>
      <c r="H148" s="105" t="n">
        <v>15</v>
      </c>
      <c r="I148" s="105" t="n">
        <v>5</v>
      </c>
      <c r="J148" s="105">
        <f>IF(OR(UPPER(C148)="SERVIÇO",UPPER(C148)="SERVICO"),"SERVIÇO",IF(H148&lt;=0,"ZERADO",IF(H148&lt;=I148,"ESTOQUE BAIXO","NORMAL")))</f>
        <v/>
      </c>
      <c r="K148" s="107">
        <f>IF(OR(UPPER(C148)="SERVIÇO",UPPER(C148)="SERVICO"),0,N(H148)*N(E148))</f>
        <v/>
      </c>
      <c r="L148" s="107">
        <f>IF(OR(UPPER(C148)="SERVIÇO",UPPER(C148)="SERVICO"),0,N(H148)*N(G148))</f>
        <v/>
      </c>
      <c r="M148" s="107">
        <f>IF(OR(UPPER(C148)="SERVIÇO",UPPER(C148)="SERVICO"),0,L148-K148)</f>
        <v/>
      </c>
    </row>
    <row r="149" ht="15" customHeight="1">
      <c r="B149" s="105" t="n">
        <v>138</v>
      </c>
      <c r="C149" s="105" t="inlineStr">
        <is>
          <t>Produto</t>
        </is>
      </c>
      <c r="D149" s="106" t="inlineStr">
        <is>
          <t>Elástico de resistência iniciante branco</t>
        </is>
      </c>
      <c r="E149" s="107" t="n">
        <v>32.44</v>
      </c>
      <c r="F149" s="108" t="n">
        <v>50</v>
      </c>
      <c r="G149" s="107">
        <f>ROUND(E149*(1+IF(ABS(F149)&lt;=1,F149,F149/100)),2)</f>
        <v/>
      </c>
      <c r="H149" s="105" t="n">
        <v>15</v>
      </c>
      <c r="I149" s="105" t="n">
        <v>5</v>
      </c>
      <c r="J149" s="105">
        <f>IF(OR(UPPER(C149)="SERVIÇO",UPPER(C149)="SERVICO"),"SERVIÇO",IF(H149&lt;=0,"ZERADO",IF(H149&lt;=I149,"ESTOQUE BAIXO","NORMAL")))</f>
        <v/>
      </c>
      <c r="K149" s="107">
        <f>IF(OR(UPPER(C149)="SERVIÇO",UPPER(C149)="SERVICO"),0,N(H149)*N(E149))</f>
        <v/>
      </c>
      <c r="L149" s="107">
        <f>IF(OR(UPPER(C149)="SERVIÇO",UPPER(C149)="SERVICO"),0,N(H149)*N(G149))</f>
        <v/>
      </c>
      <c r="M149" s="107">
        <f>IF(OR(UPPER(C149)="SERVIÇO",UPPER(C149)="SERVICO"),0,L149-K149)</f>
        <v/>
      </c>
    </row>
    <row r="150" ht="15" customHeight="1">
      <c r="B150" s="105" t="n">
        <v>139</v>
      </c>
      <c r="C150" s="105" t="inlineStr">
        <is>
          <t>Produto</t>
        </is>
      </c>
      <c r="D150" s="106" t="inlineStr">
        <is>
          <t>Monitor cardíaco alta performance branco</t>
        </is>
      </c>
      <c r="E150" s="107" t="n">
        <v>246.03</v>
      </c>
      <c r="F150" s="108" t="n">
        <v>50</v>
      </c>
      <c r="G150" s="107">
        <f>ROUND(E150*(1+IF(ABS(F150)&lt;=1,F150,F150/100)),2)</f>
        <v/>
      </c>
      <c r="H150" s="105" t="n">
        <v>15</v>
      </c>
      <c r="I150" s="105" t="n">
        <v>5</v>
      </c>
      <c r="J150" s="105">
        <f>IF(OR(UPPER(C150)="SERVIÇO",UPPER(C150)="SERVICO"),"SERVIÇO",IF(H150&lt;=0,"ZERADO",IF(H150&lt;=I150,"ESTOQUE BAIXO","NORMAL")))</f>
        <v/>
      </c>
      <c r="K150" s="107">
        <f>IF(OR(UPPER(C150)="SERVIÇO",UPPER(C150)="SERVICO"),0,N(H150)*N(E150))</f>
        <v/>
      </c>
      <c r="L150" s="107">
        <f>IF(OR(UPPER(C150)="SERVIÇO",UPPER(C150)="SERVICO"),0,N(H150)*N(G150))</f>
        <v/>
      </c>
      <c r="M150" s="107">
        <f>IF(OR(UPPER(C150)="SERVIÇO",UPPER(C150)="SERVICO"),0,L150-K150)</f>
        <v/>
      </c>
    </row>
    <row r="151" ht="15" customHeight="1">
      <c r="B151" s="105" t="n">
        <v>140</v>
      </c>
      <c r="C151" s="105" t="inlineStr">
        <is>
          <t>Produto</t>
        </is>
      </c>
      <c r="D151" s="106" t="inlineStr">
        <is>
          <t>Capacete de ciclismo iniciante cinza</t>
        </is>
      </c>
      <c r="E151" s="107" t="n">
        <v>119.87</v>
      </c>
      <c r="F151" s="108" t="n">
        <v>50</v>
      </c>
      <c r="G151" s="107">
        <f>ROUND(E151*(1+IF(ABS(F151)&lt;=1,F151,F151/100)),2)</f>
        <v/>
      </c>
      <c r="H151" s="105" t="n">
        <v>15</v>
      </c>
      <c r="I151" s="105" t="n">
        <v>5</v>
      </c>
      <c r="J151" s="105">
        <f>IF(OR(UPPER(C151)="SERVIÇO",UPPER(C151)="SERVICO"),"SERVIÇO",IF(H151&lt;=0,"ZERADO",IF(H151&lt;=I151,"ESTOQUE BAIXO","NORMAL")))</f>
        <v/>
      </c>
      <c r="K151" s="107">
        <f>IF(OR(UPPER(C151)="SERVIÇO",UPPER(C151)="SERVICO"),0,N(H151)*N(E151))</f>
        <v/>
      </c>
      <c r="L151" s="107">
        <f>IF(OR(UPPER(C151)="SERVIÇO",UPPER(C151)="SERVICO"),0,N(H151)*N(G151))</f>
        <v/>
      </c>
      <c r="M151" s="107">
        <f>IF(OR(UPPER(C151)="SERVIÇO",UPPER(C151)="SERVICO"),0,L151-K151)</f>
        <v/>
      </c>
    </row>
    <row r="152" ht="15" customHeight="1">
      <c r="B152" s="105" t="n">
        <v>141</v>
      </c>
      <c r="C152" s="105" t="inlineStr">
        <is>
          <t>Produto</t>
        </is>
      </c>
      <c r="D152" s="106" t="inlineStr">
        <is>
          <t>Bastão de caminhada modelo básico azul</t>
        </is>
      </c>
      <c r="E152" s="107" t="n">
        <v>141.37</v>
      </c>
      <c r="F152" s="108" t="n">
        <v>50</v>
      </c>
      <c r="G152" s="107">
        <f>ROUND(E152*(1+IF(ABS(F152)&lt;=1,F152,F152/100)),2)</f>
        <v/>
      </c>
      <c r="H152" s="105" t="n">
        <v>15</v>
      </c>
      <c r="I152" s="105" t="n">
        <v>5</v>
      </c>
      <c r="J152" s="105">
        <f>IF(OR(UPPER(C152)="SERVIÇO",UPPER(C152)="SERVICO"),"SERVIÇO",IF(H152&lt;=0,"ZERADO",IF(H152&lt;=I152,"ESTOQUE BAIXO","NORMAL")))</f>
        <v/>
      </c>
      <c r="K152" s="107">
        <f>IF(OR(UPPER(C152)="SERVIÇO",UPPER(C152)="SERVICO"),0,N(H152)*N(E152))</f>
        <v/>
      </c>
      <c r="L152" s="107">
        <f>IF(OR(UPPER(C152)="SERVIÇO",UPPER(C152)="SERVICO"),0,N(H152)*N(G152))</f>
        <v/>
      </c>
      <c r="M152" s="107">
        <f>IF(OR(UPPER(C152)="SERVIÇO",UPPER(C152)="SERVICO"),0,L152-K152)</f>
        <v/>
      </c>
    </row>
    <row r="153" ht="15" customHeight="1">
      <c r="B153" s="105" t="n">
        <v>142</v>
      </c>
      <c r="C153" s="105" t="inlineStr">
        <is>
          <t>Produto</t>
        </is>
      </c>
      <c r="D153" s="106" t="inlineStr">
        <is>
          <t>Step de ginástica reforçado verde</t>
        </is>
      </c>
      <c r="E153" s="107" t="n">
        <v>237.2</v>
      </c>
      <c r="F153" s="108" t="n">
        <v>50</v>
      </c>
      <c r="G153" s="107">
        <f>ROUND(E153*(1+IF(ABS(F153)&lt;=1,F153,F153/100)),2)</f>
        <v/>
      </c>
      <c r="H153" s="105" t="n">
        <v>15</v>
      </c>
      <c r="I153" s="105" t="n">
        <v>5</v>
      </c>
      <c r="J153" s="105">
        <f>IF(OR(UPPER(C153)="SERVIÇO",UPPER(C153)="SERVICO"),"SERVIÇO",IF(H153&lt;=0,"ZERADO",IF(H153&lt;=I153,"ESTOQUE BAIXO","NORMAL")))</f>
        <v/>
      </c>
      <c r="K153" s="107">
        <f>IF(OR(UPPER(C153)="SERVIÇO",UPPER(C153)="SERVICO"),0,N(H153)*N(E153))</f>
        <v/>
      </c>
      <c r="L153" s="107">
        <f>IF(OR(UPPER(C153)="SERVIÇO",UPPER(C153)="SERVICO"),0,N(H153)*N(G153))</f>
        <v/>
      </c>
      <c r="M153" s="107">
        <f>IF(OR(UPPER(C153)="SERVIÇO",UPPER(C153)="SERVICO"),0,L153-K153)</f>
        <v/>
      </c>
    </row>
    <row r="154" ht="15" customHeight="1">
      <c r="B154" s="105" t="n">
        <v>143</v>
      </c>
      <c r="C154" s="105" t="inlineStr">
        <is>
          <t>Produto</t>
        </is>
      </c>
      <c r="D154" s="106" t="inlineStr">
        <is>
          <t>Bolsa de academia resistente cinza</t>
        </is>
      </c>
      <c r="E154" s="107" t="n">
        <v>177.02</v>
      </c>
      <c r="F154" s="108" t="n">
        <v>50</v>
      </c>
      <c r="G154" s="107">
        <f>ROUND(E154*(1+IF(ABS(F154)&lt;=1,F154,F154/100)),2)</f>
        <v/>
      </c>
      <c r="H154" s="105" t="n">
        <v>15</v>
      </c>
      <c r="I154" s="105" t="n">
        <v>5</v>
      </c>
      <c r="J154" s="105">
        <f>IF(OR(UPPER(C154)="SERVIÇO",UPPER(C154)="SERVICO"),"SERVIÇO",IF(H154&lt;=0,"ZERADO",IF(H154&lt;=I154,"ESTOQUE BAIXO","NORMAL")))</f>
        <v/>
      </c>
      <c r="K154" s="107">
        <f>IF(OR(UPPER(C154)="SERVIÇO",UPPER(C154)="SERVICO"),0,N(H154)*N(E154))</f>
        <v/>
      </c>
      <c r="L154" s="107">
        <f>IF(OR(UPPER(C154)="SERVIÇO",UPPER(C154)="SERVICO"),0,N(H154)*N(G154))</f>
        <v/>
      </c>
      <c r="M154" s="107">
        <f>IF(OR(UPPER(C154)="SERVIÇO",UPPER(C154)="SERVICO"),0,L154-K154)</f>
        <v/>
      </c>
    </row>
    <row r="155" ht="15" customHeight="1">
      <c r="B155" s="105" t="n">
        <v>144</v>
      </c>
      <c r="C155" s="105" t="inlineStr">
        <is>
          <t>Produto</t>
        </is>
      </c>
      <c r="D155" s="106" t="inlineStr">
        <is>
          <t>Short esportivo compacto branco tam. G</t>
        </is>
      </c>
      <c r="E155" s="107" t="n">
        <v>45.14</v>
      </c>
      <c r="F155" s="108" t="n">
        <v>50</v>
      </c>
      <c r="G155" s="107">
        <f>ROUND(E155*(1+IF(ABS(F155)&lt;=1,F155,F155/100)),2)</f>
        <v/>
      </c>
      <c r="H155" s="105" t="n">
        <v>15</v>
      </c>
      <c r="I155" s="105" t="n">
        <v>5</v>
      </c>
      <c r="J155" s="105">
        <f>IF(OR(UPPER(C155)="SERVIÇO",UPPER(C155)="SERVICO"),"SERVIÇO",IF(H155&lt;=0,"ZERADO",IF(H155&lt;=I155,"ESTOQUE BAIXO","NORMAL")))</f>
        <v/>
      </c>
      <c r="K155" s="107">
        <f>IF(OR(UPPER(C155)="SERVIÇO",UPPER(C155)="SERVICO"),0,N(H155)*N(E155))</f>
        <v/>
      </c>
      <c r="L155" s="107">
        <f>IF(OR(UPPER(C155)="SERVIÇO",UPPER(C155)="SERVICO"),0,N(H155)*N(G155))</f>
        <v/>
      </c>
      <c r="M155" s="107">
        <f>IF(OR(UPPER(C155)="SERVIÇO",UPPER(C155)="SERVICO"),0,L155-K155)</f>
        <v/>
      </c>
    </row>
    <row r="156" ht="15" customHeight="1">
      <c r="B156" s="105" t="n">
        <v>145</v>
      </c>
      <c r="C156" s="105" t="inlineStr">
        <is>
          <t>Produto</t>
        </is>
      </c>
      <c r="D156" s="106" t="inlineStr">
        <is>
          <t>Patins recreativo cinza</t>
        </is>
      </c>
      <c r="E156" s="107" t="n">
        <v>149.98</v>
      </c>
      <c r="F156" s="108" t="n">
        <v>50</v>
      </c>
      <c r="G156" s="107">
        <f>ROUND(E156*(1+IF(ABS(F156)&lt;=1,F156,F156/100)),2)</f>
        <v/>
      </c>
      <c r="H156" s="105" t="n">
        <v>15</v>
      </c>
      <c r="I156" s="105" t="n">
        <v>5</v>
      </c>
      <c r="J156" s="105">
        <f>IF(OR(UPPER(C156)="SERVIÇO",UPPER(C156)="SERVICO"),"SERVIÇO",IF(H156&lt;=0,"ZERADO",IF(H156&lt;=I156,"ESTOQUE BAIXO","NORMAL")))</f>
        <v/>
      </c>
      <c r="K156" s="107">
        <f>IF(OR(UPPER(C156)="SERVIÇO",UPPER(C156)="SERVICO"),0,N(H156)*N(E156))</f>
        <v/>
      </c>
      <c r="L156" s="107">
        <f>IF(OR(UPPER(C156)="SERVIÇO",UPPER(C156)="SERVICO"),0,N(H156)*N(G156))</f>
        <v/>
      </c>
      <c r="M156" s="107">
        <f>IF(OR(UPPER(C156)="SERVIÇO",UPPER(C156)="SERVICO"),0,L156-K156)</f>
        <v/>
      </c>
    </row>
    <row r="157" ht="15" customHeight="1">
      <c r="B157" s="105" t="n">
        <v>146</v>
      </c>
      <c r="C157" s="105" t="inlineStr">
        <is>
          <t>Produto</t>
        </is>
      </c>
      <c r="D157" s="106" t="inlineStr">
        <is>
          <t>Raquete de tênis iniciante vermelho tam. 40</t>
        </is>
      </c>
      <c r="E157" s="107" t="n">
        <v>103.8</v>
      </c>
      <c r="F157" s="108" t="n">
        <v>50</v>
      </c>
      <c r="G157" s="107">
        <f>ROUND(E157*(1+IF(ABS(F157)&lt;=1,F157,F157/100)),2)</f>
        <v/>
      </c>
      <c r="H157" s="105" t="n">
        <v>15</v>
      </c>
      <c r="I157" s="105" t="n">
        <v>5</v>
      </c>
      <c r="J157" s="105">
        <f>IF(OR(UPPER(C157)="SERVIÇO",UPPER(C157)="SERVICO"),"SERVIÇO",IF(H157&lt;=0,"ZERADO",IF(H157&lt;=I157,"ESTOQUE BAIXO","NORMAL")))</f>
        <v/>
      </c>
      <c r="K157" s="107">
        <f>IF(OR(UPPER(C157)="SERVIÇO",UPPER(C157)="SERVICO"),0,N(H157)*N(E157))</f>
        <v/>
      </c>
      <c r="L157" s="107">
        <f>IF(OR(UPPER(C157)="SERVIÇO",UPPER(C157)="SERVICO"),0,N(H157)*N(G157))</f>
        <v/>
      </c>
      <c r="M157" s="107">
        <f>IF(OR(UPPER(C157)="SERVIÇO",UPPER(C157)="SERVICO"),0,L157-K157)</f>
        <v/>
      </c>
    </row>
    <row r="158" ht="15" customHeight="1">
      <c r="B158" s="105" t="n">
        <v>147</v>
      </c>
      <c r="C158" s="105" t="inlineStr">
        <is>
          <t>Produto</t>
        </is>
      </c>
      <c r="D158" s="106" t="inlineStr">
        <is>
          <t>Bola de futebol iniciante rosa</t>
        </is>
      </c>
      <c r="E158" s="107" t="n">
        <v>101.75</v>
      </c>
      <c r="F158" s="108" t="n">
        <v>50</v>
      </c>
      <c r="G158" s="107">
        <f>ROUND(E158*(1+IF(ABS(F158)&lt;=1,F158,F158/100)),2)</f>
        <v/>
      </c>
      <c r="H158" s="105" t="n">
        <v>15</v>
      </c>
      <c r="I158" s="105" t="n">
        <v>5</v>
      </c>
      <c r="J158" s="105">
        <f>IF(OR(UPPER(C158)="SERVIÇO",UPPER(C158)="SERVICO"),"SERVIÇO",IF(H158&lt;=0,"ZERADO",IF(H158&lt;=I158,"ESTOQUE BAIXO","NORMAL")))</f>
        <v/>
      </c>
      <c r="K158" s="107">
        <f>IF(OR(UPPER(C158)="SERVIÇO",UPPER(C158)="SERVICO"),0,N(H158)*N(E158))</f>
        <v/>
      </c>
      <c r="L158" s="107">
        <f>IF(OR(UPPER(C158)="SERVIÇO",UPPER(C158)="SERVICO"),0,N(H158)*N(G158))</f>
        <v/>
      </c>
      <c r="M158" s="107">
        <f>IF(OR(UPPER(C158)="SERVIÇO",UPPER(C158)="SERVICO"),0,L158-K158)</f>
        <v/>
      </c>
    </row>
    <row r="159" ht="15" customHeight="1">
      <c r="B159" s="105" t="n">
        <v>148</v>
      </c>
      <c r="C159" s="105" t="inlineStr">
        <is>
          <t>Produto</t>
        </is>
      </c>
      <c r="D159" s="106" t="inlineStr">
        <is>
          <t>Kettlebell juvenil cinza</t>
        </is>
      </c>
      <c r="E159" s="107" t="n">
        <v>227.56</v>
      </c>
      <c r="F159" s="108" t="n">
        <v>50</v>
      </c>
      <c r="G159" s="107">
        <f>ROUND(E159*(1+IF(ABS(F159)&lt;=1,F159,F159/100)),2)</f>
        <v/>
      </c>
      <c r="H159" s="105" t="n">
        <v>15</v>
      </c>
      <c r="I159" s="105" t="n">
        <v>5</v>
      </c>
      <c r="J159" s="105">
        <f>IF(OR(UPPER(C159)="SERVIÇO",UPPER(C159)="SERVICO"),"SERVIÇO",IF(H159&lt;=0,"ZERADO",IF(H159&lt;=I159,"ESTOQUE BAIXO","NORMAL")))</f>
        <v/>
      </c>
      <c r="K159" s="107">
        <f>IF(OR(UPPER(C159)="SERVIÇO",UPPER(C159)="SERVICO"),0,N(H159)*N(E159))</f>
        <v/>
      </c>
      <c r="L159" s="107">
        <f>IF(OR(UPPER(C159)="SERVIÇO",UPPER(C159)="SERVICO"),0,N(H159)*N(G159))</f>
        <v/>
      </c>
      <c r="M159" s="107">
        <f>IF(OR(UPPER(C159)="SERVIÇO",UPPER(C159)="SERVICO"),0,L159-K159)</f>
        <v/>
      </c>
    </row>
    <row r="160" ht="15" customHeight="1">
      <c r="B160" s="105" t="n">
        <v>149</v>
      </c>
      <c r="C160" s="105" t="inlineStr">
        <is>
          <t>Produto</t>
        </is>
      </c>
      <c r="D160" s="106" t="inlineStr">
        <is>
          <t>Luva de ciclismo profissional laranja tam. 40</t>
        </is>
      </c>
      <c r="E160" s="107" t="n">
        <v>25.49</v>
      </c>
      <c r="F160" s="108" t="n">
        <v>50</v>
      </c>
      <c r="G160" s="107">
        <f>ROUND(E160*(1+IF(ABS(F160)&lt;=1,F160,F160/100)),2)</f>
        <v/>
      </c>
      <c r="H160" s="105" t="n">
        <v>15</v>
      </c>
      <c r="I160" s="105" t="n">
        <v>5</v>
      </c>
      <c r="J160" s="105">
        <f>IF(OR(UPPER(C160)="SERVIÇO",UPPER(C160)="SERVICO"),"SERVIÇO",IF(H160&lt;=0,"ZERADO",IF(H160&lt;=I160,"ESTOQUE BAIXO","NORMAL")))</f>
        <v/>
      </c>
      <c r="K160" s="107">
        <f>IF(OR(UPPER(C160)="SERVIÇO",UPPER(C160)="SERVICO"),0,N(H160)*N(E160))</f>
        <v/>
      </c>
      <c r="L160" s="107">
        <f>IF(OR(UPPER(C160)="SERVIÇO",UPPER(C160)="SERVICO"),0,N(H160)*N(G160))</f>
        <v/>
      </c>
      <c r="M160" s="107">
        <f>IF(OR(UPPER(C160)="SERVIÇO",UPPER(C160)="SERVICO"),0,L160-K160)</f>
        <v/>
      </c>
    </row>
    <row r="161" ht="15" customHeight="1">
      <c r="B161" s="105" t="n">
        <v>150</v>
      </c>
      <c r="C161" s="105" t="inlineStr">
        <is>
          <t>Produto</t>
        </is>
      </c>
      <c r="D161" s="106" t="inlineStr">
        <is>
          <t>Touca de natação recreativo vermelho tam. 44</t>
        </is>
      </c>
      <c r="E161" s="107" t="n">
        <v>57.35</v>
      </c>
      <c r="F161" s="108" t="n">
        <v>50</v>
      </c>
      <c r="G161" s="107">
        <f>ROUND(E161*(1+IF(ABS(F161)&lt;=1,F161,F161/100)),2)</f>
        <v/>
      </c>
      <c r="H161" s="105" t="n">
        <v>15</v>
      </c>
      <c r="I161" s="105" t="n">
        <v>5</v>
      </c>
      <c r="J161" s="105">
        <f>IF(OR(UPPER(C161)="SERVIÇO",UPPER(C161)="SERVICO"),"SERVIÇO",IF(H161&lt;=0,"ZERADO",IF(H161&lt;=I161,"ESTOQUE BAIXO","NORMAL")))</f>
        <v/>
      </c>
      <c r="K161" s="107">
        <f>IF(OR(UPPER(C161)="SERVIÇO",UPPER(C161)="SERVICO"),0,N(H161)*N(E161))</f>
        <v/>
      </c>
      <c r="L161" s="107">
        <f>IF(OR(UPPER(C161)="SERVIÇO",UPPER(C161)="SERVICO"),0,N(H161)*N(G161))</f>
        <v/>
      </c>
      <c r="M161" s="107">
        <f>IF(OR(UPPER(C161)="SERVIÇO",UPPER(C161)="SERVICO"),0,L161-K161)</f>
        <v/>
      </c>
    </row>
    <row r="162" ht="15" customHeight="1">
      <c r="B162" s="105" t="n">
        <v>151</v>
      </c>
      <c r="C162" s="105" t="inlineStr">
        <is>
          <t>Produto</t>
        </is>
      </c>
      <c r="D162" s="106" t="inlineStr">
        <is>
          <t>Raquete de badminton treino laranja</t>
        </is>
      </c>
      <c r="E162" s="107" t="n">
        <v>157.27</v>
      </c>
      <c r="F162" s="108" t="n">
        <v>50</v>
      </c>
      <c r="G162" s="107">
        <f>ROUND(E162*(1+IF(ABS(F162)&lt;=1,F162,F162/100)),2)</f>
        <v/>
      </c>
      <c r="H162" s="105" t="n">
        <v>15</v>
      </c>
      <c r="I162" s="105" t="n">
        <v>5</v>
      </c>
      <c r="J162" s="105">
        <f>IF(OR(UPPER(C162)="SERVIÇO",UPPER(C162)="SERVICO"),"SERVIÇO",IF(H162&lt;=0,"ZERADO",IF(H162&lt;=I162,"ESTOQUE BAIXO","NORMAL")))</f>
        <v/>
      </c>
      <c r="K162" s="107">
        <f>IF(OR(UPPER(C162)="SERVIÇO",UPPER(C162)="SERVICO"),0,N(H162)*N(E162))</f>
        <v/>
      </c>
      <c r="L162" s="107">
        <f>IF(OR(UPPER(C162)="SERVIÇO",UPPER(C162)="SERVICO"),0,N(H162)*N(G162))</f>
        <v/>
      </c>
      <c r="M162" s="107">
        <f>IF(OR(UPPER(C162)="SERVIÇO",UPPER(C162)="SERVICO"),0,L162-K162)</f>
        <v/>
      </c>
    </row>
    <row r="163" ht="15" customHeight="1">
      <c r="B163" s="105" t="n">
        <v>152</v>
      </c>
      <c r="C163" s="105" t="inlineStr">
        <is>
          <t>Produto</t>
        </is>
      </c>
      <c r="D163" s="106" t="inlineStr">
        <is>
          <t>Kimono de judô resistente laranja tam. 40</t>
        </is>
      </c>
      <c r="E163" s="107" t="n">
        <v>332.49</v>
      </c>
      <c r="F163" s="108" t="n">
        <v>50</v>
      </c>
      <c r="G163" s="107">
        <f>ROUND(E163*(1+IF(ABS(F163)&lt;=1,F163,F163/100)),2)</f>
        <v/>
      </c>
      <c r="H163" s="105" t="n">
        <v>15</v>
      </c>
      <c r="I163" s="105" t="n">
        <v>5</v>
      </c>
      <c r="J163" s="105">
        <f>IF(OR(UPPER(C163)="SERVIÇO",UPPER(C163)="SERVICO"),"SERVIÇO",IF(H163&lt;=0,"ZERADO",IF(H163&lt;=I163,"ESTOQUE BAIXO","NORMAL")))</f>
        <v/>
      </c>
      <c r="K163" s="107">
        <f>IF(OR(UPPER(C163)="SERVIÇO",UPPER(C163)="SERVICO"),0,N(H163)*N(E163))</f>
        <v/>
      </c>
      <c r="L163" s="107">
        <f>IF(OR(UPPER(C163)="SERVIÇO",UPPER(C163)="SERVICO"),0,N(H163)*N(G163))</f>
        <v/>
      </c>
      <c r="M163" s="107">
        <f>IF(OR(UPPER(C163)="SERVIÇO",UPPER(C163)="SERVICO"),0,L163-K163)</f>
        <v/>
      </c>
    </row>
    <row r="164" ht="15" customHeight="1">
      <c r="B164" s="105" t="n">
        <v>153</v>
      </c>
      <c r="C164" s="105" t="inlineStr">
        <is>
          <t>Produto</t>
        </is>
      </c>
      <c r="D164" s="106" t="inlineStr">
        <is>
          <t>Coqueteleira alta performance cinza</t>
        </is>
      </c>
      <c r="E164" s="107" t="n">
        <v>35.82</v>
      </c>
      <c r="F164" s="108" t="n">
        <v>50</v>
      </c>
      <c r="G164" s="107">
        <f>ROUND(E164*(1+IF(ABS(F164)&lt;=1,F164,F164/100)),2)</f>
        <v/>
      </c>
      <c r="H164" s="105" t="n">
        <v>15</v>
      </c>
      <c r="I164" s="105" t="n">
        <v>5</v>
      </c>
      <c r="J164" s="105">
        <f>IF(OR(UPPER(C164)="SERVIÇO",UPPER(C164)="SERVICO"),"SERVIÇO",IF(H164&lt;=0,"ZERADO",IF(H164&lt;=I164,"ESTOQUE BAIXO","NORMAL")))</f>
        <v/>
      </c>
      <c r="K164" s="107">
        <f>IF(OR(UPPER(C164)="SERVIÇO",UPPER(C164)="SERVICO"),0,N(H164)*N(E164))</f>
        <v/>
      </c>
      <c r="L164" s="107">
        <f>IF(OR(UPPER(C164)="SERVIÇO",UPPER(C164)="SERVICO"),0,N(H164)*N(G164))</f>
        <v/>
      </c>
      <c r="M164" s="107">
        <f>IF(OR(UPPER(C164)="SERVIÇO",UPPER(C164)="SERVICO"),0,L164-K164)</f>
        <v/>
      </c>
    </row>
    <row r="165" ht="15" customHeight="1">
      <c r="B165" s="105" t="n">
        <v>154</v>
      </c>
      <c r="C165" s="105" t="inlineStr">
        <is>
          <t>Produto</t>
        </is>
      </c>
      <c r="D165" s="106" t="inlineStr">
        <is>
          <t>Raquete de tênis treino verde tam. GG</t>
        </is>
      </c>
      <c r="E165" s="107" t="n">
        <v>182.56</v>
      </c>
      <c r="F165" s="108" t="n">
        <v>50</v>
      </c>
      <c r="G165" s="107">
        <f>ROUND(E165*(1+IF(ABS(F165)&lt;=1,F165,F165/100)),2)</f>
        <v/>
      </c>
      <c r="H165" s="105" t="n">
        <v>15</v>
      </c>
      <c r="I165" s="105" t="n">
        <v>5</v>
      </c>
      <c r="J165" s="105">
        <f>IF(OR(UPPER(C165)="SERVIÇO",UPPER(C165)="SERVICO"),"SERVIÇO",IF(H165&lt;=0,"ZERADO",IF(H165&lt;=I165,"ESTOQUE BAIXO","NORMAL")))</f>
        <v/>
      </c>
      <c r="K165" s="107">
        <f>IF(OR(UPPER(C165)="SERVIÇO",UPPER(C165)="SERVICO"),0,N(H165)*N(E165))</f>
        <v/>
      </c>
      <c r="L165" s="107">
        <f>IF(OR(UPPER(C165)="SERVIÇO",UPPER(C165)="SERVICO"),0,N(H165)*N(G165))</f>
        <v/>
      </c>
      <c r="M165" s="107">
        <f>IF(OR(UPPER(C165)="SERVIÇO",UPPER(C165)="SERVICO"),0,L165-K165)</f>
        <v/>
      </c>
    </row>
    <row r="166" ht="15" customHeight="1">
      <c r="B166" s="105" t="n">
        <v>155</v>
      </c>
      <c r="C166" s="105" t="inlineStr">
        <is>
          <t>Produto</t>
        </is>
      </c>
      <c r="D166" s="106" t="inlineStr">
        <is>
          <t>Raquete de badminton compacto vermelho</t>
        </is>
      </c>
      <c r="E166" s="107" t="n">
        <v>145.86</v>
      </c>
      <c r="F166" s="108" t="n">
        <v>50</v>
      </c>
      <c r="G166" s="107">
        <f>ROUND(E166*(1+IF(ABS(F166)&lt;=1,F166,F166/100)),2)</f>
        <v/>
      </c>
      <c r="H166" s="105" t="n">
        <v>15</v>
      </c>
      <c r="I166" s="105" t="n">
        <v>5</v>
      </c>
      <c r="J166" s="105">
        <f>IF(OR(UPPER(C166)="SERVIÇO",UPPER(C166)="SERVICO"),"SERVIÇO",IF(H166&lt;=0,"ZERADO",IF(H166&lt;=I166,"ESTOQUE BAIXO","NORMAL")))</f>
        <v/>
      </c>
      <c r="K166" s="107">
        <f>IF(OR(UPPER(C166)="SERVIÇO",UPPER(C166)="SERVICO"),0,N(H166)*N(E166))</f>
        <v/>
      </c>
      <c r="L166" s="107">
        <f>IF(OR(UPPER(C166)="SERVIÇO",UPPER(C166)="SERVICO"),0,N(H166)*N(G166))</f>
        <v/>
      </c>
      <c r="M166" s="107">
        <f>IF(OR(UPPER(C166)="SERVIÇO",UPPER(C166)="SERVICO"),0,L166-K166)</f>
        <v/>
      </c>
    </row>
    <row r="167" ht="15" customHeight="1">
      <c r="B167" s="105" t="n">
        <v>156</v>
      </c>
      <c r="C167" s="105" t="inlineStr">
        <is>
          <t>Produto</t>
        </is>
      </c>
      <c r="D167" s="106" t="inlineStr">
        <is>
          <t>Camiseta esportiva alta performance rosa tam. 44</t>
        </is>
      </c>
      <c r="E167" s="107" t="n">
        <v>65.87</v>
      </c>
      <c r="F167" s="108" t="n">
        <v>50</v>
      </c>
      <c r="G167" s="107">
        <f>ROUND(E167*(1+IF(ABS(F167)&lt;=1,F167,F167/100)),2)</f>
        <v/>
      </c>
      <c r="H167" s="105" t="n">
        <v>15</v>
      </c>
      <c r="I167" s="105" t="n">
        <v>5</v>
      </c>
      <c r="J167" s="105">
        <f>IF(OR(UPPER(C167)="SERVIÇO",UPPER(C167)="SERVICO"),"SERVIÇO",IF(H167&lt;=0,"ZERADO",IF(H167&lt;=I167,"ESTOQUE BAIXO","NORMAL")))</f>
        <v/>
      </c>
      <c r="K167" s="107">
        <f>IF(OR(UPPER(C167)="SERVIÇO",UPPER(C167)="SERVICO"),0,N(H167)*N(E167))</f>
        <v/>
      </c>
      <c r="L167" s="107">
        <f>IF(OR(UPPER(C167)="SERVIÇO",UPPER(C167)="SERVICO"),0,N(H167)*N(G167))</f>
        <v/>
      </c>
      <c r="M167" s="107">
        <f>IF(OR(UPPER(C167)="SERVIÇO",UPPER(C167)="SERVICO"),0,L167-K167)</f>
        <v/>
      </c>
    </row>
    <row r="168" ht="15" customHeight="1">
      <c r="B168" s="105" t="n">
        <v>157</v>
      </c>
      <c r="C168" s="105" t="inlineStr">
        <is>
          <t>Produto</t>
        </is>
      </c>
      <c r="D168" s="106" t="inlineStr">
        <is>
          <t>Bola de vôlei iniciante cinza</t>
        </is>
      </c>
      <c r="E168" s="107" t="n">
        <v>82.98999999999999</v>
      </c>
      <c r="F168" s="108" t="n">
        <v>50</v>
      </c>
      <c r="G168" s="107">
        <f>ROUND(E168*(1+IF(ABS(F168)&lt;=1,F168,F168/100)),2)</f>
        <v/>
      </c>
      <c r="H168" s="105" t="n">
        <v>15</v>
      </c>
      <c r="I168" s="105" t="n">
        <v>5</v>
      </c>
      <c r="J168" s="105">
        <f>IF(OR(UPPER(C168)="SERVIÇO",UPPER(C168)="SERVICO"),"SERVIÇO",IF(H168&lt;=0,"ZERADO",IF(H168&lt;=I168,"ESTOQUE BAIXO","NORMAL")))</f>
        <v/>
      </c>
      <c r="K168" s="107">
        <f>IF(OR(UPPER(C168)="SERVIÇO",UPPER(C168)="SERVICO"),0,N(H168)*N(E168))</f>
        <v/>
      </c>
      <c r="L168" s="107">
        <f>IF(OR(UPPER(C168)="SERVIÇO",UPPER(C168)="SERVICO"),0,N(H168)*N(G168))</f>
        <v/>
      </c>
      <c r="M168" s="107">
        <f>IF(OR(UPPER(C168)="SERVIÇO",UPPER(C168)="SERVICO"),0,L168-K168)</f>
        <v/>
      </c>
    </row>
    <row r="169" ht="15" customHeight="1">
      <c r="B169" s="105" t="n">
        <v>158</v>
      </c>
      <c r="C169" s="105" t="inlineStr">
        <is>
          <t>Produto</t>
        </is>
      </c>
      <c r="D169" s="106" t="inlineStr">
        <is>
          <t>Capacete de ciclismo compacto cinza</t>
        </is>
      </c>
      <c r="E169" s="107" t="n">
        <v>293.74</v>
      </c>
      <c r="F169" s="108" t="n">
        <v>50</v>
      </c>
      <c r="G169" s="107">
        <f>ROUND(E169*(1+IF(ABS(F169)&lt;=1,F169,F169/100)),2)</f>
        <v/>
      </c>
      <c r="H169" s="105" t="n">
        <v>15</v>
      </c>
      <c r="I169" s="105" t="n">
        <v>5</v>
      </c>
      <c r="J169" s="105">
        <f>IF(OR(UPPER(C169)="SERVIÇO",UPPER(C169)="SERVICO"),"SERVIÇO",IF(H169&lt;=0,"ZERADO",IF(H169&lt;=I169,"ESTOQUE BAIXO","NORMAL")))</f>
        <v/>
      </c>
      <c r="K169" s="107">
        <f>IF(OR(UPPER(C169)="SERVIÇO",UPPER(C169)="SERVICO"),0,N(H169)*N(E169))</f>
        <v/>
      </c>
      <c r="L169" s="107">
        <f>IF(OR(UPPER(C169)="SERVIÇO",UPPER(C169)="SERVICO"),0,N(H169)*N(G169))</f>
        <v/>
      </c>
      <c r="M169" s="107">
        <f>IF(OR(UPPER(C169)="SERVIÇO",UPPER(C169)="SERVICO"),0,L169-K169)</f>
        <v/>
      </c>
    </row>
    <row r="170" ht="15" customHeight="1">
      <c r="B170" s="105" t="n">
        <v>159</v>
      </c>
      <c r="C170" s="105" t="inlineStr">
        <is>
          <t>Produto</t>
        </is>
      </c>
      <c r="D170" s="106" t="inlineStr">
        <is>
          <t>Touca de natação reforçado laranja tam. M</t>
        </is>
      </c>
      <c r="E170" s="107" t="n">
        <v>36.71</v>
      </c>
      <c r="F170" s="108" t="n">
        <v>50</v>
      </c>
      <c r="G170" s="107">
        <f>ROUND(E170*(1+IF(ABS(F170)&lt;=1,F170,F170/100)),2)</f>
        <v/>
      </c>
      <c r="H170" s="105" t="n">
        <v>15</v>
      </c>
      <c r="I170" s="105" t="n">
        <v>5</v>
      </c>
      <c r="J170" s="105">
        <f>IF(OR(UPPER(C170)="SERVIÇO",UPPER(C170)="SERVICO"),"SERVIÇO",IF(H170&lt;=0,"ZERADO",IF(H170&lt;=I170,"ESTOQUE BAIXO","NORMAL")))</f>
        <v/>
      </c>
      <c r="K170" s="107">
        <f>IF(OR(UPPER(C170)="SERVIÇO",UPPER(C170)="SERVICO"),0,N(H170)*N(E170))</f>
        <v/>
      </c>
      <c r="L170" s="107">
        <f>IF(OR(UPPER(C170)="SERVIÇO",UPPER(C170)="SERVICO"),0,N(H170)*N(G170))</f>
        <v/>
      </c>
      <c r="M170" s="107">
        <f>IF(OR(UPPER(C170)="SERVIÇO",UPPER(C170)="SERVICO"),0,L170-K170)</f>
        <v/>
      </c>
    </row>
    <row r="171" ht="15" customHeight="1">
      <c r="B171" s="105" t="n">
        <v>160</v>
      </c>
      <c r="C171" s="105" t="inlineStr">
        <is>
          <t>Produto</t>
        </is>
      </c>
      <c r="D171" s="106" t="inlineStr">
        <is>
          <t>Óculos de natação premium vermelho</t>
        </is>
      </c>
      <c r="E171" s="107" t="n">
        <v>21.79</v>
      </c>
      <c r="F171" s="108" t="n">
        <v>50</v>
      </c>
      <c r="G171" s="107">
        <f>ROUND(E171*(1+IF(ABS(F171)&lt;=1,F171,F171/100)),2)</f>
        <v/>
      </c>
      <c r="H171" s="105" t="n">
        <v>15</v>
      </c>
      <c r="I171" s="105" t="n">
        <v>5</v>
      </c>
      <c r="J171" s="105">
        <f>IF(OR(UPPER(C171)="SERVIÇO",UPPER(C171)="SERVICO"),"SERVIÇO",IF(H171&lt;=0,"ZERADO",IF(H171&lt;=I171,"ESTOQUE BAIXO","NORMAL")))</f>
        <v/>
      </c>
      <c r="K171" s="107">
        <f>IF(OR(UPPER(C171)="SERVIÇO",UPPER(C171)="SERVICO"),0,N(H171)*N(E171))</f>
        <v/>
      </c>
      <c r="L171" s="107">
        <f>IF(OR(UPPER(C171)="SERVIÇO",UPPER(C171)="SERVICO"),0,N(H171)*N(G171))</f>
        <v/>
      </c>
      <c r="M171" s="107">
        <f>IF(OR(UPPER(C171)="SERVIÇO",UPPER(C171)="SERVICO"),0,L171-K171)</f>
        <v/>
      </c>
    </row>
    <row r="172" ht="15" customHeight="1">
      <c r="B172" s="105" t="n">
        <v>161</v>
      </c>
      <c r="C172" s="105" t="inlineStr">
        <is>
          <t>Produto</t>
        </is>
      </c>
      <c r="D172" s="106" t="inlineStr">
        <is>
          <t>Camiseta esportiva versão 2026 cinza tam. 40</t>
        </is>
      </c>
      <c r="E172" s="107" t="n">
        <v>30.62</v>
      </c>
      <c r="F172" s="108" t="n">
        <v>50</v>
      </c>
      <c r="G172" s="107">
        <f>ROUND(E172*(1+IF(ABS(F172)&lt;=1,F172,F172/100)),2)</f>
        <v/>
      </c>
      <c r="H172" s="105" t="n">
        <v>15</v>
      </c>
      <c r="I172" s="105" t="n">
        <v>5</v>
      </c>
      <c r="J172" s="105">
        <f>IF(OR(UPPER(C172)="SERVIÇO",UPPER(C172)="SERVICO"),"SERVIÇO",IF(H172&lt;=0,"ZERADO",IF(H172&lt;=I172,"ESTOQUE BAIXO","NORMAL")))</f>
        <v/>
      </c>
      <c r="K172" s="107">
        <f>IF(OR(UPPER(C172)="SERVIÇO",UPPER(C172)="SERVICO"),0,N(H172)*N(E172))</f>
        <v/>
      </c>
      <c r="L172" s="107">
        <f>IF(OR(UPPER(C172)="SERVIÇO",UPPER(C172)="SERVICO"),0,N(H172)*N(G172))</f>
        <v/>
      </c>
      <c r="M172" s="107">
        <f>IF(OR(UPPER(C172)="SERVIÇO",UPPER(C172)="SERVICO"),0,L172-K172)</f>
        <v/>
      </c>
    </row>
    <row r="173" ht="15" customHeight="1">
      <c r="B173" s="105" t="n">
        <v>162</v>
      </c>
      <c r="C173" s="105" t="inlineStr">
        <is>
          <t>Produto</t>
        </is>
      </c>
      <c r="D173" s="106" t="inlineStr">
        <is>
          <t>Skate para uso diário cinza</t>
        </is>
      </c>
      <c r="E173" s="107" t="n">
        <v>345.18</v>
      </c>
      <c r="F173" s="108" t="n">
        <v>50</v>
      </c>
      <c r="G173" s="107">
        <f>ROUND(E173*(1+IF(ABS(F173)&lt;=1,F173,F173/100)),2)</f>
        <v/>
      </c>
      <c r="H173" s="105" t="n">
        <v>15</v>
      </c>
      <c r="I173" s="105" t="n">
        <v>5</v>
      </c>
      <c r="J173" s="105">
        <f>IF(OR(UPPER(C173)="SERVIÇO",UPPER(C173)="SERVICO"),"SERVIÇO",IF(H173&lt;=0,"ZERADO",IF(H173&lt;=I173,"ESTOQUE BAIXO","NORMAL")))</f>
        <v/>
      </c>
      <c r="K173" s="107">
        <f>IF(OR(UPPER(C173)="SERVIÇO",UPPER(C173)="SERVICO"),0,N(H173)*N(E173))</f>
        <v/>
      </c>
      <c r="L173" s="107">
        <f>IF(OR(UPPER(C173)="SERVIÇO",UPPER(C173)="SERVICO"),0,N(H173)*N(G173))</f>
        <v/>
      </c>
      <c r="M173" s="107">
        <f>IF(OR(UPPER(C173)="SERVIÇO",UPPER(C173)="SERVICO"),0,L173-K173)</f>
        <v/>
      </c>
    </row>
    <row r="174" ht="15" customHeight="1">
      <c r="B174" s="105" t="n">
        <v>163</v>
      </c>
      <c r="C174" s="105" t="inlineStr">
        <is>
          <t>Produto</t>
        </is>
      </c>
      <c r="D174" s="106" t="inlineStr">
        <is>
          <t>Óculos esportivos profissional preto</t>
        </is>
      </c>
      <c r="E174" s="107" t="n">
        <v>376.15</v>
      </c>
      <c r="F174" s="108" t="n">
        <v>50</v>
      </c>
      <c r="G174" s="107">
        <f>ROUND(E174*(1+IF(ABS(F174)&lt;=1,F174,F174/100)),2)</f>
        <v/>
      </c>
      <c r="H174" s="105" t="n">
        <v>15</v>
      </c>
      <c r="I174" s="105" t="n">
        <v>5</v>
      </c>
      <c r="J174" s="105">
        <f>IF(OR(UPPER(C174)="SERVIÇO",UPPER(C174)="SERVICO"),"SERVIÇO",IF(H174&lt;=0,"ZERADO",IF(H174&lt;=I174,"ESTOQUE BAIXO","NORMAL")))</f>
        <v/>
      </c>
      <c r="K174" s="107">
        <f>IF(OR(UPPER(C174)="SERVIÇO",UPPER(C174)="SERVICO"),0,N(H174)*N(E174))</f>
        <v/>
      </c>
      <c r="L174" s="107">
        <f>IF(OR(UPPER(C174)="SERVIÇO",UPPER(C174)="SERVICO"),0,N(H174)*N(G174))</f>
        <v/>
      </c>
      <c r="M174" s="107">
        <f>IF(OR(UPPER(C174)="SERVIÇO",UPPER(C174)="SERVICO"),0,L174-K174)</f>
        <v/>
      </c>
    </row>
    <row r="175" ht="15" customHeight="1">
      <c r="B175" s="105" t="n">
        <v>164</v>
      </c>
      <c r="C175" s="105" t="inlineStr">
        <is>
          <t>Produto</t>
        </is>
      </c>
      <c r="D175" s="106" t="inlineStr">
        <is>
          <t>Bola de pilates versão 2026 cinza</t>
        </is>
      </c>
      <c r="E175" s="107" t="n">
        <v>26.42</v>
      </c>
      <c r="F175" s="108" t="n">
        <v>50</v>
      </c>
      <c r="G175" s="107">
        <f>ROUND(E175*(1+IF(ABS(F175)&lt;=1,F175,F175/100)),2)</f>
        <v/>
      </c>
      <c r="H175" s="105" t="n">
        <v>15</v>
      </c>
      <c r="I175" s="105" t="n">
        <v>5</v>
      </c>
      <c r="J175" s="105">
        <f>IF(OR(UPPER(C175)="SERVIÇO",UPPER(C175)="SERVICO"),"SERVIÇO",IF(H175&lt;=0,"ZERADO",IF(H175&lt;=I175,"ESTOQUE BAIXO","NORMAL")))</f>
        <v/>
      </c>
      <c r="K175" s="107">
        <f>IF(OR(UPPER(C175)="SERVIÇO",UPPER(C175)="SERVICO"),0,N(H175)*N(E175))</f>
        <v/>
      </c>
      <c r="L175" s="107">
        <f>IF(OR(UPPER(C175)="SERVIÇO",UPPER(C175)="SERVICO"),0,N(H175)*N(G175))</f>
        <v/>
      </c>
      <c r="M175" s="107">
        <f>IF(OR(UPPER(C175)="SERVIÇO",UPPER(C175)="SERVICO"),0,L175-K175)</f>
        <v/>
      </c>
    </row>
    <row r="176" ht="15" customHeight="1">
      <c r="B176" s="105" t="n">
        <v>165</v>
      </c>
      <c r="C176" s="105" t="inlineStr">
        <is>
          <t>Produto</t>
        </is>
      </c>
      <c r="D176" s="106" t="inlineStr">
        <is>
          <t>Jaqueta esportiva unissex preto tam. 34</t>
        </is>
      </c>
      <c r="E176" s="107" t="n">
        <v>195.7</v>
      </c>
      <c r="F176" s="108" t="n">
        <v>50</v>
      </c>
      <c r="G176" s="107">
        <f>ROUND(E176*(1+IF(ABS(F176)&lt;=1,F176,F176/100)),2)</f>
        <v/>
      </c>
      <c r="H176" s="105" t="n">
        <v>15</v>
      </c>
      <c r="I176" s="105" t="n">
        <v>5</v>
      </c>
      <c r="J176" s="105">
        <f>IF(OR(UPPER(C176)="SERVIÇO",UPPER(C176)="SERVICO"),"SERVIÇO",IF(H176&lt;=0,"ZERADO",IF(H176&lt;=I176,"ESTOQUE BAIXO","NORMAL")))</f>
        <v/>
      </c>
      <c r="K176" s="107">
        <f>IF(OR(UPPER(C176)="SERVIÇO",UPPER(C176)="SERVICO"),0,N(H176)*N(E176))</f>
        <v/>
      </c>
      <c r="L176" s="107">
        <f>IF(OR(UPPER(C176)="SERVIÇO",UPPER(C176)="SERVICO"),0,N(H176)*N(G176))</f>
        <v/>
      </c>
      <c r="M176" s="107">
        <f>IF(OR(UPPER(C176)="SERVIÇO",UPPER(C176)="SERVICO"),0,L176-K176)</f>
        <v/>
      </c>
    </row>
    <row r="177" ht="15" customHeight="1">
      <c r="B177" s="105" t="n">
        <v>166</v>
      </c>
      <c r="C177" s="105" t="inlineStr">
        <is>
          <t>Produto</t>
        </is>
      </c>
      <c r="D177" s="106" t="inlineStr">
        <is>
          <t>Step de ginástica ergonômico rosa</t>
        </is>
      </c>
      <c r="E177" s="107" t="n">
        <v>279.8</v>
      </c>
      <c r="F177" s="108" t="n">
        <v>50</v>
      </c>
      <c r="G177" s="107">
        <f>ROUND(E177*(1+IF(ABS(F177)&lt;=1,F177,F177/100)),2)</f>
        <v/>
      </c>
      <c r="H177" s="105" t="n">
        <v>15</v>
      </c>
      <c r="I177" s="105" t="n">
        <v>5</v>
      </c>
      <c r="J177" s="105">
        <f>IF(OR(UPPER(C177)="SERVIÇO",UPPER(C177)="SERVICO"),"SERVIÇO",IF(H177&lt;=0,"ZERADO",IF(H177&lt;=I177,"ESTOQUE BAIXO","NORMAL")))</f>
        <v/>
      </c>
      <c r="K177" s="107">
        <f>IF(OR(UPPER(C177)="SERVIÇO",UPPER(C177)="SERVICO"),0,N(H177)*N(E177))</f>
        <v/>
      </c>
      <c r="L177" s="107">
        <f>IF(OR(UPPER(C177)="SERVIÇO",UPPER(C177)="SERVICO"),0,N(H177)*N(G177))</f>
        <v/>
      </c>
      <c r="M177" s="107">
        <f>IF(OR(UPPER(C177)="SERVIÇO",UPPER(C177)="SERVICO"),0,L177-K177)</f>
        <v/>
      </c>
    </row>
    <row r="178" ht="15" customHeight="1">
      <c r="B178" s="105" t="n">
        <v>167</v>
      </c>
      <c r="C178" s="105" t="inlineStr">
        <is>
          <t>Produto</t>
        </is>
      </c>
      <c r="D178" s="106" t="inlineStr">
        <is>
          <t>Regata esportiva alta performance rosa tam. M</t>
        </is>
      </c>
      <c r="E178" s="107" t="n">
        <v>44.55</v>
      </c>
      <c r="F178" s="108" t="n">
        <v>50</v>
      </c>
      <c r="G178" s="107">
        <f>ROUND(E178*(1+IF(ABS(F178)&lt;=1,F178,F178/100)),2)</f>
        <v/>
      </c>
      <c r="H178" s="105" t="n">
        <v>15</v>
      </c>
      <c r="I178" s="105" t="n">
        <v>5</v>
      </c>
      <c r="J178" s="105">
        <f>IF(OR(UPPER(C178)="SERVIÇO",UPPER(C178)="SERVICO"),"SERVIÇO",IF(H178&lt;=0,"ZERADO",IF(H178&lt;=I178,"ESTOQUE BAIXO","NORMAL")))</f>
        <v/>
      </c>
      <c r="K178" s="107">
        <f>IF(OR(UPPER(C178)="SERVIÇO",UPPER(C178)="SERVICO"),0,N(H178)*N(E178))</f>
        <v/>
      </c>
      <c r="L178" s="107">
        <f>IF(OR(UPPER(C178)="SERVIÇO",UPPER(C178)="SERVICO"),0,N(H178)*N(G178))</f>
        <v/>
      </c>
      <c r="M178" s="107">
        <f>IF(OR(UPPER(C178)="SERVIÇO",UPPER(C178)="SERVICO"),0,L178-K178)</f>
        <v/>
      </c>
    </row>
    <row r="179" ht="15" customHeight="1">
      <c r="B179" s="105" t="n">
        <v>168</v>
      </c>
      <c r="C179" s="105" t="inlineStr">
        <is>
          <t>Produto</t>
        </is>
      </c>
      <c r="D179" s="106" t="inlineStr">
        <is>
          <t>Corda de pular modelo básico azul</t>
        </is>
      </c>
      <c r="E179" s="107" t="n">
        <v>78.41</v>
      </c>
      <c r="F179" s="108" t="n">
        <v>50</v>
      </c>
      <c r="G179" s="107">
        <f>ROUND(E179*(1+IF(ABS(F179)&lt;=1,F179,F179/100)),2)</f>
        <v/>
      </c>
      <c r="H179" s="105" t="n">
        <v>15</v>
      </c>
      <c r="I179" s="105" t="n">
        <v>5</v>
      </c>
      <c r="J179" s="105">
        <f>IF(OR(UPPER(C179)="SERVIÇO",UPPER(C179)="SERVICO"),"SERVIÇO",IF(H179&lt;=0,"ZERADO",IF(H179&lt;=I179,"ESTOQUE BAIXO","NORMAL")))</f>
        <v/>
      </c>
      <c r="K179" s="107">
        <f>IF(OR(UPPER(C179)="SERVIÇO",UPPER(C179)="SERVICO"),0,N(H179)*N(E179))</f>
        <v/>
      </c>
      <c r="L179" s="107">
        <f>IF(OR(UPPER(C179)="SERVIÇO",UPPER(C179)="SERVICO"),0,N(H179)*N(G179))</f>
        <v/>
      </c>
      <c r="M179" s="107">
        <f>IF(OR(UPPER(C179)="SERVIÇO",UPPER(C179)="SERVICO"),0,L179-K179)</f>
        <v/>
      </c>
    </row>
    <row r="180" ht="15" customHeight="1">
      <c r="B180" s="105" t="n">
        <v>169</v>
      </c>
      <c r="C180" s="105" t="inlineStr">
        <is>
          <t>Produto</t>
        </is>
      </c>
      <c r="D180" s="106" t="inlineStr">
        <is>
          <t>Kettlebell ergonômico cinza</t>
        </is>
      </c>
      <c r="E180" s="107" t="n">
        <v>169.08</v>
      </c>
      <c r="F180" s="108" t="n">
        <v>50</v>
      </c>
      <c r="G180" s="107">
        <f>ROUND(E180*(1+IF(ABS(F180)&lt;=1,F180,F180/100)),2)</f>
        <v/>
      </c>
      <c r="H180" s="105" t="n">
        <v>15</v>
      </c>
      <c r="I180" s="105" t="n">
        <v>5</v>
      </c>
      <c r="J180" s="105">
        <f>IF(OR(UPPER(C180)="SERVIÇO",UPPER(C180)="SERVICO"),"SERVIÇO",IF(H180&lt;=0,"ZERADO",IF(H180&lt;=I180,"ESTOQUE BAIXO","NORMAL")))</f>
        <v/>
      </c>
      <c r="K180" s="107">
        <f>IF(OR(UPPER(C180)="SERVIÇO",UPPER(C180)="SERVICO"),0,N(H180)*N(E180))</f>
        <v/>
      </c>
      <c r="L180" s="107">
        <f>IF(OR(UPPER(C180)="SERVIÇO",UPPER(C180)="SERVICO"),0,N(H180)*N(G180))</f>
        <v/>
      </c>
      <c r="M180" s="107">
        <f>IF(OR(UPPER(C180)="SERVIÇO",UPPER(C180)="SERVICO"),0,L180-K180)</f>
        <v/>
      </c>
    </row>
    <row r="181" ht="15" customHeight="1">
      <c r="B181" s="105" t="n">
        <v>170</v>
      </c>
      <c r="C181" s="105" t="inlineStr">
        <is>
          <t>Produto</t>
        </is>
      </c>
      <c r="D181" s="106" t="inlineStr">
        <is>
          <t>Elástico de resistência juvenil rosa</t>
        </is>
      </c>
      <c r="E181" s="107" t="n">
        <v>12.34</v>
      </c>
      <c r="F181" s="108" t="n">
        <v>50</v>
      </c>
      <c r="G181" s="107">
        <f>ROUND(E181*(1+IF(ABS(F181)&lt;=1,F181,F181/100)),2)</f>
        <v/>
      </c>
      <c r="H181" s="105" t="n">
        <v>15</v>
      </c>
      <c r="I181" s="105" t="n">
        <v>5</v>
      </c>
      <c r="J181" s="105">
        <f>IF(OR(UPPER(C181)="SERVIÇO",UPPER(C181)="SERVICO"),"SERVIÇO",IF(H181&lt;=0,"ZERADO",IF(H181&lt;=I181,"ESTOQUE BAIXO","NORMAL")))</f>
        <v/>
      </c>
      <c r="K181" s="107">
        <f>IF(OR(UPPER(C181)="SERVIÇO",UPPER(C181)="SERVICO"),0,N(H181)*N(E181))</f>
        <v/>
      </c>
      <c r="L181" s="107">
        <f>IF(OR(UPPER(C181)="SERVIÇO",UPPER(C181)="SERVICO"),0,N(H181)*N(G181))</f>
        <v/>
      </c>
      <c r="M181" s="107">
        <f>IF(OR(UPPER(C181)="SERVIÇO",UPPER(C181)="SERVICO"),0,L181-K181)</f>
        <v/>
      </c>
    </row>
    <row r="182" ht="15" customHeight="1">
      <c r="B182" s="105" t="n">
        <v>171</v>
      </c>
      <c r="C182" s="105" t="inlineStr">
        <is>
          <t>Produto</t>
        </is>
      </c>
      <c r="D182" s="106" t="inlineStr">
        <is>
          <t>Mochila esportiva treino laranja</t>
        </is>
      </c>
      <c r="E182" s="107" t="n">
        <v>212.38</v>
      </c>
      <c r="F182" s="108" t="n">
        <v>50</v>
      </c>
      <c r="G182" s="107">
        <f>ROUND(E182*(1+IF(ABS(F182)&lt;=1,F182,F182/100)),2)</f>
        <v/>
      </c>
      <c r="H182" s="105" t="n">
        <v>15</v>
      </c>
      <c r="I182" s="105" t="n">
        <v>5</v>
      </c>
      <c r="J182" s="105">
        <f>IF(OR(UPPER(C182)="SERVIÇO",UPPER(C182)="SERVICO"),"SERVIÇO",IF(H182&lt;=0,"ZERADO",IF(H182&lt;=I182,"ESTOQUE BAIXO","NORMAL")))</f>
        <v/>
      </c>
      <c r="K182" s="107">
        <f>IF(OR(UPPER(C182)="SERVIÇO",UPPER(C182)="SERVICO"),0,N(H182)*N(E182))</f>
        <v/>
      </c>
      <c r="L182" s="107">
        <f>IF(OR(UPPER(C182)="SERVIÇO",UPPER(C182)="SERVICO"),0,N(H182)*N(G182))</f>
        <v/>
      </c>
      <c r="M182" s="107">
        <f>IF(OR(UPPER(C182)="SERVIÇO",UPPER(C182)="SERVICO"),0,L182-K182)</f>
        <v/>
      </c>
    </row>
    <row r="183" ht="15" customHeight="1">
      <c r="B183" s="105" t="n">
        <v>172</v>
      </c>
      <c r="C183" s="105" t="inlineStr">
        <is>
          <t>Produto</t>
        </is>
      </c>
      <c r="D183" s="106" t="inlineStr">
        <is>
          <t>Bola de futebol com ajuste laranja</t>
        </is>
      </c>
      <c r="E183" s="107" t="n">
        <v>38.07</v>
      </c>
      <c r="F183" s="108" t="n">
        <v>50</v>
      </c>
      <c r="G183" s="107">
        <f>ROUND(E183*(1+IF(ABS(F183)&lt;=1,F183,F183/100)),2)</f>
        <v/>
      </c>
      <c r="H183" s="105" t="n">
        <v>15</v>
      </c>
      <c r="I183" s="105" t="n">
        <v>5</v>
      </c>
      <c r="J183" s="105">
        <f>IF(OR(UPPER(C183)="SERVIÇO",UPPER(C183)="SERVICO"),"SERVIÇO",IF(H183&lt;=0,"ZERADO",IF(H183&lt;=I183,"ESTOQUE BAIXO","NORMAL")))</f>
        <v/>
      </c>
      <c r="K183" s="107">
        <f>IF(OR(UPPER(C183)="SERVIÇO",UPPER(C183)="SERVICO"),0,N(H183)*N(E183))</f>
        <v/>
      </c>
      <c r="L183" s="107">
        <f>IF(OR(UPPER(C183)="SERVIÇO",UPPER(C183)="SERVICO"),0,N(H183)*N(G183))</f>
        <v/>
      </c>
      <c r="M183" s="107">
        <f>IF(OR(UPPER(C183)="SERVIÇO",UPPER(C183)="SERVICO"),0,L183-K183)</f>
        <v/>
      </c>
    </row>
    <row r="184" ht="15" customHeight="1">
      <c r="B184" s="105" t="n">
        <v>173</v>
      </c>
      <c r="C184" s="105" t="inlineStr">
        <is>
          <t>Produto</t>
        </is>
      </c>
      <c r="D184" s="106" t="inlineStr">
        <is>
          <t>Monitor cardíaco versão 2026 rosa</t>
        </is>
      </c>
      <c r="E184" s="107" t="n">
        <v>395.41</v>
      </c>
      <c r="F184" s="108" t="n">
        <v>50</v>
      </c>
      <c r="G184" s="107">
        <f>ROUND(E184*(1+IF(ABS(F184)&lt;=1,F184,F184/100)),2)</f>
        <v/>
      </c>
      <c r="H184" s="105" t="n">
        <v>15</v>
      </c>
      <c r="I184" s="105" t="n">
        <v>5</v>
      </c>
      <c r="J184" s="105">
        <f>IF(OR(UPPER(C184)="SERVIÇO",UPPER(C184)="SERVICO"),"SERVIÇO",IF(H184&lt;=0,"ZERADO",IF(H184&lt;=I184,"ESTOQUE BAIXO","NORMAL")))</f>
        <v/>
      </c>
      <c r="K184" s="107">
        <f>IF(OR(UPPER(C184)="SERVIÇO",UPPER(C184)="SERVICO"),0,N(H184)*N(E184))</f>
        <v/>
      </c>
      <c r="L184" s="107">
        <f>IF(OR(UPPER(C184)="SERVIÇO",UPPER(C184)="SERVICO"),0,N(H184)*N(G184))</f>
        <v/>
      </c>
      <c r="M184" s="107">
        <f>IF(OR(UPPER(C184)="SERVIÇO",UPPER(C184)="SERVICO"),0,L184-K184)</f>
        <v/>
      </c>
    </row>
    <row r="185" ht="15" customHeight="1">
      <c r="B185" s="105" t="n">
        <v>174</v>
      </c>
      <c r="C185" s="105" t="inlineStr">
        <is>
          <t>Produto</t>
        </is>
      </c>
      <c r="D185" s="106" t="inlineStr">
        <is>
          <t>Step de ginástica reforçado cinza</t>
        </is>
      </c>
      <c r="E185" s="107" t="n">
        <v>191.75</v>
      </c>
      <c r="F185" s="108" t="n">
        <v>50</v>
      </c>
      <c r="G185" s="107">
        <f>ROUND(E185*(1+IF(ABS(F185)&lt;=1,F185,F185/100)),2)</f>
        <v/>
      </c>
      <c r="H185" s="105" t="n">
        <v>15</v>
      </c>
      <c r="I185" s="105" t="n">
        <v>5</v>
      </c>
      <c r="J185" s="105">
        <f>IF(OR(UPPER(C185)="SERVIÇO",UPPER(C185)="SERVICO"),"SERVIÇO",IF(H185&lt;=0,"ZERADO",IF(H185&lt;=I185,"ESTOQUE BAIXO","NORMAL")))</f>
        <v/>
      </c>
      <c r="K185" s="107">
        <f>IF(OR(UPPER(C185)="SERVIÇO",UPPER(C185)="SERVICO"),0,N(H185)*N(E185))</f>
        <v/>
      </c>
      <c r="L185" s="107">
        <f>IF(OR(UPPER(C185)="SERVIÇO",UPPER(C185)="SERVICO"),0,N(H185)*N(G185))</f>
        <v/>
      </c>
      <c r="M185" s="107">
        <f>IF(OR(UPPER(C185)="SERVIÇO",UPPER(C185)="SERVICO"),0,L185-K185)</f>
        <v/>
      </c>
    </row>
    <row r="186" ht="15" customHeight="1">
      <c r="B186" s="105" t="n">
        <v>175</v>
      </c>
      <c r="C186" s="105" t="inlineStr">
        <is>
          <t>Produto</t>
        </is>
      </c>
      <c r="D186" s="106" t="inlineStr">
        <is>
          <t>Garrafa squeeze ergonômico azul</t>
        </is>
      </c>
      <c r="E186" s="107" t="n">
        <v>10.41</v>
      </c>
      <c r="F186" s="108" t="n">
        <v>50</v>
      </c>
      <c r="G186" s="107">
        <f>ROUND(E186*(1+IF(ABS(F186)&lt;=1,F186,F186/100)),2)</f>
        <v/>
      </c>
      <c r="H186" s="105" t="n">
        <v>15</v>
      </c>
      <c r="I186" s="105" t="n">
        <v>5</v>
      </c>
      <c r="J186" s="105">
        <f>IF(OR(UPPER(C186)="SERVIÇO",UPPER(C186)="SERVICO"),"SERVIÇO",IF(H186&lt;=0,"ZERADO",IF(H186&lt;=I186,"ESTOQUE BAIXO","NORMAL")))</f>
        <v/>
      </c>
      <c r="K186" s="107">
        <f>IF(OR(UPPER(C186)="SERVIÇO",UPPER(C186)="SERVICO"),0,N(H186)*N(E186))</f>
        <v/>
      </c>
      <c r="L186" s="107">
        <f>IF(OR(UPPER(C186)="SERVIÇO",UPPER(C186)="SERVICO"),0,N(H186)*N(G186))</f>
        <v/>
      </c>
      <c r="M186" s="107">
        <f>IF(OR(UPPER(C186)="SERVIÇO",UPPER(C186)="SERVICO"),0,L186-K186)</f>
        <v/>
      </c>
    </row>
    <row r="187" ht="15" customHeight="1">
      <c r="B187" s="105" t="n">
        <v>176</v>
      </c>
      <c r="C187" s="105" t="inlineStr">
        <is>
          <t>Produto</t>
        </is>
      </c>
      <c r="D187" s="106" t="inlineStr">
        <is>
          <t>Touca de natação compacto vermelho tam. 34</t>
        </is>
      </c>
      <c r="E187" s="107" t="n">
        <v>37.03</v>
      </c>
      <c r="F187" s="108" t="n">
        <v>50</v>
      </c>
      <c r="G187" s="107">
        <f>ROUND(E187*(1+IF(ABS(F187)&lt;=1,F187,F187/100)),2)</f>
        <v/>
      </c>
      <c r="H187" s="105" t="n">
        <v>15</v>
      </c>
      <c r="I187" s="105" t="n">
        <v>5</v>
      </c>
      <c r="J187" s="105">
        <f>IF(OR(UPPER(C187)="SERVIÇO",UPPER(C187)="SERVICO"),"SERVIÇO",IF(H187&lt;=0,"ZERADO",IF(H187&lt;=I187,"ESTOQUE BAIXO","NORMAL")))</f>
        <v/>
      </c>
      <c r="K187" s="107">
        <f>IF(OR(UPPER(C187)="SERVIÇO",UPPER(C187)="SERVICO"),0,N(H187)*N(E187))</f>
        <v/>
      </c>
      <c r="L187" s="107">
        <f>IF(OR(UPPER(C187)="SERVIÇO",UPPER(C187)="SERVICO"),0,N(H187)*N(G187))</f>
        <v/>
      </c>
      <c r="M187" s="107">
        <f>IF(OR(UPPER(C187)="SERVIÇO",UPPER(C187)="SERVICO"),0,L187-K187)</f>
        <v/>
      </c>
    </row>
    <row r="188" ht="15" customHeight="1">
      <c r="B188" s="105" t="n">
        <v>177</v>
      </c>
      <c r="C188" s="105" t="inlineStr">
        <is>
          <t>Produto</t>
        </is>
      </c>
      <c r="D188" s="106" t="inlineStr">
        <is>
          <t>Luva de goleiro profissional verde tam. M</t>
        </is>
      </c>
      <c r="E188" s="107" t="n">
        <v>123.61</v>
      </c>
      <c r="F188" s="108" t="n">
        <v>50</v>
      </c>
      <c r="G188" s="107">
        <f>ROUND(E188*(1+IF(ABS(F188)&lt;=1,F188,F188/100)),2)</f>
        <v/>
      </c>
      <c r="H188" s="105" t="n">
        <v>15</v>
      </c>
      <c r="I188" s="105" t="n">
        <v>5</v>
      </c>
      <c r="J188" s="105">
        <f>IF(OR(UPPER(C188)="SERVIÇO",UPPER(C188)="SERVICO"),"SERVIÇO",IF(H188&lt;=0,"ZERADO",IF(H188&lt;=I188,"ESTOQUE BAIXO","NORMAL")))</f>
        <v/>
      </c>
      <c r="K188" s="107">
        <f>IF(OR(UPPER(C188)="SERVIÇO",UPPER(C188)="SERVICO"),0,N(H188)*N(E188))</f>
        <v/>
      </c>
      <c r="L188" s="107">
        <f>IF(OR(UPPER(C188)="SERVIÇO",UPPER(C188)="SERVICO"),0,N(H188)*N(G188))</f>
        <v/>
      </c>
      <c r="M188" s="107">
        <f>IF(OR(UPPER(C188)="SERVIÇO",UPPER(C188)="SERVICO"),0,L188-K188)</f>
        <v/>
      </c>
    </row>
    <row r="189" ht="15" customHeight="1">
      <c r="B189" s="105" t="n">
        <v>178</v>
      </c>
      <c r="C189" s="105" t="inlineStr">
        <is>
          <t>Produto</t>
        </is>
      </c>
      <c r="D189" s="106" t="inlineStr">
        <is>
          <t>Tênis para quadra ergonômico cinza tam. 42</t>
        </is>
      </c>
      <c r="E189" s="107" t="n">
        <v>361.52</v>
      </c>
      <c r="F189" s="108" t="n">
        <v>50</v>
      </c>
      <c r="G189" s="107">
        <f>ROUND(E189*(1+IF(ABS(F189)&lt;=1,F189,F189/100)),2)</f>
        <v/>
      </c>
      <c r="H189" s="105" t="n">
        <v>15</v>
      </c>
      <c r="I189" s="105" t="n">
        <v>5</v>
      </c>
      <c r="J189" s="105">
        <f>IF(OR(UPPER(C189)="SERVIÇO",UPPER(C189)="SERVICO"),"SERVIÇO",IF(H189&lt;=0,"ZERADO",IF(H189&lt;=I189,"ESTOQUE BAIXO","NORMAL")))</f>
        <v/>
      </c>
      <c r="K189" s="107">
        <f>IF(OR(UPPER(C189)="SERVIÇO",UPPER(C189)="SERVICO"),0,N(H189)*N(E189))</f>
        <v/>
      </c>
      <c r="L189" s="107">
        <f>IF(OR(UPPER(C189)="SERVIÇO",UPPER(C189)="SERVICO"),0,N(H189)*N(G189))</f>
        <v/>
      </c>
      <c r="M189" s="107">
        <f>IF(OR(UPPER(C189)="SERVIÇO",UPPER(C189)="SERVICO"),0,L189-K189)</f>
        <v/>
      </c>
    </row>
    <row r="190" ht="15" customHeight="1">
      <c r="B190" s="105" t="n">
        <v>179</v>
      </c>
      <c r="C190" s="105" t="inlineStr">
        <is>
          <t>Produto</t>
        </is>
      </c>
      <c r="D190" s="106" t="inlineStr">
        <is>
          <t>Corda de pular ergonômico verde</t>
        </is>
      </c>
      <c r="E190" s="107" t="n">
        <v>45.94</v>
      </c>
      <c r="F190" s="108" t="n">
        <v>50</v>
      </c>
      <c r="G190" s="107">
        <f>ROUND(E190*(1+IF(ABS(F190)&lt;=1,F190,F190/100)),2)</f>
        <v/>
      </c>
      <c r="H190" s="105" t="n">
        <v>15</v>
      </c>
      <c r="I190" s="105" t="n">
        <v>5</v>
      </c>
      <c r="J190" s="105">
        <f>IF(OR(UPPER(C190)="SERVIÇO",UPPER(C190)="SERVICO"),"SERVIÇO",IF(H190&lt;=0,"ZERADO",IF(H190&lt;=I190,"ESTOQUE BAIXO","NORMAL")))</f>
        <v/>
      </c>
      <c r="K190" s="107">
        <f>IF(OR(UPPER(C190)="SERVIÇO",UPPER(C190)="SERVICO"),0,N(H190)*N(E190))</f>
        <v/>
      </c>
      <c r="L190" s="107">
        <f>IF(OR(UPPER(C190)="SERVIÇO",UPPER(C190)="SERVICO"),0,N(H190)*N(G190))</f>
        <v/>
      </c>
      <c r="M190" s="107">
        <f>IF(OR(UPPER(C190)="SERVIÇO",UPPER(C190)="SERVICO"),0,L190-K190)</f>
        <v/>
      </c>
    </row>
    <row r="191" ht="15" customHeight="1">
      <c r="B191" s="105" t="n">
        <v>180</v>
      </c>
      <c r="C191" s="105" t="inlineStr">
        <is>
          <t>Produto</t>
        </is>
      </c>
      <c r="D191" s="106" t="inlineStr">
        <is>
          <t>Chuteira society reforçado vermelho tam. M</t>
        </is>
      </c>
      <c r="E191" s="107" t="n">
        <v>159.39</v>
      </c>
      <c r="F191" s="108" t="n">
        <v>50</v>
      </c>
      <c r="G191" s="107">
        <f>ROUND(E191*(1+IF(ABS(F191)&lt;=1,F191,F191/100)),2)</f>
        <v/>
      </c>
      <c r="H191" s="105" t="n">
        <v>15</v>
      </c>
      <c r="I191" s="105" t="n">
        <v>5</v>
      </c>
      <c r="J191" s="105">
        <f>IF(OR(UPPER(C191)="SERVIÇO",UPPER(C191)="SERVICO"),"SERVIÇO",IF(H191&lt;=0,"ZERADO",IF(H191&lt;=I191,"ESTOQUE BAIXO","NORMAL")))</f>
        <v/>
      </c>
      <c r="K191" s="107">
        <f>IF(OR(UPPER(C191)="SERVIÇO",UPPER(C191)="SERVICO"),0,N(H191)*N(E191))</f>
        <v/>
      </c>
      <c r="L191" s="107">
        <f>IF(OR(UPPER(C191)="SERVIÇO",UPPER(C191)="SERVICO"),0,N(H191)*N(G191))</f>
        <v/>
      </c>
      <c r="M191" s="107">
        <f>IF(OR(UPPER(C191)="SERVIÇO",UPPER(C191)="SERVICO"),0,L191-K191)</f>
        <v/>
      </c>
    </row>
    <row r="192" ht="15" customHeight="1">
      <c r="B192" s="105" t="n">
        <v>181</v>
      </c>
      <c r="C192" s="105" t="inlineStr">
        <is>
          <t>Produto</t>
        </is>
      </c>
      <c r="D192" s="106" t="inlineStr">
        <is>
          <t>Corda de pular resistente cinza</t>
        </is>
      </c>
      <c r="E192" s="107" t="n">
        <v>75.40000000000001</v>
      </c>
      <c r="F192" s="108" t="n">
        <v>50</v>
      </c>
      <c r="G192" s="107">
        <f>ROUND(E192*(1+IF(ABS(F192)&lt;=1,F192,F192/100)),2)</f>
        <v/>
      </c>
      <c r="H192" s="105" t="n">
        <v>15</v>
      </c>
      <c r="I192" s="105" t="n">
        <v>5</v>
      </c>
      <c r="J192" s="105">
        <f>IF(OR(UPPER(C192)="SERVIÇO",UPPER(C192)="SERVICO"),"SERVIÇO",IF(H192&lt;=0,"ZERADO",IF(H192&lt;=I192,"ESTOQUE BAIXO","NORMAL")))</f>
        <v/>
      </c>
      <c r="K192" s="107">
        <f>IF(OR(UPPER(C192)="SERVIÇO",UPPER(C192)="SERVICO"),0,N(H192)*N(E192))</f>
        <v/>
      </c>
      <c r="L192" s="107">
        <f>IF(OR(UPPER(C192)="SERVIÇO",UPPER(C192)="SERVICO"),0,N(H192)*N(G192))</f>
        <v/>
      </c>
      <c r="M192" s="107">
        <f>IF(OR(UPPER(C192)="SERVIÇO",UPPER(C192)="SERVICO"),0,L192-K192)</f>
        <v/>
      </c>
    </row>
    <row r="193" ht="15" customHeight="1">
      <c r="B193" s="105" t="n">
        <v>182</v>
      </c>
      <c r="C193" s="105" t="inlineStr">
        <is>
          <t>Produto</t>
        </is>
      </c>
      <c r="D193" s="106" t="inlineStr">
        <is>
          <t>Garrafa squeeze unissex rosa</t>
        </is>
      </c>
      <c r="E193" s="107" t="n">
        <v>53.07</v>
      </c>
      <c r="F193" s="108" t="n">
        <v>50</v>
      </c>
      <c r="G193" s="107">
        <f>ROUND(E193*(1+IF(ABS(F193)&lt;=1,F193,F193/100)),2)</f>
        <v/>
      </c>
      <c r="H193" s="105" t="n">
        <v>15</v>
      </c>
      <c r="I193" s="105" t="n">
        <v>5</v>
      </c>
      <c r="J193" s="105">
        <f>IF(OR(UPPER(C193)="SERVIÇO",UPPER(C193)="SERVICO"),"SERVIÇO",IF(H193&lt;=0,"ZERADO",IF(H193&lt;=I193,"ESTOQUE BAIXO","NORMAL")))</f>
        <v/>
      </c>
      <c r="K193" s="107">
        <f>IF(OR(UPPER(C193)="SERVIÇO",UPPER(C193)="SERVICO"),0,N(H193)*N(E193))</f>
        <v/>
      </c>
      <c r="L193" s="107">
        <f>IF(OR(UPPER(C193)="SERVIÇO",UPPER(C193)="SERVICO"),0,N(H193)*N(G193))</f>
        <v/>
      </c>
      <c r="M193" s="107">
        <f>IF(OR(UPPER(C193)="SERVIÇO",UPPER(C193)="SERVICO"),0,L193-K193)</f>
        <v/>
      </c>
    </row>
    <row r="194" ht="15" customHeight="1">
      <c r="B194" s="105" t="n">
        <v>183</v>
      </c>
      <c r="C194" s="105" t="inlineStr">
        <is>
          <t>Produto</t>
        </is>
      </c>
      <c r="D194" s="106" t="inlineStr">
        <is>
          <t>Bicicleta urbana ergonômico branco</t>
        </is>
      </c>
      <c r="E194" s="107" t="n">
        <v>1716.62</v>
      </c>
      <c r="F194" s="108" t="n">
        <v>50</v>
      </c>
      <c r="G194" s="107">
        <f>ROUND(E194*(1+IF(ABS(F194)&lt;=1,F194,F194/100)),2)</f>
        <v/>
      </c>
      <c r="H194" s="105" t="n">
        <v>15</v>
      </c>
      <c r="I194" s="105" t="n">
        <v>5</v>
      </c>
      <c r="J194" s="105">
        <f>IF(OR(UPPER(C194)="SERVIÇO",UPPER(C194)="SERVICO"),"SERVIÇO",IF(H194&lt;=0,"ZERADO",IF(H194&lt;=I194,"ESTOQUE BAIXO","NORMAL")))</f>
        <v/>
      </c>
      <c r="K194" s="107">
        <f>IF(OR(UPPER(C194)="SERVIÇO",UPPER(C194)="SERVICO"),0,N(H194)*N(E194))</f>
        <v/>
      </c>
      <c r="L194" s="107">
        <f>IF(OR(UPPER(C194)="SERVIÇO",UPPER(C194)="SERVICO"),0,N(H194)*N(G194))</f>
        <v/>
      </c>
      <c r="M194" s="107">
        <f>IF(OR(UPPER(C194)="SERVIÇO",UPPER(C194)="SERVICO"),0,L194-K194)</f>
        <v/>
      </c>
    </row>
    <row r="195" ht="15" customHeight="1">
      <c r="B195" s="105" t="n">
        <v>184</v>
      </c>
      <c r="C195" s="105" t="inlineStr">
        <is>
          <t>Produto</t>
        </is>
      </c>
      <c r="D195" s="106" t="inlineStr">
        <is>
          <t>Step de ginástica para uso diário rosa</t>
        </is>
      </c>
      <c r="E195" s="107" t="n">
        <v>283.82</v>
      </c>
      <c r="F195" s="108" t="n">
        <v>50</v>
      </c>
      <c r="G195" s="107">
        <f>ROUND(E195*(1+IF(ABS(F195)&lt;=1,F195,F195/100)),2)</f>
        <v/>
      </c>
      <c r="H195" s="105" t="n">
        <v>15</v>
      </c>
      <c r="I195" s="105" t="n">
        <v>5</v>
      </c>
      <c r="J195" s="105">
        <f>IF(OR(UPPER(C195)="SERVIÇO",UPPER(C195)="SERVICO"),"SERVIÇO",IF(H195&lt;=0,"ZERADO",IF(H195&lt;=I195,"ESTOQUE BAIXO","NORMAL")))</f>
        <v/>
      </c>
      <c r="K195" s="107">
        <f>IF(OR(UPPER(C195)="SERVIÇO",UPPER(C195)="SERVICO"),0,N(H195)*N(E195))</f>
        <v/>
      </c>
      <c r="L195" s="107">
        <f>IF(OR(UPPER(C195)="SERVIÇO",UPPER(C195)="SERVICO"),0,N(H195)*N(G195))</f>
        <v/>
      </c>
      <c r="M195" s="107">
        <f>IF(OR(UPPER(C195)="SERVIÇO",UPPER(C195)="SERVICO"),0,L195-K195)</f>
        <v/>
      </c>
    </row>
    <row r="196" ht="15" customHeight="1">
      <c r="B196" s="105" t="n">
        <v>185</v>
      </c>
      <c r="C196" s="105" t="inlineStr">
        <is>
          <t>Produto</t>
        </is>
      </c>
      <c r="D196" s="106" t="inlineStr">
        <is>
          <t>Short esportivo unissex laranja tam. GG</t>
        </is>
      </c>
      <c r="E196" s="107" t="n">
        <v>94.98</v>
      </c>
      <c r="F196" s="108" t="n">
        <v>50</v>
      </c>
      <c r="G196" s="107">
        <f>ROUND(E196*(1+IF(ABS(F196)&lt;=1,F196,F196/100)),2)</f>
        <v/>
      </c>
      <c r="H196" s="105" t="n">
        <v>15</v>
      </c>
      <c r="I196" s="105" t="n">
        <v>5</v>
      </c>
      <c r="J196" s="105">
        <f>IF(OR(UPPER(C196)="SERVIÇO",UPPER(C196)="SERVICO"),"SERVIÇO",IF(H196&lt;=0,"ZERADO",IF(H196&lt;=I196,"ESTOQUE BAIXO","NORMAL")))</f>
        <v/>
      </c>
      <c r="K196" s="107">
        <f>IF(OR(UPPER(C196)="SERVIÇO",UPPER(C196)="SERVICO"),0,N(H196)*N(E196))</f>
        <v/>
      </c>
      <c r="L196" s="107">
        <f>IF(OR(UPPER(C196)="SERVIÇO",UPPER(C196)="SERVICO"),0,N(H196)*N(G196))</f>
        <v/>
      </c>
      <c r="M196" s="107">
        <f>IF(OR(UPPER(C196)="SERVIÇO",UPPER(C196)="SERVICO"),0,L196-K196)</f>
        <v/>
      </c>
    </row>
    <row r="197" ht="15" customHeight="1">
      <c r="B197" s="105" t="n">
        <v>186</v>
      </c>
      <c r="C197" s="105" t="inlineStr">
        <is>
          <t>Produto</t>
        </is>
      </c>
      <c r="D197" s="106" t="inlineStr">
        <is>
          <t>Corda de pular modelo básico rosa</t>
        </is>
      </c>
      <c r="E197" s="107" t="n">
        <v>66.06999999999999</v>
      </c>
      <c r="F197" s="108" t="n">
        <v>50</v>
      </c>
      <c r="G197" s="107">
        <f>ROUND(E197*(1+IF(ABS(F197)&lt;=1,F197,F197/100)),2)</f>
        <v/>
      </c>
      <c r="H197" s="105" t="n">
        <v>15</v>
      </c>
      <c r="I197" s="105" t="n">
        <v>5</v>
      </c>
      <c r="J197" s="105">
        <f>IF(OR(UPPER(C197)="SERVIÇO",UPPER(C197)="SERVICO"),"SERVIÇO",IF(H197&lt;=0,"ZERADO",IF(H197&lt;=I197,"ESTOQUE BAIXO","NORMAL")))</f>
        <v/>
      </c>
      <c r="K197" s="107">
        <f>IF(OR(UPPER(C197)="SERVIÇO",UPPER(C197)="SERVICO"),0,N(H197)*N(E197))</f>
        <v/>
      </c>
      <c r="L197" s="107">
        <f>IF(OR(UPPER(C197)="SERVIÇO",UPPER(C197)="SERVICO"),0,N(H197)*N(G197))</f>
        <v/>
      </c>
      <c r="M197" s="107">
        <f>IF(OR(UPPER(C197)="SERVIÇO",UPPER(C197)="SERVICO"),0,L197-K197)</f>
        <v/>
      </c>
    </row>
    <row r="198" ht="15" customHeight="1">
      <c r="B198" s="105" t="n">
        <v>187</v>
      </c>
      <c r="C198" s="105" t="inlineStr">
        <is>
          <t>Produto</t>
        </is>
      </c>
      <c r="D198" s="106" t="inlineStr">
        <is>
          <t>Bloco para yoga recreativo rosa</t>
        </is>
      </c>
      <c r="E198" s="107" t="n">
        <v>46.57</v>
      </c>
      <c r="F198" s="108" t="n">
        <v>50</v>
      </c>
      <c r="G198" s="107">
        <f>ROUND(E198*(1+IF(ABS(F198)&lt;=1,F198,F198/100)),2)</f>
        <v/>
      </c>
      <c r="H198" s="105" t="n">
        <v>15</v>
      </c>
      <c r="I198" s="105" t="n">
        <v>5</v>
      </c>
      <c r="J198" s="105">
        <f>IF(OR(UPPER(C198)="SERVIÇO",UPPER(C198)="SERVICO"),"SERVIÇO",IF(H198&lt;=0,"ZERADO",IF(H198&lt;=I198,"ESTOQUE BAIXO","NORMAL")))</f>
        <v/>
      </c>
      <c r="K198" s="107">
        <f>IF(OR(UPPER(C198)="SERVIÇO",UPPER(C198)="SERVICO"),0,N(H198)*N(E198))</f>
        <v/>
      </c>
      <c r="L198" s="107">
        <f>IF(OR(UPPER(C198)="SERVIÇO",UPPER(C198)="SERVICO"),0,N(H198)*N(G198))</f>
        <v/>
      </c>
      <c r="M198" s="107">
        <f>IF(OR(UPPER(C198)="SERVIÇO",UPPER(C198)="SERVICO"),0,L198-K198)</f>
        <v/>
      </c>
    </row>
    <row r="199" ht="15" customHeight="1">
      <c r="B199" s="105" t="n">
        <v>188</v>
      </c>
      <c r="C199" s="105" t="inlineStr">
        <is>
          <t>Produto</t>
        </is>
      </c>
      <c r="D199" s="106" t="inlineStr">
        <is>
          <t>Chuteira de campo unissex branco tam. M</t>
        </is>
      </c>
      <c r="E199" s="107" t="n">
        <v>481.06</v>
      </c>
      <c r="F199" s="108" t="n">
        <v>50</v>
      </c>
      <c r="G199" s="107">
        <f>ROUND(E199*(1+IF(ABS(F199)&lt;=1,F199,F199/100)),2)</f>
        <v/>
      </c>
      <c r="H199" s="105" t="n">
        <v>15</v>
      </c>
      <c r="I199" s="105" t="n">
        <v>5</v>
      </c>
      <c r="J199" s="105">
        <f>IF(OR(UPPER(C199)="SERVIÇO",UPPER(C199)="SERVICO"),"SERVIÇO",IF(H199&lt;=0,"ZERADO",IF(H199&lt;=I199,"ESTOQUE BAIXO","NORMAL")))</f>
        <v/>
      </c>
      <c r="K199" s="107">
        <f>IF(OR(UPPER(C199)="SERVIÇO",UPPER(C199)="SERVICO"),0,N(H199)*N(E199))</f>
        <v/>
      </c>
      <c r="L199" s="107">
        <f>IF(OR(UPPER(C199)="SERVIÇO",UPPER(C199)="SERVICO"),0,N(H199)*N(G199))</f>
        <v/>
      </c>
      <c r="M199" s="107">
        <f>IF(OR(UPPER(C199)="SERVIÇO",UPPER(C199)="SERVICO"),0,L199-K199)</f>
        <v/>
      </c>
    </row>
    <row r="200" ht="15" customHeight="1">
      <c r="B200" s="105" t="n">
        <v>189</v>
      </c>
      <c r="C200" s="105" t="inlineStr">
        <is>
          <t>Produto</t>
        </is>
      </c>
      <c r="D200" s="106" t="inlineStr">
        <is>
          <t>Bicicleta urbana resistente rosa</t>
        </is>
      </c>
      <c r="E200" s="107" t="n">
        <v>537.04</v>
      </c>
      <c r="F200" s="108" t="n">
        <v>50</v>
      </c>
      <c r="G200" s="107">
        <f>ROUND(E200*(1+IF(ABS(F200)&lt;=1,F200,F200/100)),2)</f>
        <v/>
      </c>
      <c r="H200" s="105" t="n">
        <v>15</v>
      </c>
      <c r="I200" s="105" t="n">
        <v>5</v>
      </c>
      <c r="J200" s="105">
        <f>IF(OR(UPPER(C200)="SERVIÇO",UPPER(C200)="SERVICO"),"SERVIÇO",IF(H200&lt;=0,"ZERADO",IF(H200&lt;=I200,"ESTOQUE BAIXO","NORMAL")))</f>
        <v/>
      </c>
      <c r="K200" s="107">
        <f>IF(OR(UPPER(C200)="SERVIÇO",UPPER(C200)="SERVICO"),0,N(H200)*N(E200))</f>
        <v/>
      </c>
      <c r="L200" s="107">
        <f>IF(OR(UPPER(C200)="SERVIÇO",UPPER(C200)="SERVICO"),0,N(H200)*N(G200))</f>
        <v/>
      </c>
      <c r="M200" s="107">
        <f>IF(OR(UPPER(C200)="SERVIÇO",UPPER(C200)="SERVICO"),0,L200-K200)</f>
        <v/>
      </c>
    </row>
    <row r="201" ht="15" customHeight="1">
      <c r="B201" s="105" t="n">
        <v>190</v>
      </c>
      <c r="C201" s="105" t="inlineStr">
        <is>
          <t>Produto</t>
        </is>
      </c>
      <c r="D201" s="106" t="inlineStr">
        <is>
          <t>Chuteira society recreativo azul tam. 40</t>
        </is>
      </c>
      <c r="E201" s="107" t="n">
        <v>341.29</v>
      </c>
      <c r="F201" s="108" t="n">
        <v>50</v>
      </c>
      <c r="G201" s="107">
        <f>ROUND(E201*(1+IF(ABS(F201)&lt;=1,F201,F201/100)),2)</f>
        <v/>
      </c>
      <c r="H201" s="105" t="n">
        <v>15</v>
      </c>
      <c r="I201" s="105" t="n">
        <v>5</v>
      </c>
      <c r="J201" s="105">
        <f>IF(OR(UPPER(C201)="SERVIÇO",UPPER(C201)="SERVICO"),"SERVIÇO",IF(H201&lt;=0,"ZERADO",IF(H201&lt;=I201,"ESTOQUE BAIXO","NORMAL")))</f>
        <v/>
      </c>
      <c r="K201" s="107">
        <f>IF(OR(UPPER(C201)="SERVIÇO",UPPER(C201)="SERVICO"),0,N(H201)*N(E201))</f>
        <v/>
      </c>
      <c r="L201" s="107">
        <f>IF(OR(UPPER(C201)="SERVIÇO",UPPER(C201)="SERVICO"),0,N(H201)*N(G201))</f>
        <v/>
      </c>
      <c r="M201" s="107">
        <f>IF(OR(UPPER(C201)="SERVIÇO",UPPER(C201)="SERVICO"),0,L201-K201)</f>
        <v/>
      </c>
    </row>
    <row r="202" ht="15" customHeight="1">
      <c r="B202" s="105" t="n">
        <v>191</v>
      </c>
      <c r="C202" s="105" t="inlineStr">
        <is>
          <t>Produto</t>
        </is>
      </c>
      <c r="D202" s="106" t="inlineStr">
        <is>
          <t>Mochila esportiva versão 2026 laranja</t>
        </is>
      </c>
      <c r="E202" s="107" t="n">
        <v>168.5</v>
      </c>
      <c r="F202" s="108" t="n">
        <v>50</v>
      </c>
      <c r="G202" s="107">
        <f>ROUND(E202*(1+IF(ABS(F202)&lt;=1,F202,F202/100)),2)</f>
        <v/>
      </c>
      <c r="H202" s="105" t="n">
        <v>15</v>
      </c>
      <c r="I202" s="105" t="n">
        <v>5</v>
      </c>
      <c r="J202" s="105">
        <f>IF(OR(UPPER(C202)="SERVIÇO",UPPER(C202)="SERVICO"),"SERVIÇO",IF(H202&lt;=0,"ZERADO",IF(H202&lt;=I202,"ESTOQUE BAIXO","NORMAL")))</f>
        <v/>
      </c>
      <c r="K202" s="107">
        <f>IF(OR(UPPER(C202)="SERVIÇO",UPPER(C202)="SERVICO"),0,N(H202)*N(E202))</f>
        <v/>
      </c>
      <c r="L202" s="107">
        <f>IF(OR(UPPER(C202)="SERVIÇO",UPPER(C202)="SERVICO"),0,N(H202)*N(G202))</f>
        <v/>
      </c>
      <c r="M202" s="107">
        <f>IF(OR(UPPER(C202)="SERVIÇO",UPPER(C202)="SERVICO"),0,L202-K202)</f>
        <v/>
      </c>
    </row>
    <row r="203" ht="15" customHeight="1">
      <c r="B203" s="105" t="n">
        <v>192</v>
      </c>
      <c r="C203" s="105" t="inlineStr">
        <is>
          <t>Produto</t>
        </is>
      </c>
      <c r="D203" s="106" t="inlineStr">
        <is>
          <t>Kettlebell para uso diário branco</t>
        </is>
      </c>
      <c r="E203" s="107" t="n">
        <v>161.57</v>
      </c>
      <c r="F203" s="108" t="n">
        <v>50</v>
      </c>
      <c r="G203" s="107">
        <f>ROUND(E203*(1+IF(ABS(F203)&lt;=1,F203,F203/100)),2)</f>
        <v/>
      </c>
      <c r="H203" s="105" t="n">
        <v>15</v>
      </c>
      <c r="I203" s="105" t="n">
        <v>5</v>
      </c>
      <c r="J203" s="105">
        <f>IF(OR(UPPER(C203)="SERVIÇO",UPPER(C203)="SERVICO"),"SERVIÇO",IF(H203&lt;=0,"ZERADO",IF(H203&lt;=I203,"ESTOQUE BAIXO","NORMAL")))</f>
        <v/>
      </c>
      <c r="K203" s="107">
        <f>IF(OR(UPPER(C203)="SERVIÇO",UPPER(C203)="SERVICO"),0,N(H203)*N(E203))</f>
        <v/>
      </c>
      <c r="L203" s="107">
        <f>IF(OR(UPPER(C203)="SERVIÇO",UPPER(C203)="SERVICO"),0,N(H203)*N(G203))</f>
        <v/>
      </c>
      <c r="M203" s="107">
        <f>IF(OR(UPPER(C203)="SERVIÇO",UPPER(C203)="SERVICO"),0,L203-K203)</f>
        <v/>
      </c>
    </row>
    <row r="204" ht="15" customHeight="1">
      <c r="B204" s="105" t="n">
        <v>193</v>
      </c>
      <c r="C204" s="105" t="inlineStr">
        <is>
          <t>Produto</t>
        </is>
      </c>
      <c r="D204" s="106" t="inlineStr">
        <is>
          <t>Step de ginástica ventilado preto</t>
        </is>
      </c>
      <c r="E204" s="107" t="n">
        <v>208.13</v>
      </c>
      <c r="F204" s="108" t="n">
        <v>50</v>
      </c>
      <c r="G204" s="107">
        <f>ROUND(E204*(1+IF(ABS(F204)&lt;=1,F204,F204/100)),2)</f>
        <v/>
      </c>
      <c r="H204" s="105" t="n">
        <v>15</v>
      </c>
      <c r="I204" s="105" t="n">
        <v>5</v>
      </c>
      <c r="J204" s="105">
        <f>IF(OR(UPPER(C204)="SERVIÇO",UPPER(C204)="SERVICO"),"SERVIÇO",IF(H204&lt;=0,"ZERADO",IF(H204&lt;=I204,"ESTOQUE BAIXO","NORMAL")))</f>
        <v/>
      </c>
      <c r="K204" s="107">
        <f>IF(OR(UPPER(C204)="SERVIÇO",UPPER(C204)="SERVICO"),0,N(H204)*N(E204))</f>
        <v/>
      </c>
      <c r="L204" s="107">
        <f>IF(OR(UPPER(C204)="SERVIÇO",UPPER(C204)="SERVICO"),0,N(H204)*N(G204))</f>
        <v/>
      </c>
      <c r="M204" s="107">
        <f>IF(OR(UPPER(C204)="SERVIÇO",UPPER(C204)="SERVICO"),0,L204-K204)</f>
        <v/>
      </c>
    </row>
    <row r="205" ht="15" customHeight="1">
      <c r="B205" s="105" t="n">
        <v>194</v>
      </c>
      <c r="C205" s="105" t="inlineStr">
        <is>
          <t>Produto</t>
        </is>
      </c>
      <c r="D205" s="106" t="inlineStr">
        <is>
          <t>Meias esportivas compacto azul tam. 38</t>
        </is>
      </c>
      <c r="E205" s="107" t="n">
        <v>41.16</v>
      </c>
      <c r="F205" s="108" t="n">
        <v>50</v>
      </c>
      <c r="G205" s="107">
        <f>ROUND(E205*(1+IF(ABS(F205)&lt;=1,F205,F205/100)),2)</f>
        <v/>
      </c>
      <c r="H205" s="105" t="n">
        <v>15</v>
      </c>
      <c r="I205" s="105" t="n">
        <v>5</v>
      </c>
      <c r="J205" s="105">
        <f>IF(OR(UPPER(C205)="SERVIÇO",UPPER(C205)="SERVICO"),"SERVIÇO",IF(H205&lt;=0,"ZERADO",IF(H205&lt;=I205,"ESTOQUE BAIXO","NORMAL")))</f>
        <v/>
      </c>
      <c r="K205" s="107">
        <f>IF(OR(UPPER(C205)="SERVIÇO",UPPER(C205)="SERVICO"),0,N(H205)*N(E205))</f>
        <v/>
      </c>
      <c r="L205" s="107">
        <f>IF(OR(UPPER(C205)="SERVIÇO",UPPER(C205)="SERVICO"),0,N(H205)*N(G205))</f>
        <v/>
      </c>
      <c r="M205" s="107">
        <f>IF(OR(UPPER(C205)="SERVIÇO",UPPER(C205)="SERVICO"),0,L205-K205)</f>
        <v/>
      </c>
    </row>
    <row r="206" ht="15" customHeight="1">
      <c r="B206" s="105" t="n">
        <v>195</v>
      </c>
      <c r="C206" s="105" t="inlineStr">
        <is>
          <t>Produto</t>
        </is>
      </c>
      <c r="D206" s="106" t="inlineStr">
        <is>
          <t>Step de ginástica com ajuste vermelho</t>
        </is>
      </c>
      <c r="E206" s="107" t="n">
        <v>226.5</v>
      </c>
      <c r="F206" s="108" t="n">
        <v>50</v>
      </c>
      <c r="G206" s="107">
        <f>ROUND(E206*(1+IF(ABS(F206)&lt;=1,F206,F206/100)),2)</f>
        <v/>
      </c>
      <c r="H206" s="105" t="n">
        <v>15</v>
      </c>
      <c r="I206" s="105" t="n">
        <v>5</v>
      </c>
      <c r="J206" s="105">
        <f>IF(OR(UPPER(C206)="SERVIÇO",UPPER(C206)="SERVICO"),"SERVIÇO",IF(H206&lt;=0,"ZERADO",IF(H206&lt;=I206,"ESTOQUE BAIXO","NORMAL")))</f>
        <v/>
      </c>
      <c r="K206" s="107">
        <f>IF(OR(UPPER(C206)="SERVIÇO",UPPER(C206)="SERVICO"),0,N(H206)*N(E206))</f>
        <v/>
      </c>
      <c r="L206" s="107">
        <f>IF(OR(UPPER(C206)="SERVIÇO",UPPER(C206)="SERVICO"),0,N(H206)*N(G206))</f>
        <v/>
      </c>
      <c r="M206" s="107">
        <f>IF(OR(UPPER(C206)="SERVIÇO",UPPER(C206)="SERVICO"),0,L206-K206)</f>
        <v/>
      </c>
    </row>
    <row r="207" ht="15" customHeight="1">
      <c r="B207" s="105" t="n">
        <v>196</v>
      </c>
      <c r="C207" s="105" t="inlineStr">
        <is>
          <t>Produto</t>
        </is>
      </c>
      <c r="D207" s="106" t="inlineStr">
        <is>
          <t>Bola de basquete modelo básico preto</t>
        </is>
      </c>
      <c r="E207" s="107" t="n">
        <v>69.38</v>
      </c>
      <c r="F207" s="108" t="n">
        <v>50</v>
      </c>
      <c r="G207" s="107">
        <f>ROUND(E207*(1+IF(ABS(F207)&lt;=1,F207,F207/100)),2)</f>
        <v/>
      </c>
      <c r="H207" s="105" t="n">
        <v>15</v>
      </c>
      <c r="I207" s="105" t="n">
        <v>5</v>
      </c>
      <c r="J207" s="105">
        <f>IF(OR(UPPER(C207)="SERVIÇO",UPPER(C207)="SERVICO"),"SERVIÇO",IF(H207&lt;=0,"ZERADO",IF(H207&lt;=I207,"ESTOQUE BAIXO","NORMAL")))</f>
        <v/>
      </c>
      <c r="K207" s="107">
        <f>IF(OR(UPPER(C207)="SERVIÇO",UPPER(C207)="SERVICO"),0,N(H207)*N(E207))</f>
        <v/>
      </c>
      <c r="L207" s="107">
        <f>IF(OR(UPPER(C207)="SERVIÇO",UPPER(C207)="SERVICO"),0,N(H207)*N(G207))</f>
        <v/>
      </c>
      <c r="M207" s="107">
        <f>IF(OR(UPPER(C207)="SERVIÇO",UPPER(C207)="SERVICO"),0,L207-K207)</f>
        <v/>
      </c>
    </row>
    <row r="208" ht="15" customHeight="1">
      <c r="B208" s="105" t="n">
        <v>197</v>
      </c>
      <c r="C208" s="105" t="inlineStr">
        <is>
          <t>Produto</t>
        </is>
      </c>
      <c r="D208" s="106" t="inlineStr">
        <is>
          <t>Tapete de yoga recreativo verde</t>
        </is>
      </c>
      <c r="E208" s="107" t="n">
        <v>106.8</v>
      </c>
      <c r="F208" s="108" t="n">
        <v>50</v>
      </c>
      <c r="G208" s="107">
        <f>ROUND(E208*(1+IF(ABS(F208)&lt;=1,F208,F208/100)),2)</f>
        <v/>
      </c>
      <c r="H208" s="105" t="n">
        <v>15</v>
      </c>
      <c r="I208" s="105" t="n">
        <v>5</v>
      </c>
      <c r="J208" s="105">
        <f>IF(OR(UPPER(C208)="SERVIÇO",UPPER(C208)="SERVICO"),"SERVIÇO",IF(H208&lt;=0,"ZERADO",IF(H208&lt;=I208,"ESTOQUE BAIXO","NORMAL")))</f>
        <v/>
      </c>
      <c r="K208" s="107">
        <f>IF(OR(UPPER(C208)="SERVIÇO",UPPER(C208)="SERVICO"),0,N(H208)*N(E208))</f>
        <v/>
      </c>
      <c r="L208" s="107">
        <f>IF(OR(UPPER(C208)="SERVIÇO",UPPER(C208)="SERVICO"),0,N(H208)*N(G208))</f>
        <v/>
      </c>
      <c r="M208" s="107">
        <f>IF(OR(UPPER(C208)="SERVIÇO",UPPER(C208)="SERVICO"),0,L208-K208)</f>
        <v/>
      </c>
    </row>
    <row r="209" ht="15" customHeight="1">
      <c r="B209" s="105" t="n">
        <v>198</v>
      </c>
      <c r="C209" s="105" t="inlineStr">
        <is>
          <t>Produto</t>
        </is>
      </c>
      <c r="D209" s="106" t="inlineStr">
        <is>
          <t>Protetor bucal leve vermelho</t>
        </is>
      </c>
      <c r="E209" s="107" t="n">
        <v>12.97</v>
      </c>
      <c r="F209" s="108" t="n">
        <v>50</v>
      </c>
      <c r="G209" s="107">
        <f>ROUND(E209*(1+IF(ABS(F209)&lt;=1,F209,F209/100)),2)</f>
        <v/>
      </c>
      <c r="H209" s="105" t="n">
        <v>15</v>
      </c>
      <c r="I209" s="105" t="n">
        <v>5</v>
      </c>
      <c r="J209" s="105">
        <f>IF(OR(UPPER(C209)="SERVIÇO",UPPER(C209)="SERVICO"),"SERVIÇO",IF(H209&lt;=0,"ZERADO",IF(H209&lt;=I209,"ESTOQUE BAIXO","NORMAL")))</f>
        <v/>
      </c>
      <c r="K209" s="107">
        <f>IF(OR(UPPER(C209)="SERVIÇO",UPPER(C209)="SERVICO"),0,N(H209)*N(E209))</f>
        <v/>
      </c>
      <c r="L209" s="107">
        <f>IF(OR(UPPER(C209)="SERVIÇO",UPPER(C209)="SERVICO"),0,N(H209)*N(G209))</f>
        <v/>
      </c>
      <c r="M209" s="107">
        <f>IF(OR(UPPER(C209)="SERVIÇO",UPPER(C209)="SERVICO"),0,L209-K209)</f>
        <v/>
      </c>
    </row>
    <row r="210" ht="15" customHeight="1">
      <c r="B210" s="105" t="n">
        <v>199</v>
      </c>
      <c r="C210" s="105" t="inlineStr">
        <is>
          <t>Produto</t>
        </is>
      </c>
      <c r="D210" s="106" t="inlineStr">
        <is>
          <t>Bloco para yoga compacto rosa</t>
        </is>
      </c>
      <c r="E210" s="107" t="n">
        <v>44.54</v>
      </c>
      <c r="F210" s="108" t="n">
        <v>50</v>
      </c>
      <c r="G210" s="107">
        <f>ROUND(E210*(1+IF(ABS(F210)&lt;=1,F210,F210/100)),2)</f>
        <v/>
      </c>
      <c r="H210" s="105" t="n">
        <v>15</v>
      </c>
      <c r="I210" s="105" t="n">
        <v>5</v>
      </c>
      <c r="J210" s="105">
        <f>IF(OR(UPPER(C210)="SERVIÇO",UPPER(C210)="SERVICO"),"SERVIÇO",IF(H210&lt;=0,"ZERADO",IF(H210&lt;=I210,"ESTOQUE BAIXO","NORMAL")))</f>
        <v/>
      </c>
      <c r="K210" s="107">
        <f>IF(OR(UPPER(C210)="SERVIÇO",UPPER(C210)="SERVICO"),0,N(H210)*N(E210))</f>
        <v/>
      </c>
      <c r="L210" s="107">
        <f>IF(OR(UPPER(C210)="SERVIÇO",UPPER(C210)="SERVICO"),0,N(H210)*N(G210))</f>
        <v/>
      </c>
      <c r="M210" s="107">
        <f>IF(OR(UPPER(C210)="SERVIÇO",UPPER(C210)="SERVICO"),0,L210-K210)</f>
        <v/>
      </c>
    </row>
    <row r="211" ht="15" customHeight="1">
      <c r="B211" s="105" t="n">
        <v>200</v>
      </c>
      <c r="C211" s="105" t="inlineStr">
        <is>
          <t>Produto</t>
        </is>
      </c>
      <c r="D211" s="106" t="inlineStr">
        <is>
          <t>Chuteira society com ajuste cinza tam. 40</t>
        </is>
      </c>
      <c r="E211" s="107" t="n">
        <v>151.86</v>
      </c>
      <c r="F211" s="108" t="n">
        <v>50</v>
      </c>
      <c r="G211" s="107">
        <f>ROUND(E211*(1+IF(ABS(F211)&lt;=1,F211,F211/100)),2)</f>
        <v/>
      </c>
      <c r="H211" s="105" t="n">
        <v>15</v>
      </c>
      <c r="I211" s="105" t="n">
        <v>5</v>
      </c>
      <c r="J211" s="105">
        <f>IF(OR(UPPER(C211)="SERVIÇO",UPPER(C211)="SERVICO"),"SERVIÇO",IF(H211&lt;=0,"ZERADO",IF(H211&lt;=I211,"ESTOQUE BAIXO","NORMAL")))</f>
        <v/>
      </c>
      <c r="K211" s="107">
        <f>IF(OR(UPPER(C211)="SERVIÇO",UPPER(C211)="SERVICO"),0,N(H211)*N(E211))</f>
        <v/>
      </c>
      <c r="L211" s="107">
        <f>IF(OR(UPPER(C211)="SERVIÇO",UPPER(C211)="SERVICO"),0,N(H211)*N(G211))</f>
        <v/>
      </c>
      <c r="M211" s="107">
        <f>IF(OR(UPPER(C211)="SERVIÇO",UPPER(C211)="SERVICO"),0,L211-K211)</f>
        <v/>
      </c>
    </row>
    <row r="212" ht="15" customHeight="1">
      <c r="B212" s="105" t="n">
        <v>201</v>
      </c>
      <c r="C212" s="105" t="inlineStr">
        <is>
          <t>Produto</t>
        </is>
      </c>
      <c r="D212" s="106" t="inlineStr">
        <is>
          <t>Bola de futebol iniciante vermelho</t>
        </is>
      </c>
      <c r="E212" s="107" t="n">
        <v>41.02</v>
      </c>
      <c r="F212" s="108" t="n">
        <v>50</v>
      </c>
      <c r="G212" s="107">
        <f>ROUND(E212*(1+IF(ABS(F212)&lt;=1,F212,F212/100)),2)</f>
        <v/>
      </c>
      <c r="H212" s="105" t="n">
        <v>15</v>
      </c>
      <c r="I212" s="105" t="n">
        <v>5</v>
      </c>
      <c r="J212" s="105">
        <f>IF(OR(UPPER(C212)="SERVIÇO",UPPER(C212)="SERVICO"),"SERVIÇO",IF(H212&lt;=0,"ZERADO",IF(H212&lt;=I212,"ESTOQUE BAIXO","NORMAL")))</f>
        <v/>
      </c>
      <c r="K212" s="107">
        <f>IF(OR(UPPER(C212)="SERVIÇO",UPPER(C212)="SERVICO"),0,N(H212)*N(E212))</f>
        <v/>
      </c>
      <c r="L212" s="107">
        <f>IF(OR(UPPER(C212)="SERVIÇO",UPPER(C212)="SERVICO"),0,N(H212)*N(G212))</f>
        <v/>
      </c>
      <c r="M212" s="107">
        <f>IF(OR(UPPER(C212)="SERVIÇO",UPPER(C212)="SERVICO"),0,L212-K212)</f>
        <v/>
      </c>
    </row>
    <row r="213" ht="15" customHeight="1">
      <c r="B213" s="105" t="n">
        <v>202</v>
      </c>
      <c r="C213" s="105" t="inlineStr">
        <is>
          <t>Produto</t>
        </is>
      </c>
      <c r="D213" s="106" t="inlineStr">
        <is>
          <t>Colchonete de exercício iniciante laranja</t>
        </is>
      </c>
      <c r="E213" s="107" t="n">
        <v>90.20999999999999</v>
      </c>
      <c r="F213" s="108" t="n">
        <v>50</v>
      </c>
      <c r="G213" s="107">
        <f>ROUND(E213*(1+IF(ABS(F213)&lt;=1,F213,F213/100)),2)</f>
        <v/>
      </c>
      <c r="H213" s="105" t="n">
        <v>15</v>
      </c>
      <c r="I213" s="105" t="n">
        <v>5</v>
      </c>
      <c r="J213" s="105">
        <f>IF(OR(UPPER(C213)="SERVIÇO",UPPER(C213)="SERVICO"),"SERVIÇO",IF(H213&lt;=0,"ZERADO",IF(H213&lt;=I213,"ESTOQUE BAIXO","NORMAL")))</f>
        <v/>
      </c>
      <c r="K213" s="107">
        <f>IF(OR(UPPER(C213)="SERVIÇO",UPPER(C213)="SERVICO"),0,N(H213)*N(E213))</f>
        <v/>
      </c>
      <c r="L213" s="107">
        <f>IF(OR(UPPER(C213)="SERVIÇO",UPPER(C213)="SERVICO"),0,N(H213)*N(G213))</f>
        <v/>
      </c>
      <c r="M213" s="107">
        <f>IF(OR(UPPER(C213)="SERVIÇO",UPPER(C213)="SERVICO"),0,L213-K213)</f>
        <v/>
      </c>
    </row>
    <row r="214" ht="15" customHeight="1">
      <c r="B214" s="105" t="n">
        <v>203</v>
      </c>
      <c r="C214" s="105" t="inlineStr">
        <is>
          <t>Produto</t>
        </is>
      </c>
      <c r="D214" s="106" t="inlineStr">
        <is>
          <t>Capacete de ciclismo reforçado laranja</t>
        </is>
      </c>
      <c r="E214" s="107" t="n">
        <v>314.18</v>
      </c>
      <c r="F214" s="108" t="n">
        <v>50</v>
      </c>
      <c r="G214" s="107">
        <f>ROUND(E214*(1+IF(ABS(F214)&lt;=1,F214,F214/100)),2)</f>
        <v/>
      </c>
      <c r="H214" s="105" t="n">
        <v>15</v>
      </c>
      <c r="I214" s="105" t="n">
        <v>5</v>
      </c>
      <c r="J214" s="105">
        <f>IF(OR(UPPER(C214)="SERVIÇO",UPPER(C214)="SERVICO"),"SERVIÇO",IF(H214&lt;=0,"ZERADO",IF(H214&lt;=I214,"ESTOQUE BAIXO","NORMAL")))</f>
        <v/>
      </c>
      <c r="K214" s="107">
        <f>IF(OR(UPPER(C214)="SERVIÇO",UPPER(C214)="SERVICO"),0,N(H214)*N(E214))</f>
        <v/>
      </c>
      <c r="L214" s="107">
        <f>IF(OR(UPPER(C214)="SERVIÇO",UPPER(C214)="SERVICO"),0,N(H214)*N(G214))</f>
        <v/>
      </c>
      <c r="M214" s="107">
        <f>IF(OR(UPPER(C214)="SERVIÇO",UPPER(C214)="SERVICO"),0,L214-K214)</f>
        <v/>
      </c>
    </row>
    <row r="215" ht="15" customHeight="1">
      <c r="B215" s="105" t="n">
        <v>204</v>
      </c>
      <c r="C215" s="105" t="inlineStr">
        <is>
          <t>Produto</t>
        </is>
      </c>
      <c r="D215" s="106" t="inlineStr">
        <is>
          <t>Tênis de corrida para uso diário branco tam. 44</t>
        </is>
      </c>
      <c r="E215" s="107" t="n">
        <v>240.83</v>
      </c>
      <c r="F215" s="108" t="n">
        <v>50</v>
      </c>
      <c r="G215" s="107">
        <f>ROUND(E215*(1+IF(ABS(F215)&lt;=1,F215,F215/100)),2)</f>
        <v/>
      </c>
      <c r="H215" s="105" t="n">
        <v>15</v>
      </c>
      <c r="I215" s="105" t="n">
        <v>5</v>
      </c>
      <c r="J215" s="105">
        <f>IF(OR(UPPER(C215)="SERVIÇO",UPPER(C215)="SERVICO"),"SERVIÇO",IF(H215&lt;=0,"ZERADO",IF(H215&lt;=I215,"ESTOQUE BAIXO","NORMAL")))</f>
        <v/>
      </c>
      <c r="K215" s="107">
        <f>IF(OR(UPPER(C215)="SERVIÇO",UPPER(C215)="SERVICO"),0,N(H215)*N(E215))</f>
        <v/>
      </c>
      <c r="L215" s="107">
        <f>IF(OR(UPPER(C215)="SERVIÇO",UPPER(C215)="SERVICO"),0,N(H215)*N(G215))</f>
        <v/>
      </c>
      <c r="M215" s="107">
        <f>IF(OR(UPPER(C215)="SERVIÇO",UPPER(C215)="SERVICO"),0,L215-K215)</f>
        <v/>
      </c>
    </row>
    <row r="216" ht="15" customHeight="1">
      <c r="B216" s="105" t="n">
        <v>205</v>
      </c>
      <c r="C216" s="105" t="inlineStr">
        <is>
          <t>Produto</t>
        </is>
      </c>
      <c r="D216" s="106" t="inlineStr">
        <is>
          <t>Skate adulto laranja</t>
        </is>
      </c>
      <c r="E216" s="107" t="n">
        <v>229.93</v>
      </c>
      <c r="F216" s="108" t="n">
        <v>50</v>
      </c>
      <c r="G216" s="107">
        <f>ROUND(E216*(1+IF(ABS(F216)&lt;=1,F216,F216/100)),2)</f>
        <v/>
      </c>
      <c r="H216" s="105" t="n">
        <v>15</v>
      </c>
      <c r="I216" s="105" t="n">
        <v>5</v>
      </c>
      <c r="J216" s="105">
        <f>IF(OR(UPPER(C216)="SERVIÇO",UPPER(C216)="SERVICO"),"SERVIÇO",IF(H216&lt;=0,"ZERADO",IF(H216&lt;=I216,"ESTOQUE BAIXO","NORMAL")))</f>
        <v/>
      </c>
      <c r="K216" s="107">
        <f>IF(OR(UPPER(C216)="SERVIÇO",UPPER(C216)="SERVICO"),0,N(H216)*N(E216))</f>
        <v/>
      </c>
      <c r="L216" s="107">
        <f>IF(OR(UPPER(C216)="SERVIÇO",UPPER(C216)="SERVICO"),0,N(H216)*N(G216))</f>
        <v/>
      </c>
      <c r="M216" s="107">
        <f>IF(OR(UPPER(C216)="SERVIÇO",UPPER(C216)="SERVICO"),0,L216-K216)</f>
        <v/>
      </c>
    </row>
    <row r="217" ht="15" customHeight="1">
      <c r="B217" s="105" t="n">
        <v>206</v>
      </c>
      <c r="C217" s="105" t="inlineStr">
        <is>
          <t>Produto</t>
        </is>
      </c>
      <c r="D217" s="106" t="inlineStr">
        <is>
          <t>Protetor bucal versão 2026 rosa</t>
        </is>
      </c>
      <c r="E217" s="107" t="n">
        <v>51.41</v>
      </c>
      <c r="F217" s="108" t="n">
        <v>50</v>
      </c>
      <c r="G217" s="107">
        <f>ROUND(E217*(1+IF(ABS(F217)&lt;=1,F217,F217/100)),2)</f>
        <v/>
      </c>
      <c r="H217" s="105" t="n">
        <v>15</v>
      </c>
      <c r="I217" s="105" t="n">
        <v>5</v>
      </c>
      <c r="J217" s="105">
        <f>IF(OR(UPPER(C217)="SERVIÇO",UPPER(C217)="SERVICO"),"SERVIÇO",IF(H217&lt;=0,"ZERADO",IF(H217&lt;=I217,"ESTOQUE BAIXO","NORMAL")))</f>
        <v/>
      </c>
      <c r="K217" s="107">
        <f>IF(OR(UPPER(C217)="SERVIÇO",UPPER(C217)="SERVICO"),0,N(H217)*N(E217))</f>
        <v/>
      </c>
      <c r="L217" s="107">
        <f>IF(OR(UPPER(C217)="SERVIÇO",UPPER(C217)="SERVICO"),0,N(H217)*N(G217))</f>
        <v/>
      </c>
      <c r="M217" s="107">
        <f>IF(OR(UPPER(C217)="SERVIÇO",UPPER(C217)="SERVICO"),0,L217-K217)</f>
        <v/>
      </c>
    </row>
    <row r="218" ht="15" customHeight="1">
      <c r="B218" s="105" t="n">
        <v>207</v>
      </c>
      <c r="C218" s="105" t="inlineStr">
        <is>
          <t>Produto</t>
        </is>
      </c>
      <c r="D218" s="106" t="inlineStr">
        <is>
          <t>Garrafa squeeze versão 2026 branco</t>
        </is>
      </c>
      <c r="E218" s="107" t="n">
        <v>20.11</v>
      </c>
      <c r="F218" s="108" t="n">
        <v>50</v>
      </c>
      <c r="G218" s="107">
        <f>ROUND(E218*(1+IF(ABS(F218)&lt;=1,F218,F218/100)),2)</f>
        <v/>
      </c>
      <c r="H218" s="105" t="n">
        <v>15</v>
      </c>
      <c r="I218" s="105" t="n">
        <v>5</v>
      </c>
      <c r="J218" s="105">
        <f>IF(OR(UPPER(C218)="SERVIÇO",UPPER(C218)="SERVICO"),"SERVIÇO",IF(H218&lt;=0,"ZERADO",IF(H218&lt;=I218,"ESTOQUE BAIXO","NORMAL")))</f>
        <v/>
      </c>
      <c r="K218" s="107">
        <f>IF(OR(UPPER(C218)="SERVIÇO",UPPER(C218)="SERVICO"),0,N(H218)*N(E218))</f>
        <v/>
      </c>
      <c r="L218" s="107">
        <f>IF(OR(UPPER(C218)="SERVIÇO",UPPER(C218)="SERVICO"),0,N(H218)*N(G218))</f>
        <v/>
      </c>
      <c r="M218" s="107">
        <f>IF(OR(UPPER(C218)="SERVIÇO",UPPER(C218)="SERVICO"),0,L218-K218)</f>
        <v/>
      </c>
    </row>
    <row r="219" ht="15" customHeight="1">
      <c r="B219" s="105" t="n">
        <v>208</v>
      </c>
      <c r="C219" s="105" t="inlineStr">
        <is>
          <t>Produto</t>
        </is>
      </c>
      <c r="D219" s="106" t="inlineStr">
        <is>
          <t>Short esportivo premium vermelho tam. M</t>
        </is>
      </c>
      <c r="E219" s="107" t="n">
        <v>99.25</v>
      </c>
      <c r="F219" s="108" t="n">
        <v>50</v>
      </c>
      <c r="G219" s="107">
        <f>ROUND(E219*(1+IF(ABS(F219)&lt;=1,F219,F219/100)),2)</f>
        <v/>
      </c>
      <c r="H219" s="105" t="n">
        <v>15</v>
      </c>
      <c r="I219" s="105" t="n">
        <v>5</v>
      </c>
      <c r="J219" s="105">
        <f>IF(OR(UPPER(C219)="SERVIÇO",UPPER(C219)="SERVICO"),"SERVIÇO",IF(H219&lt;=0,"ZERADO",IF(H219&lt;=I219,"ESTOQUE BAIXO","NORMAL")))</f>
        <v/>
      </c>
      <c r="K219" s="107">
        <f>IF(OR(UPPER(C219)="SERVIÇO",UPPER(C219)="SERVICO"),0,N(H219)*N(E219))</f>
        <v/>
      </c>
      <c r="L219" s="107">
        <f>IF(OR(UPPER(C219)="SERVIÇO",UPPER(C219)="SERVICO"),0,N(H219)*N(G219))</f>
        <v/>
      </c>
      <c r="M219" s="107">
        <f>IF(OR(UPPER(C219)="SERVIÇO",UPPER(C219)="SERVICO"),0,L219-K219)</f>
        <v/>
      </c>
    </row>
    <row r="220" ht="15" customHeight="1">
      <c r="B220" s="105" t="n">
        <v>209</v>
      </c>
      <c r="C220" s="105" t="inlineStr">
        <is>
          <t>Produto</t>
        </is>
      </c>
      <c r="D220" s="106" t="inlineStr">
        <is>
          <t>Óculos de natação iniciante rosa</t>
        </is>
      </c>
      <c r="E220" s="107" t="n">
        <v>16.54</v>
      </c>
      <c r="F220" s="108" t="n">
        <v>50</v>
      </c>
      <c r="G220" s="107">
        <f>ROUND(E220*(1+IF(ABS(F220)&lt;=1,F220,F220/100)),2)</f>
        <v/>
      </c>
      <c r="H220" s="105" t="n">
        <v>15</v>
      </c>
      <c r="I220" s="105" t="n">
        <v>5</v>
      </c>
      <c r="J220" s="105">
        <f>IF(OR(UPPER(C220)="SERVIÇO",UPPER(C220)="SERVICO"),"SERVIÇO",IF(H220&lt;=0,"ZERADO",IF(H220&lt;=I220,"ESTOQUE BAIXO","NORMAL")))</f>
        <v/>
      </c>
      <c r="K220" s="107">
        <f>IF(OR(UPPER(C220)="SERVIÇO",UPPER(C220)="SERVICO"),0,N(H220)*N(E220))</f>
        <v/>
      </c>
      <c r="L220" s="107">
        <f>IF(OR(UPPER(C220)="SERVIÇO",UPPER(C220)="SERVICO"),0,N(H220)*N(G220))</f>
        <v/>
      </c>
      <c r="M220" s="107">
        <f>IF(OR(UPPER(C220)="SERVIÇO",UPPER(C220)="SERVICO"),0,L220-K220)</f>
        <v/>
      </c>
    </row>
    <row r="221" ht="15" customHeight="1">
      <c r="B221" s="105" t="n">
        <v>210</v>
      </c>
      <c r="C221" s="105" t="inlineStr">
        <is>
          <t>Produto</t>
        </is>
      </c>
      <c r="D221" s="106" t="inlineStr">
        <is>
          <t>Tapete de yoga profissional cinza</t>
        </is>
      </c>
      <c r="E221" s="107" t="n">
        <v>74.91</v>
      </c>
      <c r="F221" s="108" t="n">
        <v>50</v>
      </c>
      <c r="G221" s="107">
        <f>ROUND(E221*(1+IF(ABS(F221)&lt;=1,F221,F221/100)),2)</f>
        <v/>
      </c>
      <c r="H221" s="105" t="n">
        <v>15</v>
      </c>
      <c r="I221" s="105" t="n">
        <v>5</v>
      </c>
      <c r="J221" s="105">
        <f>IF(OR(UPPER(C221)="SERVIÇO",UPPER(C221)="SERVICO"),"SERVIÇO",IF(H221&lt;=0,"ZERADO",IF(H221&lt;=I221,"ESTOQUE BAIXO","NORMAL")))</f>
        <v/>
      </c>
      <c r="K221" s="107">
        <f>IF(OR(UPPER(C221)="SERVIÇO",UPPER(C221)="SERVICO"),0,N(H221)*N(E221))</f>
        <v/>
      </c>
      <c r="L221" s="107">
        <f>IF(OR(UPPER(C221)="SERVIÇO",UPPER(C221)="SERVICO"),0,N(H221)*N(G221))</f>
        <v/>
      </c>
      <c r="M221" s="107">
        <f>IF(OR(UPPER(C221)="SERVIÇO",UPPER(C221)="SERVICO"),0,L221-K221)</f>
        <v/>
      </c>
    </row>
    <row r="222" ht="15" customHeight="1">
      <c r="B222" s="105" t="n">
        <v>211</v>
      </c>
      <c r="C222" s="105" t="inlineStr">
        <is>
          <t>Produto</t>
        </is>
      </c>
      <c r="D222" s="106" t="inlineStr">
        <is>
          <t>Corda de pular reforçado vermelho</t>
        </is>
      </c>
      <c r="E222" s="107" t="n">
        <v>72.65000000000001</v>
      </c>
      <c r="F222" s="108" t="n">
        <v>50</v>
      </c>
      <c r="G222" s="107">
        <f>ROUND(E222*(1+IF(ABS(F222)&lt;=1,F222,F222/100)),2)</f>
        <v/>
      </c>
      <c r="H222" s="105" t="n">
        <v>15</v>
      </c>
      <c r="I222" s="105" t="n">
        <v>5</v>
      </c>
      <c r="J222" s="105">
        <f>IF(OR(UPPER(C222)="SERVIÇO",UPPER(C222)="SERVICO"),"SERVIÇO",IF(H222&lt;=0,"ZERADO",IF(H222&lt;=I222,"ESTOQUE BAIXO","NORMAL")))</f>
        <v/>
      </c>
      <c r="K222" s="107">
        <f>IF(OR(UPPER(C222)="SERVIÇO",UPPER(C222)="SERVICO"),0,N(H222)*N(E222))</f>
        <v/>
      </c>
      <c r="L222" s="107">
        <f>IF(OR(UPPER(C222)="SERVIÇO",UPPER(C222)="SERVICO"),0,N(H222)*N(G222))</f>
        <v/>
      </c>
      <c r="M222" s="107">
        <f>IF(OR(UPPER(C222)="SERVIÇO",UPPER(C222)="SERVICO"),0,L222-K222)</f>
        <v/>
      </c>
    </row>
    <row r="223" ht="15" customHeight="1">
      <c r="B223" s="105" t="n">
        <v>212</v>
      </c>
      <c r="C223" s="105" t="inlineStr">
        <is>
          <t>Produto</t>
        </is>
      </c>
      <c r="D223" s="106" t="inlineStr">
        <is>
          <t>Tapete de yoga resistente cinza</t>
        </is>
      </c>
      <c r="E223" s="107" t="n">
        <v>153.49</v>
      </c>
      <c r="F223" s="108" t="n">
        <v>50</v>
      </c>
      <c r="G223" s="107">
        <f>ROUND(E223*(1+IF(ABS(F223)&lt;=1,F223,F223/100)),2)</f>
        <v/>
      </c>
      <c r="H223" s="105" t="n">
        <v>15</v>
      </c>
      <c r="I223" s="105" t="n">
        <v>5</v>
      </c>
      <c r="J223" s="105">
        <f>IF(OR(UPPER(C223)="SERVIÇO",UPPER(C223)="SERVICO"),"SERVIÇO",IF(H223&lt;=0,"ZERADO",IF(H223&lt;=I223,"ESTOQUE BAIXO","NORMAL")))</f>
        <v/>
      </c>
      <c r="K223" s="107">
        <f>IF(OR(UPPER(C223)="SERVIÇO",UPPER(C223)="SERVICO"),0,N(H223)*N(E223))</f>
        <v/>
      </c>
      <c r="L223" s="107">
        <f>IF(OR(UPPER(C223)="SERVIÇO",UPPER(C223)="SERVICO"),0,N(H223)*N(G223))</f>
        <v/>
      </c>
      <c r="M223" s="107">
        <f>IF(OR(UPPER(C223)="SERVIÇO",UPPER(C223)="SERVICO"),0,L223-K223)</f>
        <v/>
      </c>
    </row>
    <row r="224" ht="15" customHeight="1">
      <c r="B224" s="105" t="n">
        <v>213</v>
      </c>
      <c r="C224" s="105" t="inlineStr">
        <is>
          <t>Produto</t>
        </is>
      </c>
      <c r="D224" s="106" t="inlineStr">
        <is>
          <t>Mochila esportiva iniciante branco</t>
        </is>
      </c>
      <c r="E224" s="107" t="n">
        <v>200</v>
      </c>
      <c r="F224" s="108" t="n">
        <v>50</v>
      </c>
      <c r="G224" s="107">
        <f>ROUND(E224*(1+IF(ABS(F224)&lt;=1,F224,F224/100)),2)</f>
        <v/>
      </c>
      <c r="H224" s="105" t="n">
        <v>15</v>
      </c>
      <c r="I224" s="105" t="n">
        <v>5</v>
      </c>
      <c r="J224" s="105">
        <f>IF(OR(UPPER(C224)="SERVIÇO",UPPER(C224)="SERVICO"),"SERVIÇO",IF(H224&lt;=0,"ZERADO",IF(H224&lt;=I224,"ESTOQUE BAIXO","NORMAL")))</f>
        <v/>
      </c>
      <c r="K224" s="107">
        <f>IF(OR(UPPER(C224)="SERVIÇO",UPPER(C224)="SERVICO"),0,N(H224)*N(E224))</f>
        <v/>
      </c>
      <c r="L224" s="107">
        <f>IF(OR(UPPER(C224)="SERVIÇO",UPPER(C224)="SERVICO"),0,N(H224)*N(G224))</f>
        <v/>
      </c>
      <c r="M224" s="107">
        <f>IF(OR(UPPER(C224)="SERVIÇO",UPPER(C224)="SERVICO"),0,L224-K224)</f>
        <v/>
      </c>
    </row>
    <row r="225" ht="15" customHeight="1">
      <c r="B225" s="105" t="n">
        <v>214</v>
      </c>
      <c r="C225" s="105" t="inlineStr">
        <is>
          <t>Produto</t>
        </is>
      </c>
      <c r="D225" s="106" t="inlineStr">
        <is>
          <t>Capacete de ciclismo recreativo verde</t>
        </is>
      </c>
      <c r="E225" s="107" t="n">
        <v>316.3</v>
      </c>
      <c r="F225" s="108" t="n">
        <v>50</v>
      </c>
      <c r="G225" s="107">
        <f>ROUND(E225*(1+IF(ABS(F225)&lt;=1,F225,F225/100)),2)</f>
        <v/>
      </c>
      <c r="H225" s="105" t="n">
        <v>15</v>
      </c>
      <c r="I225" s="105" t="n">
        <v>5</v>
      </c>
      <c r="J225" s="105">
        <f>IF(OR(UPPER(C225)="SERVIÇO",UPPER(C225)="SERVICO"),"SERVIÇO",IF(H225&lt;=0,"ZERADO",IF(H225&lt;=I225,"ESTOQUE BAIXO","NORMAL")))</f>
        <v/>
      </c>
      <c r="K225" s="107">
        <f>IF(OR(UPPER(C225)="SERVIÇO",UPPER(C225)="SERVICO"),0,N(H225)*N(E225))</f>
        <v/>
      </c>
      <c r="L225" s="107">
        <f>IF(OR(UPPER(C225)="SERVIÇO",UPPER(C225)="SERVICO"),0,N(H225)*N(G225))</f>
        <v/>
      </c>
      <c r="M225" s="107">
        <f>IF(OR(UPPER(C225)="SERVIÇO",UPPER(C225)="SERVICO"),0,L225-K225)</f>
        <v/>
      </c>
    </row>
    <row r="226" ht="15" customHeight="1">
      <c r="B226" s="105" t="n">
        <v>215</v>
      </c>
      <c r="C226" s="105" t="inlineStr">
        <is>
          <t>Produto</t>
        </is>
      </c>
      <c r="D226" s="106" t="inlineStr">
        <is>
          <t>Bastão de caminhada ventilado branco</t>
        </is>
      </c>
      <c r="E226" s="107" t="n">
        <v>43.49</v>
      </c>
      <c r="F226" s="108" t="n">
        <v>50</v>
      </c>
      <c r="G226" s="107">
        <f>ROUND(E226*(1+IF(ABS(F226)&lt;=1,F226,F226/100)),2)</f>
        <v/>
      </c>
      <c r="H226" s="105" t="n">
        <v>15</v>
      </c>
      <c r="I226" s="105" t="n">
        <v>5</v>
      </c>
      <c r="J226" s="105">
        <f>IF(OR(UPPER(C226)="SERVIÇO",UPPER(C226)="SERVICO"),"SERVIÇO",IF(H226&lt;=0,"ZERADO",IF(H226&lt;=I226,"ESTOQUE BAIXO","NORMAL")))</f>
        <v/>
      </c>
      <c r="K226" s="107">
        <f>IF(OR(UPPER(C226)="SERVIÇO",UPPER(C226)="SERVICO"),0,N(H226)*N(E226))</f>
        <v/>
      </c>
      <c r="L226" s="107">
        <f>IF(OR(UPPER(C226)="SERVIÇO",UPPER(C226)="SERVICO"),0,N(H226)*N(G226))</f>
        <v/>
      </c>
      <c r="M226" s="107">
        <f>IF(OR(UPPER(C226)="SERVIÇO",UPPER(C226)="SERVICO"),0,L226-K226)</f>
        <v/>
      </c>
    </row>
    <row r="227" ht="15" customHeight="1">
      <c r="B227" s="105" t="n">
        <v>216</v>
      </c>
      <c r="C227" s="105" t="inlineStr">
        <is>
          <t>Produto</t>
        </is>
      </c>
      <c r="D227" s="106" t="inlineStr">
        <is>
          <t>Elástico de resistência premium azul</t>
        </is>
      </c>
      <c r="E227" s="107" t="n">
        <v>31.48</v>
      </c>
      <c r="F227" s="108" t="n">
        <v>50</v>
      </c>
      <c r="G227" s="107">
        <f>ROUND(E227*(1+IF(ABS(F227)&lt;=1,F227,F227/100)),2)</f>
        <v/>
      </c>
      <c r="H227" s="105" t="n">
        <v>15</v>
      </c>
      <c r="I227" s="105" t="n">
        <v>5</v>
      </c>
      <c r="J227" s="105">
        <f>IF(OR(UPPER(C227)="SERVIÇO",UPPER(C227)="SERVICO"),"SERVIÇO",IF(H227&lt;=0,"ZERADO",IF(H227&lt;=I227,"ESTOQUE BAIXO","NORMAL")))</f>
        <v/>
      </c>
      <c r="K227" s="107">
        <f>IF(OR(UPPER(C227)="SERVIÇO",UPPER(C227)="SERVICO"),0,N(H227)*N(E227))</f>
        <v/>
      </c>
      <c r="L227" s="107">
        <f>IF(OR(UPPER(C227)="SERVIÇO",UPPER(C227)="SERVICO"),0,N(H227)*N(G227))</f>
        <v/>
      </c>
      <c r="M227" s="107">
        <f>IF(OR(UPPER(C227)="SERVIÇO",UPPER(C227)="SERVICO"),0,L227-K227)</f>
        <v/>
      </c>
    </row>
    <row r="228" ht="15" customHeight="1">
      <c r="B228" s="105" t="n">
        <v>217</v>
      </c>
      <c r="C228" s="105" t="inlineStr">
        <is>
          <t>Produto</t>
        </is>
      </c>
      <c r="D228" s="106" t="inlineStr">
        <is>
          <t>Nadadeira unissex laranja</t>
        </is>
      </c>
      <c r="E228" s="107" t="n">
        <v>152.24</v>
      </c>
      <c r="F228" s="108" t="n">
        <v>50</v>
      </c>
      <c r="G228" s="107">
        <f>ROUND(E228*(1+IF(ABS(F228)&lt;=1,F228,F228/100)),2)</f>
        <v/>
      </c>
      <c r="H228" s="105" t="n">
        <v>15</v>
      </c>
      <c r="I228" s="105" t="n">
        <v>5</v>
      </c>
      <c r="J228" s="105">
        <f>IF(OR(UPPER(C228)="SERVIÇO",UPPER(C228)="SERVICO"),"SERVIÇO",IF(H228&lt;=0,"ZERADO",IF(H228&lt;=I228,"ESTOQUE BAIXO","NORMAL")))</f>
        <v/>
      </c>
      <c r="K228" s="107">
        <f>IF(OR(UPPER(C228)="SERVIÇO",UPPER(C228)="SERVICO"),0,N(H228)*N(E228))</f>
        <v/>
      </c>
      <c r="L228" s="107">
        <f>IF(OR(UPPER(C228)="SERVIÇO",UPPER(C228)="SERVICO"),0,N(H228)*N(G228))</f>
        <v/>
      </c>
      <c r="M228" s="107">
        <f>IF(OR(UPPER(C228)="SERVIÇO",UPPER(C228)="SERVICO"),0,L228-K228)</f>
        <v/>
      </c>
    </row>
    <row r="229" ht="15" customHeight="1">
      <c r="B229" s="105" t="n">
        <v>218</v>
      </c>
      <c r="C229" s="105" t="inlineStr">
        <is>
          <t>Produto</t>
        </is>
      </c>
      <c r="D229" s="106" t="inlineStr">
        <is>
          <t>Tapete de yoga compacto rosa</t>
        </is>
      </c>
      <c r="E229" s="107" t="n">
        <v>27.85</v>
      </c>
      <c r="F229" s="108" t="n">
        <v>50</v>
      </c>
      <c r="G229" s="107">
        <f>ROUND(E229*(1+IF(ABS(F229)&lt;=1,F229,F229/100)),2)</f>
        <v/>
      </c>
      <c r="H229" s="105" t="n">
        <v>15</v>
      </c>
      <c r="I229" s="105" t="n">
        <v>5</v>
      </c>
      <c r="J229" s="105">
        <f>IF(OR(UPPER(C229)="SERVIÇO",UPPER(C229)="SERVICO"),"SERVIÇO",IF(H229&lt;=0,"ZERADO",IF(H229&lt;=I229,"ESTOQUE BAIXO","NORMAL")))</f>
        <v/>
      </c>
      <c r="K229" s="107">
        <f>IF(OR(UPPER(C229)="SERVIÇO",UPPER(C229)="SERVICO"),0,N(H229)*N(E229))</f>
        <v/>
      </c>
      <c r="L229" s="107">
        <f>IF(OR(UPPER(C229)="SERVIÇO",UPPER(C229)="SERVICO"),0,N(H229)*N(G229))</f>
        <v/>
      </c>
      <c r="M229" s="107">
        <f>IF(OR(UPPER(C229)="SERVIÇO",UPPER(C229)="SERVICO"),0,L229-K229)</f>
        <v/>
      </c>
    </row>
    <row r="230" ht="15" customHeight="1">
      <c r="B230" s="105" t="n">
        <v>219</v>
      </c>
      <c r="C230" s="105" t="inlineStr">
        <is>
          <t>Produto</t>
        </is>
      </c>
      <c r="D230" s="106" t="inlineStr">
        <is>
          <t>Luva de goleiro versão 2026 verde tam. M</t>
        </is>
      </c>
      <c r="E230" s="107" t="n">
        <v>161.19</v>
      </c>
      <c r="F230" s="108" t="n">
        <v>50</v>
      </c>
      <c r="G230" s="107">
        <f>ROUND(E230*(1+IF(ABS(F230)&lt;=1,F230,F230/100)),2)</f>
        <v/>
      </c>
      <c r="H230" s="105" t="n">
        <v>15</v>
      </c>
      <c r="I230" s="105" t="n">
        <v>5</v>
      </c>
      <c r="J230" s="105">
        <f>IF(OR(UPPER(C230)="SERVIÇO",UPPER(C230)="SERVICO"),"SERVIÇO",IF(H230&lt;=0,"ZERADO",IF(H230&lt;=I230,"ESTOQUE BAIXO","NORMAL")))</f>
        <v/>
      </c>
      <c r="K230" s="107">
        <f>IF(OR(UPPER(C230)="SERVIÇO",UPPER(C230)="SERVICO"),0,N(H230)*N(E230))</f>
        <v/>
      </c>
      <c r="L230" s="107">
        <f>IF(OR(UPPER(C230)="SERVIÇO",UPPER(C230)="SERVICO"),0,N(H230)*N(G230))</f>
        <v/>
      </c>
      <c r="M230" s="107">
        <f>IF(OR(UPPER(C230)="SERVIÇO",UPPER(C230)="SERVICO"),0,L230-K230)</f>
        <v/>
      </c>
    </row>
    <row r="231" ht="15" customHeight="1">
      <c r="B231" s="105" t="n">
        <v>220</v>
      </c>
      <c r="C231" s="105" t="inlineStr">
        <is>
          <t>Produto</t>
        </is>
      </c>
      <c r="D231" s="106" t="inlineStr">
        <is>
          <t>Capacete de ciclismo alta performance azul</t>
        </is>
      </c>
      <c r="E231" s="107" t="n">
        <v>91.55</v>
      </c>
      <c r="F231" s="108" t="n">
        <v>50</v>
      </c>
      <c r="G231" s="107">
        <f>ROUND(E231*(1+IF(ABS(F231)&lt;=1,F231,F231/100)),2)</f>
        <v/>
      </c>
      <c r="H231" s="105" t="n">
        <v>15</v>
      </c>
      <c r="I231" s="105" t="n">
        <v>5</v>
      </c>
      <c r="J231" s="105">
        <f>IF(OR(UPPER(C231)="SERVIÇO",UPPER(C231)="SERVICO"),"SERVIÇO",IF(H231&lt;=0,"ZERADO",IF(H231&lt;=I231,"ESTOQUE BAIXO","NORMAL")))</f>
        <v/>
      </c>
      <c r="K231" s="107">
        <f>IF(OR(UPPER(C231)="SERVIÇO",UPPER(C231)="SERVICO"),0,N(H231)*N(E231))</f>
        <v/>
      </c>
      <c r="L231" s="107">
        <f>IF(OR(UPPER(C231)="SERVIÇO",UPPER(C231)="SERVICO"),0,N(H231)*N(G231))</f>
        <v/>
      </c>
      <c r="M231" s="107">
        <f>IF(OR(UPPER(C231)="SERVIÇO",UPPER(C231)="SERVICO"),0,L231-K231)</f>
        <v/>
      </c>
    </row>
    <row r="232" ht="15" customHeight="1">
      <c r="B232" s="105" t="n">
        <v>221</v>
      </c>
      <c r="C232" s="105" t="inlineStr">
        <is>
          <t>Produto</t>
        </is>
      </c>
      <c r="D232" s="106" t="inlineStr">
        <is>
          <t>Bola de vôlei ergonômico azul</t>
        </is>
      </c>
      <c r="E232" s="107" t="n">
        <v>32.11</v>
      </c>
      <c r="F232" s="108" t="n">
        <v>50</v>
      </c>
      <c r="G232" s="107">
        <f>ROUND(E232*(1+IF(ABS(F232)&lt;=1,F232,F232/100)),2)</f>
        <v/>
      </c>
      <c r="H232" s="105" t="n">
        <v>15</v>
      </c>
      <c r="I232" s="105" t="n">
        <v>5</v>
      </c>
      <c r="J232" s="105">
        <f>IF(OR(UPPER(C232)="SERVIÇO",UPPER(C232)="SERVICO"),"SERVIÇO",IF(H232&lt;=0,"ZERADO",IF(H232&lt;=I232,"ESTOQUE BAIXO","NORMAL")))</f>
        <v/>
      </c>
      <c r="K232" s="107">
        <f>IF(OR(UPPER(C232)="SERVIÇO",UPPER(C232)="SERVICO"),0,N(H232)*N(E232))</f>
        <v/>
      </c>
      <c r="L232" s="107">
        <f>IF(OR(UPPER(C232)="SERVIÇO",UPPER(C232)="SERVICO"),0,N(H232)*N(G232))</f>
        <v/>
      </c>
      <c r="M232" s="107">
        <f>IF(OR(UPPER(C232)="SERVIÇO",UPPER(C232)="SERVICO"),0,L232-K232)</f>
        <v/>
      </c>
    </row>
    <row r="233" ht="15" customHeight="1">
      <c r="B233" s="105" t="n">
        <v>222</v>
      </c>
      <c r="C233" s="105" t="inlineStr">
        <is>
          <t>Produto</t>
        </is>
      </c>
      <c r="D233" s="106" t="inlineStr">
        <is>
          <t>Caneleira de futebol para uso diário rosa</t>
        </is>
      </c>
      <c r="E233" s="107" t="n">
        <v>40.88</v>
      </c>
      <c r="F233" s="108" t="n">
        <v>50</v>
      </c>
      <c r="G233" s="107">
        <f>ROUND(E233*(1+IF(ABS(F233)&lt;=1,F233,F233/100)),2)</f>
        <v/>
      </c>
      <c r="H233" s="105" t="n">
        <v>15</v>
      </c>
      <c r="I233" s="105" t="n">
        <v>5</v>
      </c>
      <c r="J233" s="105">
        <f>IF(OR(UPPER(C233)="SERVIÇO",UPPER(C233)="SERVICO"),"SERVIÇO",IF(H233&lt;=0,"ZERADO",IF(H233&lt;=I233,"ESTOQUE BAIXO","NORMAL")))</f>
        <v/>
      </c>
      <c r="K233" s="107">
        <f>IF(OR(UPPER(C233)="SERVIÇO",UPPER(C233)="SERVICO"),0,N(H233)*N(E233))</f>
        <v/>
      </c>
      <c r="L233" s="107">
        <f>IF(OR(UPPER(C233)="SERVIÇO",UPPER(C233)="SERVICO"),0,N(H233)*N(G233))</f>
        <v/>
      </c>
      <c r="M233" s="107">
        <f>IF(OR(UPPER(C233)="SERVIÇO",UPPER(C233)="SERVICO"),0,L233-K233)</f>
        <v/>
      </c>
    </row>
    <row r="234" ht="15" customHeight="1">
      <c r="B234" s="105" t="n">
        <v>223</v>
      </c>
      <c r="C234" s="105" t="inlineStr">
        <is>
          <t>Produto</t>
        </is>
      </c>
      <c r="D234" s="106" t="inlineStr">
        <is>
          <t>Bola de pilates alta performance vermelho</t>
        </is>
      </c>
      <c r="E234" s="107" t="n">
        <v>108.94</v>
      </c>
      <c r="F234" s="108" t="n">
        <v>50</v>
      </c>
      <c r="G234" s="107">
        <f>ROUND(E234*(1+IF(ABS(F234)&lt;=1,F234,F234/100)),2)</f>
        <v/>
      </c>
      <c r="H234" s="105" t="n">
        <v>15</v>
      </c>
      <c r="I234" s="105" t="n">
        <v>5</v>
      </c>
      <c r="J234" s="105">
        <f>IF(OR(UPPER(C234)="SERVIÇO",UPPER(C234)="SERVICO"),"SERVIÇO",IF(H234&lt;=0,"ZERADO",IF(H234&lt;=I234,"ESTOQUE BAIXO","NORMAL")))</f>
        <v/>
      </c>
      <c r="K234" s="107">
        <f>IF(OR(UPPER(C234)="SERVIÇO",UPPER(C234)="SERVICO"),0,N(H234)*N(E234))</f>
        <v/>
      </c>
      <c r="L234" s="107">
        <f>IF(OR(UPPER(C234)="SERVIÇO",UPPER(C234)="SERVICO"),0,N(H234)*N(G234))</f>
        <v/>
      </c>
      <c r="M234" s="107">
        <f>IF(OR(UPPER(C234)="SERVIÇO",UPPER(C234)="SERVICO"),0,L234-K234)</f>
        <v/>
      </c>
    </row>
    <row r="235" ht="15" customHeight="1">
      <c r="B235" s="105" t="n">
        <v>224</v>
      </c>
      <c r="C235" s="105" t="inlineStr">
        <is>
          <t>Produto</t>
        </is>
      </c>
      <c r="D235" s="106" t="inlineStr">
        <is>
          <t>Óculos de natação ergonômico laranja</t>
        </is>
      </c>
      <c r="E235" s="107" t="n">
        <v>141.53</v>
      </c>
      <c r="F235" s="108" t="n">
        <v>50</v>
      </c>
      <c r="G235" s="107">
        <f>ROUND(E235*(1+IF(ABS(F235)&lt;=1,F235,F235/100)),2)</f>
        <v/>
      </c>
      <c r="H235" s="105" t="n">
        <v>15</v>
      </c>
      <c r="I235" s="105" t="n">
        <v>5</v>
      </c>
      <c r="J235" s="105">
        <f>IF(OR(UPPER(C235)="SERVIÇO",UPPER(C235)="SERVICO"),"SERVIÇO",IF(H235&lt;=0,"ZERADO",IF(H235&lt;=I235,"ESTOQUE BAIXO","NORMAL")))</f>
        <v/>
      </c>
      <c r="K235" s="107">
        <f>IF(OR(UPPER(C235)="SERVIÇO",UPPER(C235)="SERVICO"),0,N(H235)*N(E235))</f>
        <v/>
      </c>
      <c r="L235" s="107">
        <f>IF(OR(UPPER(C235)="SERVIÇO",UPPER(C235)="SERVICO"),0,N(H235)*N(G235))</f>
        <v/>
      </c>
      <c r="M235" s="107">
        <f>IF(OR(UPPER(C235)="SERVIÇO",UPPER(C235)="SERVICO"),0,L235-K235)</f>
        <v/>
      </c>
    </row>
    <row r="236" ht="15" customHeight="1">
      <c r="B236" s="105" t="n">
        <v>225</v>
      </c>
      <c r="C236" s="105" t="inlineStr">
        <is>
          <t>Produto</t>
        </is>
      </c>
      <c r="D236" s="106" t="inlineStr">
        <is>
          <t>Bolsa de academia modelo avançado verde</t>
        </is>
      </c>
      <c r="E236" s="107" t="n">
        <v>96.45</v>
      </c>
      <c r="F236" s="108" t="n">
        <v>50</v>
      </c>
      <c r="G236" s="107">
        <f>ROUND(E236*(1+IF(ABS(F236)&lt;=1,F236,F236/100)),2)</f>
        <v/>
      </c>
      <c r="H236" s="105" t="n">
        <v>15</v>
      </c>
      <c r="I236" s="105" t="n">
        <v>5</v>
      </c>
      <c r="J236" s="105">
        <f>IF(OR(UPPER(C236)="SERVIÇO",UPPER(C236)="SERVICO"),"SERVIÇO",IF(H236&lt;=0,"ZERADO",IF(H236&lt;=I236,"ESTOQUE BAIXO","NORMAL")))</f>
        <v/>
      </c>
      <c r="K236" s="107">
        <f>IF(OR(UPPER(C236)="SERVIÇO",UPPER(C236)="SERVICO"),0,N(H236)*N(E236))</f>
        <v/>
      </c>
      <c r="L236" s="107">
        <f>IF(OR(UPPER(C236)="SERVIÇO",UPPER(C236)="SERVICO"),0,N(H236)*N(G236))</f>
        <v/>
      </c>
      <c r="M236" s="107">
        <f>IF(OR(UPPER(C236)="SERVIÇO",UPPER(C236)="SERVICO"),0,L236-K236)</f>
        <v/>
      </c>
    </row>
    <row r="237" ht="15" customHeight="1">
      <c r="B237" s="105" t="n">
        <v>226</v>
      </c>
      <c r="C237" s="105" t="inlineStr">
        <is>
          <t>Produto</t>
        </is>
      </c>
      <c r="D237" s="106" t="inlineStr">
        <is>
          <t>Meias esportivas treino branco tam. 42</t>
        </is>
      </c>
      <c r="E237" s="107" t="n">
        <v>38.4</v>
      </c>
      <c r="F237" s="108" t="n">
        <v>50</v>
      </c>
      <c r="G237" s="107">
        <f>ROUND(E237*(1+IF(ABS(F237)&lt;=1,F237,F237/100)),2)</f>
        <v/>
      </c>
      <c r="H237" s="105" t="n">
        <v>15</v>
      </c>
      <c r="I237" s="105" t="n">
        <v>5</v>
      </c>
      <c r="J237" s="105">
        <f>IF(OR(UPPER(C237)="SERVIÇO",UPPER(C237)="SERVICO"),"SERVIÇO",IF(H237&lt;=0,"ZERADO",IF(H237&lt;=I237,"ESTOQUE BAIXO","NORMAL")))</f>
        <v/>
      </c>
      <c r="K237" s="107">
        <f>IF(OR(UPPER(C237)="SERVIÇO",UPPER(C237)="SERVICO"),0,N(H237)*N(E237))</f>
        <v/>
      </c>
      <c r="L237" s="107">
        <f>IF(OR(UPPER(C237)="SERVIÇO",UPPER(C237)="SERVICO"),0,N(H237)*N(G237))</f>
        <v/>
      </c>
      <c r="M237" s="107">
        <f>IF(OR(UPPER(C237)="SERVIÇO",UPPER(C237)="SERVICO"),0,L237-K237)</f>
        <v/>
      </c>
    </row>
    <row r="238" ht="15" customHeight="1">
      <c r="B238" s="105" t="n">
        <v>227</v>
      </c>
      <c r="C238" s="105" t="inlineStr">
        <is>
          <t>Produto</t>
        </is>
      </c>
      <c r="D238" s="106" t="inlineStr">
        <is>
          <t>Óculos de natação juvenil laranja</t>
        </is>
      </c>
      <c r="E238" s="107" t="n">
        <v>50.01</v>
      </c>
      <c r="F238" s="108" t="n">
        <v>50</v>
      </c>
      <c r="G238" s="107">
        <f>ROUND(E238*(1+IF(ABS(F238)&lt;=1,F238,F238/100)),2)</f>
        <v/>
      </c>
      <c r="H238" s="105" t="n">
        <v>15</v>
      </c>
      <c r="I238" s="105" t="n">
        <v>5</v>
      </c>
      <c r="J238" s="105">
        <f>IF(OR(UPPER(C238)="SERVIÇO",UPPER(C238)="SERVICO"),"SERVIÇO",IF(H238&lt;=0,"ZERADO",IF(H238&lt;=I238,"ESTOQUE BAIXO","NORMAL")))</f>
        <v/>
      </c>
      <c r="K238" s="107">
        <f>IF(OR(UPPER(C238)="SERVIÇO",UPPER(C238)="SERVICO"),0,N(H238)*N(E238))</f>
        <v/>
      </c>
      <c r="L238" s="107">
        <f>IF(OR(UPPER(C238)="SERVIÇO",UPPER(C238)="SERVICO"),0,N(H238)*N(G238))</f>
        <v/>
      </c>
      <c r="M238" s="107">
        <f>IF(OR(UPPER(C238)="SERVIÇO",UPPER(C238)="SERVICO"),0,L238-K238)</f>
        <v/>
      </c>
    </row>
    <row r="239" ht="15" customHeight="1">
      <c r="B239" s="105" t="n">
        <v>228</v>
      </c>
      <c r="C239" s="105" t="inlineStr">
        <is>
          <t>Produto</t>
        </is>
      </c>
      <c r="D239" s="106" t="inlineStr">
        <is>
          <t>Tênis para quadra profissional verde tam. 44</t>
        </is>
      </c>
      <c r="E239" s="107" t="n">
        <v>468.32</v>
      </c>
      <c r="F239" s="108" t="n">
        <v>50</v>
      </c>
      <c r="G239" s="107">
        <f>ROUND(E239*(1+IF(ABS(F239)&lt;=1,F239,F239/100)),2)</f>
        <v/>
      </c>
      <c r="H239" s="105" t="n">
        <v>15</v>
      </c>
      <c r="I239" s="105" t="n">
        <v>5</v>
      </c>
      <c r="J239" s="105">
        <f>IF(OR(UPPER(C239)="SERVIÇO",UPPER(C239)="SERVICO"),"SERVIÇO",IF(H239&lt;=0,"ZERADO",IF(H239&lt;=I239,"ESTOQUE BAIXO","NORMAL")))</f>
        <v/>
      </c>
      <c r="K239" s="107">
        <f>IF(OR(UPPER(C239)="SERVIÇO",UPPER(C239)="SERVICO"),0,N(H239)*N(E239))</f>
        <v/>
      </c>
      <c r="L239" s="107">
        <f>IF(OR(UPPER(C239)="SERVIÇO",UPPER(C239)="SERVICO"),0,N(H239)*N(G239))</f>
        <v/>
      </c>
      <c r="M239" s="107">
        <f>IF(OR(UPPER(C239)="SERVIÇO",UPPER(C239)="SERVICO"),0,L239-K239)</f>
        <v/>
      </c>
    </row>
    <row r="240" ht="15" customHeight="1">
      <c r="B240" s="105" t="n">
        <v>229</v>
      </c>
      <c r="C240" s="105" t="inlineStr">
        <is>
          <t>Produto</t>
        </is>
      </c>
      <c r="D240" s="106" t="inlineStr">
        <is>
          <t>Raquete de tênis compacto vermelho tam. 44</t>
        </is>
      </c>
      <c r="E240" s="107" t="n">
        <v>153.67</v>
      </c>
      <c r="F240" s="108" t="n">
        <v>50</v>
      </c>
      <c r="G240" s="107">
        <f>ROUND(E240*(1+IF(ABS(F240)&lt;=1,F240,F240/100)),2)</f>
        <v/>
      </c>
      <c r="H240" s="105" t="n">
        <v>15</v>
      </c>
      <c r="I240" s="105" t="n">
        <v>5</v>
      </c>
      <c r="J240" s="105">
        <f>IF(OR(UPPER(C240)="SERVIÇO",UPPER(C240)="SERVICO"),"SERVIÇO",IF(H240&lt;=0,"ZERADO",IF(H240&lt;=I240,"ESTOQUE BAIXO","NORMAL")))</f>
        <v/>
      </c>
      <c r="K240" s="107">
        <f>IF(OR(UPPER(C240)="SERVIÇO",UPPER(C240)="SERVICO"),0,N(H240)*N(E240))</f>
        <v/>
      </c>
      <c r="L240" s="107">
        <f>IF(OR(UPPER(C240)="SERVIÇO",UPPER(C240)="SERVICO"),0,N(H240)*N(G240))</f>
        <v/>
      </c>
      <c r="M240" s="107">
        <f>IF(OR(UPPER(C240)="SERVIÇO",UPPER(C240)="SERVICO"),0,L240-K240)</f>
        <v/>
      </c>
    </row>
    <row r="241" ht="15" customHeight="1">
      <c r="B241" s="105" t="n">
        <v>230</v>
      </c>
      <c r="C241" s="105" t="inlineStr">
        <is>
          <t>Produto</t>
        </is>
      </c>
      <c r="D241" s="106" t="inlineStr">
        <is>
          <t>Step de ginástica reforçado verde</t>
        </is>
      </c>
      <c r="E241" s="107" t="n">
        <v>255.07</v>
      </c>
      <c r="F241" s="108" t="n">
        <v>50</v>
      </c>
      <c r="G241" s="107">
        <f>ROUND(E241*(1+IF(ABS(F241)&lt;=1,F241,F241/100)),2)</f>
        <v/>
      </c>
      <c r="H241" s="105" t="n">
        <v>15</v>
      </c>
      <c r="I241" s="105" t="n">
        <v>5</v>
      </c>
      <c r="J241" s="105">
        <f>IF(OR(UPPER(C241)="SERVIÇO",UPPER(C241)="SERVICO"),"SERVIÇO",IF(H241&lt;=0,"ZERADO",IF(H241&lt;=I241,"ESTOQUE BAIXO","NORMAL")))</f>
        <v/>
      </c>
      <c r="K241" s="107">
        <f>IF(OR(UPPER(C241)="SERVIÇO",UPPER(C241)="SERVICO"),0,N(H241)*N(E241))</f>
        <v/>
      </c>
      <c r="L241" s="107">
        <f>IF(OR(UPPER(C241)="SERVIÇO",UPPER(C241)="SERVICO"),0,N(H241)*N(G241))</f>
        <v/>
      </c>
      <c r="M241" s="107">
        <f>IF(OR(UPPER(C241)="SERVIÇO",UPPER(C241)="SERVICO"),0,L241-K241)</f>
        <v/>
      </c>
    </row>
    <row r="242" ht="15" customHeight="1">
      <c r="B242" s="105" t="n">
        <v>231</v>
      </c>
      <c r="C242" s="105" t="inlineStr">
        <is>
          <t>Produto</t>
        </is>
      </c>
      <c r="D242" s="106" t="inlineStr">
        <is>
          <t>Jaqueta esportiva recreativo preto tam. 34</t>
        </is>
      </c>
      <c r="E242" s="107" t="n">
        <v>265.11</v>
      </c>
      <c r="F242" s="108" t="n">
        <v>50</v>
      </c>
      <c r="G242" s="107">
        <f>ROUND(E242*(1+IF(ABS(F242)&lt;=1,F242,F242/100)),2)</f>
        <v/>
      </c>
      <c r="H242" s="105" t="n">
        <v>15</v>
      </c>
      <c r="I242" s="105" t="n">
        <v>5</v>
      </c>
      <c r="J242" s="105">
        <f>IF(OR(UPPER(C242)="SERVIÇO",UPPER(C242)="SERVICO"),"SERVIÇO",IF(H242&lt;=0,"ZERADO",IF(H242&lt;=I242,"ESTOQUE BAIXO","NORMAL")))</f>
        <v/>
      </c>
      <c r="K242" s="107">
        <f>IF(OR(UPPER(C242)="SERVIÇO",UPPER(C242)="SERVICO"),0,N(H242)*N(E242))</f>
        <v/>
      </c>
      <c r="L242" s="107">
        <f>IF(OR(UPPER(C242)="SERVIÇO",UPPER(C242)="SERVICO"),0,N(H242)*N(G242))</f>
        <v/>
      </c>
      <c r="M242" s="107">
        <f>IF(OR(UPPER(C242)="SERVIÇO",UPPER(C242)="SERVICO"),0,L242-K242)</f>
        <v/>
      </c>
    </row>
    <row r="243" ht="15" customHeight="1">
      <c r="B243" s="105" t="n">
        <v>232</v>
      </c>
      <c r="C243" s="105" t="inlineStr">
        <is>
          <t>Produto</t>
        </is>
      </c>
      <c r="D243" s="106" t="inlineStr">
        <is>
          <t>Chuteira society ventilado cinza tam. G</t>
        </is>
      </c>
      <c r="E243" s="107" t="n">
        <v>99.52</v>
      </c>
      <c r="F243" s="108" t="n">
        <v>50</v>
      </c>
      <c r="G243" s="107">
        <f>ROUND(E243*(1+IF(ABS(F243)&lt;=1,F243,F243/100)),2)</f>
        <v/>
      </c>
      <c r="H243" s="105" t="n">
        <v>15</v>
      </c>
      <c r="I243" s="105" t="n">
        <v>5</v>
      </c>
      <c r="J243" s="105">
        <f>IF(OR(UPPER(C243)="SERVIÇO",UPPER(C243)="SERVICO"),"SERVIÇO",IF(H243&lt;=0,"ZERADO",IF(H243&lt;=I243,"ESTOQUE BAIXO","NORMAL")))</f>
        <v/>
      </c>
      <c r="K243" s="107">
        <f>IF(OR(UPPER(C243)="SERVIÇO",UPPER(C243)="SERVICO"),0,N(H243)*N(E243))</f>
        <v/>
      </c>
      <c r="L243" s="107">
        <f>IF(OR(UPPER(C243)="SERVIÇO",UPPER(C243)="SERVICO"),0,N(H243)*N(G243))</f>
        <v/>
      </c>
      <c r="M243" s="107">
        <f>IF(OR(UPPER(C243)="SERVIÇO",UPPER(C243)="SERVICO"),0,L243-K243)</f>
        <v/>
      </c>
    </row>
    <row r="244" ht="15" customHeight="1">
      <c r="B244" s="105" t="n">
        <v>233</v>
      </c>
      <c r="C244" s="105" t="inlineStr">
        <is>
          <t>Produto</t>
        </is>
      </c>
      <c r="D244" s="106" t="inlineStr">
        <is>
          <t>Bola de basquete adulto branco</t>
        </is>
      </c>
      <c r="E244" s="107" t="n">
        <v>126</v>
      </c>
      <c r="F244" s="108" t="n">
        <v>50</v>
      </c>
      <c r="G244" s="107">
        <f>ROUND(E244*(1+IF(ABS(F244)&lt;=1,F244,F244/100)),2)</f>
        <v/>
      </c>
      <c r="H244" s="105" t="n">
        <v>15</v>
      </c>
      <c r="I244" s="105" t="n">
        <v>5</v>
      </c>
      <c r="J244" s="105">
        <f>IF(OR(UPPER(C244)="SERVIÇO",UPPER(C244)="SERVICO"),"SERVIÇO",IF(H244&lt;=0,"ZERADO",IF(H244&lt;=I244,"ESTOQUE BAIXO","NORMAL")))</f>
        <v/>
      </c>
      <c r="K244" s="107">
        <f>IF(OR(UPPER(C244)="SERVIÇO",UPPER(C244)="SERVICO"),0,N(H244)*N(E244))</f>
        <v/>
      </c>
      <c r="L244" s="107">
        <f>IF(OR(UPPER(C244)="SERVIÇO",UPPER(C244)="SERVICO"),0,N(H244)*N(G244))</f>
        <v/>
      </c>
      <c r="M244" s="107">
        <f>IF(OR(UPPER(C244)="SERVIÇO",UPPER(C244)="SERVICO"),0,L244-K244)</f>
        <v/>
      </c>
    </row>
    <row r="245" ht="15" customHeight="1">
      <c r="B245" s="105" t="n">
        <v>234</v>
      </c>
      <c r="C245" s="105" t="inlineStr">
        <is>
          <t>Produto</t>
        </is>
      </c>
      <c r="D245" s="106" t="inlineStr">
        <is>
          <t>Meias esportivas modelo básico preto tam. G</t>
        </is>
      </c>
      <c r="E245" s="107" t="n">
        <v>15.49</v>
      </c>
      <c r="F245" s="108" t="n">
        <v>50</v>
      </c>
      <c r="G245" s="107">
        <f>ROUND(E245*(1+IF(ABS(F245)&lt;=1,F245,F245/100)),2)</f>
        <v/>
      </c>
      <c r="H245" s="105" t="n">
        <v>15</v>
      </c>
      <c r="I245" s="105" t="n">
        <v>5</v>
      </c>
      <c r="J245" s="105">
        <f>IF(OR(UPPER(C245)="SERVIÇO",UPPER(C245)="SERVICO"),"SERVIÇO",IF(H245&lt;=0,"ZERADO",IF(H245&lt;=I245,"ESTOQUE BAIXO","NORMAL")))</f>
        <v/>
      </c>
      <c r="K245" s="107">
        <f>IF(OR(UPPER(C245)="SERVIÇO",UPPER(C245)="SERVICO"),0,N(H245)*N(E245))</f>
        <v/>
      </c>
      <c r="L245" s="107">
        <f>IF(OR(UPPER(C245)="SERVIÇO",UPPER(C245)="SERVICO"),0,N(H245)*N(G245))</f>
        <v/>
      </c>
      <c r="M245" s="107">
        <f>IF(OR(UPPER(C245)="SERVIÇO",UPPER(C245)="SERVICO"),0,L245-K245)</f>
        <v/>
      </c>
    </row>
    <row r="246" ht="15" customHeight="1">
      <c r="B246" s="105" t="n">
        <v>235</v>
      </c>
      <c r="C246" s="105" t="inlineStr">
        <is>
          <t>Produto</t>
        </is>
      </c>
      <c r="D246" s="106" t="inlineStr">
        <is>
          <t>Chuteira de campo resistente azul tam. M</t>
        </is>
      </c>
      <c r="E246" s="107" t="n">
        <v>294.82</v>
      </c>
      <c r="F246" s="108" t="n">
        <v>50</v>
      </c>
      <c r="G246" s="107">
        <f>ROUND(E246*(1+IF(ABS(F246)&lt;=1,F246,F246/100)),2)</f>
        <v/>
      </c>
      <c r="H246" s="105" t="n">
        <v>15</v>
      </c>
      <c r="I246" s="105" t="n">
        <v>5</v>
      </c>
      <c r="J246" s="105">
        <f>IF(OR(UPPER(C246)="SERVIÇO",UPPER(C246)="SERVICO"),"SERVIÇO",IF(H246&lt;=0,"ZERADO",IF(H246&lt;=I246,"ESTOQUE BAIXO","NORMAL")))</f>
        <v/>
      </c>
      <c r="K246" s="107">
        <f>IF(OR(UPPER(C246)="SERVIÇO",UPPER(C246)="SERVICO"),0,N(H246)*N(E246))</f>
        <v/>
      </c>
      <c r="L246" s="107">
        <f>IF(OR(UPPER(C246)="SERVIÇO",UPPER(C246)="SERVICO"),0,N(H246)*N(G246))</f>
        <v/>
      </c>
      <c r="M246" s="107">
        <f>IF(OR(UPPER(C246)="SERVIÇO",UPPER(C246)="SERVICO"),0,L246-K246)</f>
        <v/>
      </c>
    </row>
    <row r="247" ht="15" customHeight="1">
      <c r="B247" s="105" t="n">
        <v>236</v>
      </c>
      <c r="C247" s="105" t="inlineStr">
        <is>
          <t>Produto</t>
        </is>
      </c>
      <c r="D247" s="106" t="inlineStr">
        <is>
          <t>Banco de musculação resistente azul</t>
        </is>
      </c>
      <c r="E247" s="107" t="n">
        <v>776.59</v>
      </c>
      <c r="F247" s="108" t="n">
        <v>50</v>
      </c>
      <c r="G247" s="107">
        <f>ROUND(E247*(1+IF(ABS(F247)&lt;=1,F247,F247/100)),2)</f>
        <v/>
      </c>
      <c r="H247" s="105" t="n">
        <v>15</v>
      </c>
      <c r="I247" s="105" t="n">
        <v>5</v>
      </c>
      <c r="J247" s="105">
        <f>IF(OR(UPPER(C247)="SERVIÇO",UPPER(C247)="SERVICO"),"SERVIÇO",IF(H247&lt;=0,"ZERADO",IF(H247&lt;=I247,"ESTOQUE BAIXO","NORMAL")))</f>
        <v/>
      </c>
      <c r="K247" s="107">
        <f>IF(OR(UPPER(C247)="SERVIÇO",UPPER(C247)="SERVICO"),0,N(H247)*N(E247))</f>
        <v/>
      </c>
      <c r="L247" s="107">
        <f>IF(OR(UPPER(C247)="SERVIÇO",UPPER(C247)="SERVICO"),0,N(H247)*N(G247))</f>
        <v/>
      </c>
      <c r="M247" s="107">
        <f>IF(OR(UPPER(C247)="SERVIÇO",UPPER(C247)="SERVICO"),0,L247-K247)</f>
        <v/>
      </c>
    </row>
    <row r="248" ht="15" customHeight="1">
      <c r="B248" s="105" t="n">
        <v>237</v>
      </c>
      <c r="C248" s="105" t="inlineStr">
        <is>
          <t>Produto</t>
        </is>
      </c>
      <c r="D248" s="106" t="inlineStr">
        <is>
          <t>Jaqueta esportiva juvenil cinza tam. 40</t>
        </is>
      </c>
      <c r="E248" s="107" t="n">
        <v>212.2</v>
      </c>
      <c r="F248" s="108" t="n">
        <v>50</v>
      </c>
      <c r="G248" s="107">
        <f>ROUND(E248*(1+IF(ABS(F248)&lt;=1,F248,F248/100)),2)</f>
        <v/>
      </c>
      <c r="H248" s="105" t="n">
        <v>15</v>
      </c>
      <c r="I248" s="105" t="n">
        <v>5</v>
      </c>
      <c r="J248" s="105">
        <f>IF(OR(UPPER(C248)="SERVIÇO",UPPER(C248)="SERVICO"),"SERVIÇO",IF(H248&lt;=0,"ZERADO",IF(H248&lt;=I248,"ESTOQUE BAIXO","NORMAL")))</f>
        <v/>
      </c>
      <c r="K248" s="107">
        <f>IF(OR(UPPER(C248)="SERVIÇO",UPPER(C248)="SERVICO"),0,N(H248)*N(E248))</f>
        <v/>
      </c>
      <c r="L248" s="107">
        <f>IF(OR(UPPER(C248)="SERVIÇO",UPPER(C248)="SERVICO"),0,N(H248)*N(G248))</f>
        <v/>
      </c>
      <c r="M248" s="107">
        <f>IF(OR(UPPER(C248)="SERVIÇO",UPPER(C248)="SERVICO"),0,L248-K248)</f>
        <v/>
      </c>
    </row>
    <row r="249" ht="15" customHeight="1">
      <c r="B249" s="105" t="n">
        <v>238</v>
      </c>
      <c r="C249" s="105" t="inlineStr">
        <is>
          <t>Produto</t>
        </is>
      </c>
      <c r="D249" s="106" t="inlineStr">
        <is>
          <t>Bola de basquete ergonômico laranja</t>
        </is>
      </c>
      <c r="E249" s="107" t="n">
        <v>84.53</v>
      </c>
      <c r="F249" s="108" t="n">
        <v>50</v>
      </c>
      <c r="G249" s="107">
        <f>ROUND(E249*(1+IF(ABS(F249)&lt;=1,F249,F249/100)),2)</f>
        <v/>
      </c>
      <c r="H249" s="105" t="n">
        <v>15</v>
      </c>
      <c r="I249" s="105" t="n">
        <v>5</v>
      </c>
      <c r="J249" s="105">
        <f>IF(OR(UPPER(C249)="SERVIÇO",UPPER(C249)="SERVICO"),"SERVIÇO",IF(H249&lt;=0,"ZERADO",IF(H249&lt;=I249,"ESTOQUE BAIXO","NORMAL")))</f>
        <v/>
      </c>
      <c r="K249" s="107">
        <f>IF(OR(UPPER(C249)="SERVIÇO",UPPER(C249)="SERVICO"),0,N(H249)*N(E249))</f>
        <v/>
      </c>
      <c r="L249" s="107">
        <f>IF(OR(UPPER(C249)="SERVIÇO",UPPER(C249)="SERVICO"),0,N(H249)*N(G249))</f>
        <v/>
      </c>
      <c r="M249" s="107">
        <f>IF(OR(UPPER(C249)="SERVIÇO",UPPER(C249)="SERVICO"),0,L249-K249)</f>
        <v/>
      </c>
    </row>
    <row r="250" ht="15" customHeight="1">
      <c r="B250" s="105" t="n">
        <v>239</v>
      </c>
      <c r="C250" s="105" t="inlineStr">
        <is>
          <t>Produto</t>
        </is>
      </c>
      <c r="D250" s="106" t="inlineStr">
        <is>
          <t>Tênis de corrida com ajuste azul tam. M</t>
        </is>
      </c>
      <c r="E250" s="107" t="n">
        <v>254.22</v>
      </c>
      <c r="F250" s="108" t="n">
        <v>50</v>
      </c>
      <c r="G250" s="107">
        <f>ROUND(E250*(1+IF(ABS(F250)&lt;=1,F250,F250/100)),2)</f>
        <v/>
      </c>
      <c r="H250" s="105" t="n">
        <v>15</v>
      </c>
      <c r="I250" s="105" t="n">
        <v>5</v>
      </c>
      <c r="J250" s="105">
        <f>IF(OR(UPPER(C250)="SERVIÇO",UPPER(C250)="SERVICO"),"SERVIÇO",IF(H250&lt;=0,"ZERADO",IF(H250&lt;=I250,"ESTOQUE BAIXO","NORMAL")))</f>
        <v/>
      </c>
      <c r="K250" s="107">
        <f>IF(OR(UPPER(C250)="SERVIÇO",UPPER(C250)="SERVICO"),0,N(H250)*N(E250))</f>
        <v/>
      </c>
      <c r="L250" s="107">
        <f>IF(OR(UPPER(C250)="SERVIÇO",UPPER(C250)="SERVICO"),0,N(H250)*N(G250))</f>
        <v/>
      </c>
      <c r="M250" s="107">
        <f>IF(OR(UPPER(C250)="SERVIÇO",UPPER(C250)="SERVICO"),0,L250-K250)</f>
        <v/>
      </c>
    </row>
    <row r="251" ht="15" customHeight="1">
      <c r="B251" s="105" t="n">
        <v>240</v>
      </c>
      <c r="C251" s="105" t="inlineStr">
        <is>
          <t>Produto</t>
        </is>
      </c>
      <c r="D251" s="106" t="inlineStr">
        <is>
          <t>Chuteira society recreativo cinza tam. 44</t>
        </is>
      </c>
      <c r="E251" s="107" t="n">
        <v>287.85</v>
      </c>
      <c r="F251" s="108" t="n">
        <v>50</v>
      </c>
      <c r="G251" s="107">
        <f>ROUND(E251*(1+IF(ABS(F251)&lt;=1,F251,F251/100)),2)</f>
        <v/>
      </c>
      <c r="H251" s="105" t="n">
        <v>15</v>
      </c>
      <c r="I251" s="105" t="n">
        <v>5</v>
      </c>
      <c r="J251" s="105">
        <f>IF(OR(UPPER(C251)="SERVIÇO",UPPER(C251)="SERVICO"),"SERVIÇO",IF(H251&lt;=0,"ZERADO",IF(H251&lt;=I251,"ESTOQUE BAIXO","NORMAL")))</f>
        <v/>
      </c>
      <c r="K251" s="107">
        <f>IF(OR(UPPER(C251)="SERVIÇO",UPPER(C251)="SERVICO"),0,N(H251)*N(E251))</f>
        <v/>
      </c>
      <c r="L251" s="107">
        <f>IF(OR(UPPER(C251)="SERVIÇO",UPPER(C251)="SERVICO"),0,N(H251)*N(G251))</f>
        <v/>
      </c>
      <c r="M251" s="107">
        <f>IF(OR(UPPER(C251)="SERVIÇO",UPPER(C251)="SERVICO"),0,L251-K251)</f>
        <v/>
      </c>
    </row>
    <row r="252" ht="15" customHeight="1">
      <c r="B252" s="105" t="n">
        <v>241</v>
      </c>
      <c r="C252" s="105" t="inlineStr">
        <is>
          <t>Produto</t>
        </is>
      </c>
      <c r="D252" s="106" t="inlineStr">
        <is>
          <t>Luva de goleiro para uso diário cinza tam. 40</t>
        </is>
      </c>
      <c r="E252" s="107" t="n">
        <v>133.14</v>
      </c>
      <c r="F252" s="108" t="n">
        <v>50</v>
      </c>
      <c r="G252" s="107">
        <f>ROUND(E252*(1+IF(ABS(F252)&lt;=1,F252,F252/100)),2)</f>
        <v/>
      </c>
      <c r="H252" s="105" t="n">
        <v>15</v>
      </c>
      <c r="I252" s="105" t="n">
        <v>5</v>
      </c>
      <c r="J252" s="105">
        <f>IF(OR(UPPER(C252)="SERVIÇO",UPPER(C252)="SERVICO"),"SERVIÇO",IF(H252&lt;=0,"ZERADO",IF(H252&lt;=I252,"ESTOQUE BAIXO","NORMAL")))</f>
        <v/>
      </c>
      <c r="K252" s="107">
        <f>IF(OR(UPPER(C252)="SERVIÇO",UPPER(C252)="SERVICO"),0,N(H252)*N(E252))</f>
        <v/>
      </c>
      <c r="L252" s="107">
        <f>IF(OR(UPPER(C252)="SERVIÇO",UPPER(C252)="SERVICO"),0,N(H252)*N(G252))</f>
        <v/>
      </c>
      <c r="M252" s="107">
        <f>IF(OR(UPPER(C252)="SERVIÇO",UPPER(C252)="SERVICO"),0,L252-K252)</f>
        <v/>
      </c>
    </row>
    <row r="253" ht="15" customHeight="1">
      <c r="B253" s="105" t="n">
        <v>242</v>
      </c>
      <c r="C253" s="105" t="inlineStr">
        <is>
          <t>Produto</t>
        </is>
      </c>
      <c r="D253" s="106" t="inlineStr">
        <is>
          <t>Bicicleta ergométrica treino verde</t>
        </is>
      </c>
      <c r="E253" s="107" t="n">
        <v>1495.33</v>
      </c>
      <c r="F253" s="108" t="n">
        <v>50</v>
      </c>
      <c r="G253" s="107">
        <f>ROUND(E253*(1+IF(ABS(F253)&lt;=1,F253,F253/100)),2)</f>
        <v/>
      </c>
      <c r="H253" s="105" t="n">
        <v>15</v>
      </c>
      <c r="I253" s="105" t="n">
        <v>5</v>
      </c>
      <c r="J253" s="105">
        <f>IF(OR(UPPER(C253)="SERVIÇO",UPPER(C253)="SERVICO"),"SERVIÇO",IF(H253&lt;=0,"ZERADO",IF(H253&lt;=I253,"ESTOQUE BAIXO","NORMAL")))</f>
        <v/>
      </c>
      <c r="K253" s="107">
        <f>IF(OR(UPPER(C253)="SERVIÇO",UPPER(C253)="SERVICO"),0,N(H253)*N(E253))</f>
        <v/>
      </c>
      <c r="L253" s="107">
        <f>IF(OR(UPPER(C253)="SERVIÇO",UPPER(C253)="SERVICO"),0,N(H253)*N(G253))</f>
        <v/>
      </c>
      <c r="M253" s="107">
        <f>IF(OR(UPPER(C253)="SERVIÇO",UPPER(C253)="SERVICO"),0,L253-K253)</f>
        <v/>
      </c>
    </row>
    <row r="254" ht="15" customHeight="1">
      <c r="B254" s="105" t="n">
        <v>243</v>
      </c>
      <c r="C254" s="105" t="inlineStr">
        <is>
          <t>Produto</t>
        </is>
      </c>
      <c r="D254" s="106" t="inlineStr">
        <is>
          <t>Jaqueta esportiva modelo básico rosa tam. 38</t>
        </is>
      </c>
      <c r="E254" s="107" t="n">
        <v>156.28</v>
      </c>
      <c r="F254" s="108" t="n">
        <v>50</v>
      </c>
      <c r="G254" s="107">
        <f>ROUND(E254*(1+IF(ABS(F254)&lt;=1,F254,F254/100)),2)</f>
        <v/>
      </c>
      <c r="H254" s="105" t="n">
        <v>15</v>
      </c>
      <c r="I254" s="105" t="n">
        <v>5</v>
      </c>
      <c r="J254" s="105">
        <f>IF(OR(UPPER(C254)="SERVIÇO",UPPER(C254)="SERVICO"),"SERVIÇO",IF(H254&lt;=0,"ZERADO",IF(H254&lt;=I254,"ESTOQUE BAIXO","NORMAL")))</f>
        <v/>
      </c>
      <c r="K254" s="107">
        <f>IF(OR(UPPER(C254)="SERVIÇO",UPPER(C254)="SERVICO"),0,N(H254)*N(E254))</f>
        <v/>
      </c>
      <c r="L254" s="107">
        <f>IF(OR(UPPER(C254)="SERVIÇO",UPPER(C254)="SERVICO"),0,N(H254)*N(G254))</f>
        <v/>
      </c>
      <c r="M254" s="107">
        <f>IF(OR(UPPER(C254)="SERVIÇO",UPPER(C254)="SERVICO"),0,L254-K254)</f>
        <v/>
      </c>
    </row>
    <row r="255" ht="15" customHeight="1">
      <c r="B255" s="105" t="n">
        <v>244</v>
      </c>
      <c r="C255" s="105" t="inlineStr">
        <is>
          <t>Produto</t>
        </is>
      </c>
      <c r="D255" s="106" t="inlineStr">
        <is>
          <t>Tênis de corrida alta performance branco tam. 34</t>
        </is>
      </c>
      <c r="E255" s="107" t="n">
        <v>280.84</v>
      </c>
      <c r="F255" s="108" t="n">
        <v>50</v>
      </c>
      <c r="G255" s="107">
        <f>ROUND(E255*(1+IF(ABS(F255)&lt;=1,F255,F255/100)),2)</f>
        <v/>
      </c>
      <c r="H255" s="105" t="n">
        <v>15</v>
      </c>
      <c r="I255" s="105" t="n">
        <v>5</v>
      </c>
      <c r="J255" s="105">
        <f>IF(OR(UPPER(C255)="SERVIÇO",UPPER(C255)="SERVICO"),"SERVIÇO",IF(H255&lt;=0,"ZERADO",IF(H255&lt;=I255,"ESTOQUE BAIXO","NORMAL")))</f>
        <v/>
      </c>
      <c r="K255" s="107">
        <f>IF(OR(UPPER(C255)="SERVIÇO",UPPER(C255)="SERVICO"),0,N(H255)*N(E255))</f>
        <v/>
      </c>
      <c r="L255" s="107">
        <f>IF(OR(UPPER(C255)="SERVIÇO",UPPER(C255)="SERVICO"),0,N(H255)*N(G255))</f>
        <v/>
      </c>
      <c r="M255" s="107">
        <f>IF(OR(UPPER(C255)="SERVIÇO",UPPER(C255)="SERVICO"),0,L255-K255)</f>
        <v/>
      </c>
    </row>
    <row r="256" ht="15" customHeight="1">
      <c r="B256" s="105" t="n">
        <v>245</v>
      </c>
      <c r="C256" s="105" t="inlineStr">
        <is>
          <t>Produto</t>
        </is>
      </c>
      <c r="D256" s="106" t="inlineStr">
        <is>
          <t>Chuteira society profissional azul tam. M</t>
        </is>
      </c>
      <c r="E256" s="107" t="n">
        <v>93.5</v>
      </c>
      <c r="F256" s="108" t="n">
        <v>50</v>
      </c>
      <c r="G256" s="107">
        <f>ROUND(E256*(1+IF(ABS(F256)&lt;=1,F256,F256/100)),2)</f>
        <v/>
      </c>
      <c r="H256" s="105" t="n">
        <v>15</v>
      </c>
      <c r="I256" s="105" t="n">
        <v>5</v>
      </c>
      <c r="J256" s="105">
        <f>IF(OR(UPPER(C256)="SERVIÇO",UPPER(C256)="SERVICO"),"SERVIÇO",IF(H256&lt;=0,"ZERADO",IF(H256&lt;=I256,"ESTOQUE BAIXO","NORMAL")))</f>
        <v/>
      </c>
      <c r="K256" s="107">
        <f>IF(OR(UPPER(C256)="SERVIÇO",UPPER(C256)="SERVICO"),0,N(H256)*N(E256))</f>
        <v/>
      </c>
      <c r="L256" s="107">
        <f>IF(OR(UPPER(C256)="SERVIÇO",UPPER(C256)="SERVICO"),0,N(H256)*N(G256))</f>
        <v/>
      </c>
      <c r="M256" s="107">
        <f>IF(OR(UPPER(C256)="SERVIÇO",UPPER(C256)="SERVICO"),0,L256-K256)</f>
        <v/>
      </c>
    </row>
    <row r="257" ht="15" customHeight="1">
      <c r="B257" s="105" t="n">
        <v>246</v>
      </c>
      <c r="C257" s="105" t="inlineStr">
        <is>
          <t>Produto</t>
        </is>
      </c>
      <c r="D257" s="106" t="inlineStr">
        <is>
          <t>Tênis de corrida recreativo preto tam. 44</t>
        </is>
      </c>
      <c r="E257" s="107" t="n">
        <v>577.8200000000001</v>
      </c>
      <c r="F257" s="108" t="n">
        <v>50</v>
      </c>
      <c r="G257" s="107">
        <f>ROUND(E257*(1+IF(ABS(F257)&lt;=1,F257,F257/100)),2)</f>
        <v/>
      </c>
      <c r="H257" s="105" t="n">
        <v>15</v>
      </c>
      <c r="I257" s="105" t="n">
        <v>5</v>
      </c>
      <c r="J257" s="105">
        <f>IF(OR(UPPER(C257)="SERVIÇO",UPPER(C257)="SERVICO"),"SERVIÇO",IF(H257&lt;=0,"ZERADO",IF(H257&lt;=I257,"ESTOQUE BAIXO","NORMAL")))</f>
        <v/>
      </c>
      <c r="K257" s="107">
        <f>IF(OR(UPPER(C257)="SERVIÇO",UPPER(C257)="SERVICO"),0,N(H257)*N(E257))</f>
        <v/>
      </c>
      <c r="L257" s="107">
        <f>IF(OR(UPPER(C257)="SERVIÇO",UPPER(C257)="SERVICO"),0,N(H257)*N(G257))</f>
        <v/>
      </c>
      <c r="M257" s="107">
        <f>IF(OR(UPPER(C257)="SERVIÇO",UPPER(C257)="SERVICO"),0,L257-K257)</f>
        <v/>
      </c>
    </row>
    <row r="258" ht="15" customHeight="1">
      <c r="B258" s="105" t="n">
        <v>247</v>
      </c>
      <c r="C258" s="105" t="inlineStr">
        <is>
          <t>Produto</t>
        </is>
      </c>
      <c r="D258" s="106" t="inlineStr">
        <is>
          <t>Luva de goleiro treino laranja tam. 36</t>
        </is>
      </c>
      <c r="E258" s="107" t="n">
        <v>212.64</v>
      </c>
      <c r="F258" s="108" t="n">
        <v>50</v>
      </c>
      <c r="G258" s="107">
        <f>ROUND(E258*(1+IF(ABS(F258)&lt;=1,F258,F258/100)),2)</f>
        <v/>
      </c>
      <c r="H258" s="105" t="n">
        <v>15</v>
      </c>
      <c r="I258" s="105" t="n">
        <v>5</v>
      </c>
      <c r="J258" s="105">
        <f>IF(OR(UPPER(C258)="SERVIÇO",UPPER(C258)="SERVICO"),"SERVIÇO",IF(H258&lt;=0,"ZERADO",IF(H258&lt;=I258,"ESTOQUE BAIXO","NORMAL")))</f>
        <v/>
      </c>
      <c r="K258" s="107">
        <f>IF(OR(UPPER(C258)="SERVIÇO",UPPER(C258)="SERVICO"),0,N(H258)*N(E258))</f>
        <v/>
      </c>
      <c r="L258" s="107">
        <f>IF(OR(UPPER(C258)="SERVIÇO",UPPER(C258)="SERVICO"),0,N(H258)*N(G258))</f>
        <v/>
      </c>
      <c r="M258" s="107">
        <f>IF(OR(UPPER(C258)="SERVIÇO",UPPER(C258)="SERVICO"),0,L258-K258)</f>
        <v/>
      </c>
    </row>
    <row r="259" ht="15" customHeight="1">
      <c r="B259" s="105" t="n">
        <v>248</v>
      </c>
      <c r="C259" s="105" t="inlineStr">
        <is>
          <t>Produto</t>
        </is>
      </c>
      <c r="D259" s="106" t="inlineStr">
        <is>
          <t>Step de ginástica juvenil cinza</t>
        </is>
      </c>
      <c r="E259" s="107" t="n">
        <v>204.04</v>
      </c>
      <c r="F259" s="108" t="n">
        <v>50</v>
      </c>
      <c r="G259" s="107">
        <f>ROUND(E259*(1+IF(ABS(F259)&lt;=1,F259,F259/100)),2)</f>
        <v/>
      </c>
      <c r="H259" s="105" t="n">
        <v>15</v>
      </c>
      <c r="I259" s="105" t="n">
        <v>5</v>
      </c>
      <c r="J259" s="105">
        <f>IF(OR(UPPER(C259)="SERVIÇO",UPPER(C259)="SERVICO"),"SERVIÇO",IF(H259&lt;=0,"ZERADO",IF(H259&lt;=I259,"ESTOQUE BAIXO","NORMAL")))</f>
        <v/>
      </c>
      <c r="K259" s="107">
        <f>IF(OR(UPPER(C259)="SERVIÇO",UPPER(C259)="SERVICO"),0,N(H259)*N(E259))</f>
        <v/>
      </c>
      <c r="L259" s="107">
        <f>IF(OR(UPPER(C259)="SERVIÇO",UPPER(C259)="SERVICO"),0,N(H259)*N(G259))</f>
        <v/>
      </c>
      <c r="M259" s="107">
        <f>IF(OR(UPPER(C259)="SERVIÇO",UPPER(C259)="SERVICO"),0,L259-K259)</f>
        <v/>
      </c>
    </row>
    <row r="260" ht="15" customHeight="1">
      <c r="B260" s="105" t="n">
        <v>249</v>
      </c>
      <c r="C260" s="105" t="inlineStr">
        <is>
          <t>Produto</t>
        </is>
      </c>
      <c r="D260" s="106" t="inlineStr">
        <is>
          <t>Colchonete de exercício unissex verde</t>
        </is>
      </c>
      <c r="E260" s="107" t="n">
        <v>38.8</v>
      </c>
      <c r="F260" s="108" t="n">
        <v>50</v>
      </c>
      <c r="G260" s="107">
        <f>ROUND(E260*(1+IF(ABS(F260)&lt;=1,F260,F260/100)),2)</f>
        <v/>
      </c>
      <c r="H260" s="105" t="n">
        <v>15</v>
      </c>
      <c r="I260" s="105" t="n">
        <v>5</v>
      </c>
      <c r="J260" s="105">
        <f>IF(OR(UPPER(C260)="SERVIÇO",UPPER(C260)="SERVICO"),"SERVIÇO",IF(H260&lt;=0,"ZERADO",IF(H260&lt;=I260,"ESTOQUE BAIXO","NORMAL")))</f>
        <v/>
      </c>
      <c r="K260" s="107">
        <f>IF(OR(UPPER(C260)="SERVIÇO",UPPER(C260)="SERVICO"),0,N(H260)*N(E260))</f>
        <v/>
      </c>
      <c r="L260" s="107">
        <f>IF(OR(UPPER(C260)="SERVIÇO",UPPER(C260)="SERVICO"),0,N(H260)*N(G260))</f>
        <v/>
      </c>
      <c r="M260" s="107">
        <f>IF(OR(UPPER(C260)="SERVIÇO",UPPER(C260)="SERVICO"),0,L260-K260)</f>
        <v/>
      </c>
    </row>
    <row r="261" ht="15" customHeight="1">
      <c r="B261" s="105" t="n">
        <v>250</v>
      </c>
      <c r="C261" s="105" t="inlineStr">
        <is>
          <t>Produto</t>
        </is>
      </c>
      <c r="D261" s="106" t="inlineStr">
        <is>
          <t>Luva de ciclismo treino branco tam. 42</t>
        </is>
      </c>
      <c r="E261" s="107" t="n">
        <v>55.43</v>
      </c>
      <c r="F261" s="108" t="n">
        <v>50</v>
      </c>
      <c r="G261" s="107">
        <f>ROUND(E261*(1+IF(ABS(F261)&lt;=1,F261,F261/100)),2)</f>
        <v/>
      </c>
      <c r="H261" s="105" t="n">
        <v>15</v>
      </c>
      <c r="I261" s="105" t="n">
        <v>5</v>
      </c>
      <c r="J261" s="105">
        <f>IF(OR(UPPER(C261)="SERVIÇO",UPPER(C261)="SERVICO"),"SERVIÇO",IF(H261&lt;=0,"ZERADO",IF(H261&lt;=I261,"ESTOQUE BAIXO","NORMAL")))</f>
        <v/>
      </c>
      <c r="K261" s="107">
        <f>IF(OR(UPPER(C261)="SERVIÇO",UPPER(C261)="SERVICO"),0,N(H261)*N(E261))</f>
        <v/>
      </c>
      <c r="L261" s="107">
        <f>IF(OR(UPPER(C261)="SERVIÇO",UPPER(C261)="SERVICO"),0,N(H261)*N(G261))</f>
        <v/>
      </c>
      <c r="M261" s="107">
        <f>IF(OR(UPPER(C261)="SERVIÇO",UPPER(C261)="SERVICO"),0,L261-K261)</f>
        <v/>
      </c>
    </row>
    <row r="262" ht="15" customHeight="1">
      <c r="B262" s="105" t="n">
        <v>251</v>
      </c>
      <c r="C262" s="105" t="inlineStr">
        <is>
          <t>Produto</t>
        </is>
      </c>
      <c r="D262" s="106" t="inlineStr">
        <is>
          <t>Step de ginástica unissex verde</t>
        </is>
      </c>
      <c r="E262" s="107" t="n">
        <v>253.67</v>
      </c>
      <c r="F262" s="108" t="n">
        <v>50</v>
      </c>
      <c r="G262" s="107">
        <f>ROUND(E262*(1+IF(ABS(F262)&lt;=1,F262,F262/100)),2)</f>
        <v/>
      </c>
      <c r="H262" s="105" t="n">
        <v>15</v>
      </c>
      <c r="I262" s="105" t="n">
        <v>5</v>
      </c>
      <c r="J262" s="105">
        <f>IF(OR(UPPER(C262)="SERVIÇO",UPPER(C262)="SERVICO"),"SERVIÇO",IF(H262&lt;=0,"ZERADO",IF(H262&lt;=I262,"ESTOQUE BAIXO","NORMAL")))</f>
        <v/>
      </c>
      <c r="K262" s="107">
        <f>IF(OR(UPPER(C262)="SERVIÇO",UPPER(C262)="SERVICO"),0,N(H262)*N(E262))</f>
        <v/>
      </c>
      <c r="L262" s="107">
        <f>IF(OR(UPPER(C262)="SERVIÇO",UPPER(C262)="SERVICO"),0,N(H262)*N(G262))</f>
        <v/>
      </c>
      <c r="M262" s="107">
        <f>IF(OR(UPPER(C262)="SERVIÇO",UPPER(C262)="SERVICO"),0,L262-K262)</f>
        <v/>
      </c>
    </row>
    <row r="263" ht="15" customHeight="1">
      <c r="B263" s="105" t="n">
        <v>252</v>
      </c>
      <c r="C263" s="105" t="inlineStr">
        <is>
          <t>Produto</t>
        </is>
      </c>
      <c r="D263" s="106" t="inlineStr">
        <is>
          <t>Luva de goleiro versão 2026 preto tam. 44</t>
        </is>
      </c>
      <c r="E263" s="107" t="n">
        <v>224.62</v>
      </c>
      <c r="F263" s="108" t="n">
        <v>50</v>
      </c>
      <c r="G263" s="107">
        <f>ROUND(E263*(1+IF(ABS(F263)&lt;=1,F263,F263/100)),2)</f>
        <v/>
      </c>
      <c r="H263" s="105" t="n">
        <v>15</v>
      </c>
      <c r="I263" s="105" t="n">
        <v>5</v>
      </c>
      <c r="J263" s="105">
        <f>IF(OR(UPPER(C263)="SERVIÇO",UPPER(C263)="SERVICO"),"SERVIÇO",IF(H263&lt;=0,"ZERADO",IF(H263&lt;=I263,"ESTOQUE BAIXO","NORMAL")))</f>
        <v/>
      </c>
      <c r="K263" s="107">
        <f>IF(OR(UPPER(C263)="SERVIÇO",UPPER(C263)="SERVICO"),0,N(H263)*N(E263))</f>
        <v/>
      </c>
      <c r="L263" s="107">
        <f>IF(OR(UPPER(C263)="SERVIÇO",UPPER(C263)="SERVICO"),0,N(H263)*N(G263))</f>
        <v/>
      </c>
      <c r="M263" s="107">
        <f>IF(OR(UPPER(C263)="SERVIÇO",UPPER(C263)="SERVICO"),0,L263-K263)</f>
        <v/>
      </c>
    </row>
    <row r="264" ht="15" customHeight="1">
      <c r="B264" s="105" t="n">
        <v>253</v>
      </c>
      <c r="C264" s="105" t="inlineStr">
        <is>
          <t>Produto</t>
        </is>
      </c>
      <c r="D264" s="106" t="inlineStr">
        <is>
          <t>Skate adulto vermelho</t>
        </is>
      </c>
      <c r="E264" s="107" t="n">
        <v>229.31</v>
      </c>
      <c r="F264" s="108" t="n">
        <v>50</v>
      </c>
      <c r="G264" s="107">
        <f>ROUND(E264*(1+IF(ABS(F264)&lt;=1,F264,F264/100)),2)</f>
        <v/>
      </c>
      <c r="H264" s="105" t="n">
        <v>15</v>
      </c>
      <c r="I264" s="105" t="n">
        <v>5</v>
      </c>
      <c r="J264" s="105">
        <f>IF(OR(UPPER(C264)="SERVIÇO",UPPER(C264)="SERVICO"),"SERVIÇO",IF(H264&lt;=0,"ZERADO",IF(H264&lt;=I264,"ESTOQUE BAIXO","NORMAL")))</f>
        <v/>
      </c>
      <c r="K264" s="107">
        <f>IF(OR(UPPER(C264)="SERVIÇO",UPPER(C264)="SERVICO"),0,N(H264)*N(E264))</f>
        <v/>
      </c>
      <c r="L264" s="107">
        <f>IF(OR(UPPER(C264)="SERVIÇO",UPPER(C264)="SERVICO"),0,N(H264)*N(G264))</f>
        <v/>
      </c>
      <c r="M264" s="107">
        <f>IF(OR(UPPER(C264)="SERVIÇO",UPPER(C264)="SERVICO"),0,L264-K264)</f>
        <v/>
      </c>
    </row>
    <row r="265" ht="15" customHeight="1">
      <c r="B265" s="105" t="n">
        <v>254</v>
      </c>
      <c r="C265" s="105" t="inlineStr">
        <is>
          <t>Produto</t>
        </is>
      </c>
      <c r="D265" s="106" t="inlineStr">
        <is>
          <t>Step de ginástica modelo básico branco</t>
        </is>
      </c>
      <c r="E265" s="107" t="n">
        <v>61.4</v>
      </c>
      <c r="F265" s="108" t="n">
        <v>50</v>
      </c>
      <c r="G265" s="107">
        <f>ROUND(E265*(1+IF(ABS(F265)&lt;=1,F265,F265/100)),2)</f>
        <v/>
      </c>
      <c r="H265" s="105" t="n">
        <v>15</v>
      </c>
      <c r="I265" s="105" t="n">
        <v>5</v>
      </c>
      <c r="J265" s="105">
        <f>IF(OR(UPPER(C265)="SERVIÇO",UPPER(C265)="SERVICO"),"SERVIÇO",IF(H265&lt;=0,"ZERADO",IF(H265&lt;=I265,"ESTOQUE BAIXO","NORMAL")))</f>
        <v/>
      </c>
      <c r="K265" s="107">
        <f>IF(OR(UPPER(C265)="SERVIÇO",UPPER(C265)="SERVICO"),0,N(H265)*N(E265))</f>
        <v/>
      </c>
      <c r="L265" s="107">
        <f>IF(OR(UPPER(C265)="SERVIÇO",UPPER(C265)="SERVICO"),0,N(H265)*N(G265))</f>
        <v/>
      </c>
      <c r="M265" s="107">
        <f>IF(OR(UPPER(C265)="SERVIÇO",UPPER(C265)="SERVICO"),0,L265-K265)</f>
        <v/>
      </c>
    </row>
    <row r="266" ht="15" customHeight="1">
      <c r="B266" s="105" t="n">
        <v>255</v>
      </c>
      <c r="C266" s="105" t="inlineStr">
        <is>
          <t>Produto</t>
        </is>
      </c>
      <c r="D266" s="106" t="inlineStr">
        <is>
          <t>Chuteira society para uso diário azul tam. G</t>
        </is>
      </c>
      <c r="E266" s="107" t="n">
        <v>326.69</v>
      </c>
      <c r="F266" s="108" t="n">
        <v>50</v>
      </c>
      <c r="G266" s="107">
        <f>ROUND(E266*(1+IF(ABS(F266)&lt;=1,F266,F266/100)),2)</f>
        <v/>
      </c>
      <c r="H266" s="105" t="n">
        <v>15</v>
      </c>
      <c r="I266" s="105" t="n">
        <v>5</v>
      </c>
      <c r="J266" s="105">
        <f>IF(OR(UPPER(C266)="SERVIÇO",UPPER(C266)="SERVICO"),"SERVIÇO",IF(H266&lt;=0,"ZERADO",IF(H266&lt;=I266,"ESTOQUE BAIXO","NORMAL")))</f>
        <v/>
      </c>
      <c r="K266" s="107">
        <f>IF(OR(UPPER(C266)="SERVIÇO",UPPER(C266)="SERVICO"),0,N(H266)*N(E266))</f>
        <v/>
      </c>
      <c r="L266" s="107">
        <f>IF(OR(UPPER(C266)="SERVIÇO",UPPER(C266)="SERVICO"),0,N(H266)*N(G266))</f>
        <v/>
      </c>
      <c r="M266" s="107">
        <f>IF(OR(UPPER(C266)="SERVIÇO",UPPER(C266)="SERVICO"),0,L266-K266)</f>
        <v/>
      </c>
    </row>
    <row r="267" ht="15" customHeight="1">
      <c r="B267" s="105" t="n">
        <v>256</v>
      </c>
      <c r="C267" s="105" t="inlineStr">
        <is>
          <t>Produto</t>
        </is>
      </c>
      <c r="D267" s="106" t="inlineStr">
        <is>
          <t>Bola de basquete resistente verde</t>
        </is>
      </c>
      <c r="E267" s="107" t="n">
        <v>78.83</v>
      </c>
      <c r="F267" s="108" t="n">
        <v>50</v>
      </c>
      <c r="G267" s="107">
        <f>ROUND(E267*(1+IF(ABS(F267)&lt;=1,F267,F267/100)),2)</f>
        <v/>
      </c>
      <c r="H267" s="105" t="n">
        <v>15</v>
      </c>
      <c r="I267" s="105" t="n">
        <v>5</v>
      </c>
      <c r="J267" s="105">
        <f>IF(OR(UPPER(C267)="SERVIÇO",UPPER(C267)="SERVICO"),"SERVIÇO",IF(H267&lt;=0,"ZERADO",IF(H267&lt;=I267,"ESTOQUE BAIXO","NORMAL")))</f>
        <v/>
      </c>
      <c r="K267" s="107">
        <f>IF(OR(UPPER(C267)="SERVIÇO",UPPER(C267)="SERVICO"),0,N(H267)*N(E267))</f>
        <v/>
      </c>
      <c r="L267" s="107">
        <f>IF(OR(UPPER(C267)="SERVIÇO",UPPER(C267)="SERVICO"),0,N(H267)*N(G267))</f>
        <v/>
      </c>
      <c r="M267" s="107">
        <f>IF(OR(UPPER(C267)="SERVIÇO",UPPER(C267)="SERVICO"),0,L267-K267)</f>
        <v/>
      </c>
    </row>
    <row r="268" ht="15" customHeight="1">
      <c r="B268" s="105" t="n">
        <v>257</v>
      </c>
      <c r="C268" s="105" t="inlineStr">
        <is>
          <t>Produto</t>
        </is>
      </c>
      <c r="D268" s="106" t="inlineStr">
        <is>
          <t>Capacete de ciclismo leve branco</t>
        </is>
      </c>
      <c r="E268" s="107" t="n">
        <v>145.17</v>
      </c>
      <c r="F268" s="108" t="n">
        <v>50</v>
      </c>
      <c r="G268" s="107">
        <f>ROUND(E268*(1+IF(ABS(F268)&lt;=1,F268,F268/100)),2)</f>
        <v/>
      </c>
      <c r="H268" s="105" t="n">
        <v>15</v>
      </c>
      <c r="I268" s="105" t="n">
        <v>5</v>
      </c>
      <c r="J268" s="105">
        <f>IF(OR(UPPER(C268)="SERVIÇO",UPPER(C268)="SERVICO"),"SERVIÇO",IF(H268&lt;=0,"ZERADO",IF(H268&lt;=I268,"ESTOQUE BAIXO","NORMAL")))</f>
        <v/>
      </c>
      <c r="K268" s="107">
        <f>IF(OR(UPPER(C268)="SERVIÇO",UPPER(C268)="SERVICO"),0,N(H268)*N(E268))</f>
        <v/>
      </c>
      <c r="L268" s="107">
        <f>IF(OR(UPPER(C268)="SERVIÇO",UPPER(C268)="SERVICO"),0,N(H268)*N(G268))</f>
        <v/>
      </c>
      <c r="M268" s="107">
        <f>IF(OR(UPPER(C268)="SERVIÇO",UPPER(C268)="SERVICO"),0,L268-K268)</f>
        <v/>
      </c>
    </row>
    <row r="269" ht="15" customHeight="1">
      <c r="B269" s="105" t="n">
        <v>258</v>
      </c>
      <c r="C269" s="105" t="inlineStr">
        <is>
          <t>Produto</t>
        </is>
      </c>
      <c r="D269" s="106" t="inlineStr">
        <is>
          <t>Halter versão 2026 azul</t>
        </is>
      </c>
      <c r="E269" s="107" t="n">
        <v>133.84</v>
      </c>
      <c r="F269" s="108" t="n">
        <v>50</v>
      </c>
      <c r="G269" s="107">
        <f>ROUND(E269*(1+IF(ABS(F269)&lt;=1,F269,F269/100)),2)</f>
        <v/>
      </c>
      <c r="H269" s="105" t="n">
        <v>15</v>
      </c>
      <c r="I269" s="105" t="n">
        <v>5</v>
      </c>
      <c r="J269" s="105">
        <f>IF(OR(UPPER(C269)="SERVIÇO",UPPER(C269)="SERVICO"),"SERVIÇO",IF(H269&lt;=0,"ZERADO",IF(H269&lt;=I269,"ESTOQUE BAIXO","NORMAL")))</f>
        <v/>
      </c>
      <c r="K269" s="107">
        <f>IF(OR(UPPER(C269)="SERVIÇO",UPPER(C269)="SERVICO"),0,N(H269)*N(E269))</f>
        <v/>
      </c>
      <c r="L269" s="107">
        <f>IF(OR(UPPER(C269)="SERVIÇO",UPPER(C269)="SERVICO"),0,N(H269)*N(G269))</f>
        <v/>
      </c>
      <c r="M269" s="107">
        <f>IF(OR(UPPER(C269)="SERVIÇO",UPPER(C269)="SERVICO"),0,L269-K269)</f>
        <v/>
      </c>
    </row>
    <row r="270" ht="15" customHeight="1">
      <c r="B270" s="105" t="n">
        <v>259</v>
      </c>
      <c r="C270" s="105" t="inlineStr">
        <is>
          <t>Produto</t>
        </is>
      </c>
      <c r="D270" s="106" t="inlineStr">
        <is>
          <t>Chuteira society versão 2026 preto tam. M</t>
        </is>
      </c>
      <c r="E270" s="107" t="n">
        <v>157.9</v>
      </c>
      <c r="F270" s="108" t="n">
        <v>50</v>
      </c>
      <c r="G270" s="107">
        <f>ROUND(E270*(1+IF(ABS(F270)&lt;=1,F270,F270/100)),2)</f>
        <v/>
      </c>
      <c r="H270" s="105" t="n">
        <v>15</v>
      </c>
      <c r="I270" s="105" t="n">
        <v>5</v>
      </c>
      <c r="J270" s="105">
        <f>IF(OR(UPPER(C270)="SERVIÇO",UPPER(C270)="SERVICO"),"SERVIÇO",IF(H270&lt;=0,"ZERADO",IF(H270&lt;=I270,"ESTOQUE BAIXO","NORMAL")))</f>
        <v/>
      </c>
      <c r="K270" s="107">
        <f>IF(OR(UPPER(C270)="SERVIÇO",UPPER(C270)="SERVICO"),0,N(H270)*N(E270))</f>
        <v/>
      </c>
      <c r="L270" s="107">
        <f>IF(OR(UPPER(C270)="SERVIÇO",UPPER(C270)="SERVICO"),0,N(H270)*N(G270))</f>
        <v/>
      </c>
      <c r="M270" s="107">
        <f>IF(OR(UPPER(C270)="SERVIÇO",UPPER(C270)="SERVICO"),0,L270-K270)</f>
        <v/>
      </c>
    </row>
    <row r="271" ht="15" customHeight="1">
      <c r="B271" s="105" t="n">
        <v>260</v>
      </c>
      <c r="C271" s="105" t="inlineStr">
        <is>
          <t>Produto</t>
        </is>
      </c>
      <c r="D271" s="106" t="inlineStr">
        <is>
          <t>Prancha de natação ergonômico rosa</t>
        </is>
      </c>
      <c r="E271" s="107" t="n">
        <v>55.22</v>
      </c>
      <c r="F271" s="108" t="n">
        <v>50</v>
      </c>
      <c r="G271" s="107">
        <f>ROUND(E271*(1+IF(ABS(F271)&lt;=1,F271,F271/100)),2)</f>
        <v/>
      </c>
      <c r="H271" s="105" t="n">
        <v>15</v>
      </c>
      <c r="I271" s="105" t="n">
        <v>5</v>
      </c>
      <c r="J271" s="105">
        <f>IF(OR(UPPER(C271)="SERVIÇO",UPPER(C271)="SERVICO"),"SERVIÇO",IF(H271&lt;=0,"ZERADO",IF(H271&lt;=I271,"ESTOQUE BAIXO","NORMAL")))</f>
        <v/>
      </c>
      <c r="K271" s="107">
        <f>IF(OR(UPPER(C271)="SERVIÇO",UPPER(C271)="SERVICO"),0,N(H271)*N(E271))</f>
        <v/>
      </c>
      <c r="L271" s="107">
        <f>IF(OR(UPPER(C271)="SERVIÇO",UPPER(C271)="SERVICO"),0,N(H271)*N(G271))</f>
        <v/>
      </c>
      <c r="M271" s="107">
        <f>IF(OR(UPPER(C271)="SERVIÇO",UPPER(C271)="SERVICO"),0,L271-K271)</f>
        <v/>
      </c>
    </row>
    <row r="272" ht="15" customHeight="1">
      <c r="B272" s="105" t="n">
        <v>261</v>
      </c>
      <c r="C272" s="105" t="inlineStr">
        <is>
          <t>Produto</t>
        </is>
      </c>
      <c r="D272" s="106" t="inlineStr">
        <is>
          <t>Calça legging treino branco tam. 38</t>
        </is>
      </c>
      <c r="E272" s="107" t="n">
        <v>46.57</v>
      </c>
      <c r="F272" s="108" t="n">
        <v>50</v>
      </c>
      <c r="G272" s="107">
        <f>ROUND(E272*(1+IF(ABS(F272)&lt;=1,F272,F272/100)),2)</f>
        <v/>
      </c>
      <c r="H272" s="105" t="n">
        <v>15</v>
      </c>
      <c r="I272" s="105" t="n">
        <v>5</v>
      </c>
      <c r="J272" s="105">
        <f>IF(OR(UPPER(C272)="SERVIÇO",UPPER(C272)="SERVICO"),"SERVIÇO",IF(H272&lt;=0,"ZERADO",IF(H272&lt;=I272,"ESTOQUE BAIXO","NORMAL")))</f>
        <v/>
      </c>
      <c r="K272" s="107">
        <f>IF(OR(UPPER(C272)="SERVIÇO",UPPER(C272)="SERVICO"),0,N(H272)*N(E272))</f>
        <v/>
      </c>
      <c r="L272" s="107">
        <f>IF(OR(UPPER(C272)="SERVIÇO",UPPER(C272)="SERVICO"),0,N(H272)*N(G272))</f>
        <v/>
      </c>
      <c r="M272" s="107">
        <f>IF(OR(UPPER(C272)="SERVIÇO",UPPER(C272)="SERVICO"),0,L272-K272)</f>
        <v/>
      </c>
    </row>
    <row r="273" ht="15" customHeight="1">
      <c r="B273" s="105" t="n">
        <v>262</v>
      </c>
      <c r="C273" s="105" t="inlineStr">
        <is>
          <t>Produto</t>
        </is>
      </c>
      <c r="D273" s="106" t="inlineStr">
        <is>
          <t>Nadadeira ergonômico cinza</t>
        </is>
      </c>
      <c r="E273" s="107" t="n">
        <v>31.03</v>
      </c>
      <c r="F273" s="108" t="n">
        <v>50</v>
      </c>
      <c r="G273" s="107">
        <f>ROUND(E273*(1+IF(ABS(F273)&lt;=1,F273,F273/100)),2)</f>
        <v/>
      </c>
      <c r="H273" s="105" t="n">
        <v>15</v>
      </c>
      <c r="I273" s="105" t="n">
        <v>5</v>
      </c>
      <c r="J273" s="105">
        <f>IF(OR(UPPER(C273)="SERVIÇO",UPPER(C273)="SERVICO"),"SERVIÇO",IF(H273&lt;=0,"ZERADO",IF(H273&lt;=I273,"ESTOQUE BAIXO","NORMAL")))</f>
        <v/>
      </c>
      <c r="K273" s="107">
        <f>IF(OR(UPPER(C273)="SERVIÇO",UPPER(C273)="SERVICO"),0,N(H273)*N(E273))</f>
        <v/>
      </c>
      <c r="L273" s="107">
        <f>IF(OR(UPPER(C273)="SERVIÇO",UPPER(C273)="SERVICO"),0,N(H273)*N(G273))</f>
        <v/>
      </c>
      <c r="M273" s="107">
        <f>IF(OR(UPPER(C273)="SERVIÇO",UPPER(C273)="SERVICO"),0,L273-K273)</f>
        <v/>
      </c>
    </row>
    <row r="274" ht="15" customHeight="1">
      <c r="B274" s="105" t="n">
        <v>263</v>
      </c>
      <c r="C274" s="105" t="inlineStr">
        <is>
          <t>Produto</t>
        </is>
      </c>
      <c r="D274" s="106" t="inlineStr">
        <is>
          <t>Elástico de resistência juvenil preto</t>
        </is>
      </c>
      <c r="E274" s="107" t="n">
        <v>18.41</v>
      </c>
      <c r="F274" s="108" t="n">
        <v>50</v>
      </c>
      <c r="G274" s="107">
        <f>ROUND(E274*(1+IF(ABS(F274)&lt;=1,F274,F274/100)),2)</f>
        <v/>
      </c>
      <c r="H274" s="105" t="n">
        <v>15</v>
      </c>
      <c r="I274" s="105" t="n">
        <v>5</v>
      </c>
      <c r="J274" s="105">
        <f>IF(OR(UPPER(C274)="SERVIÇO",UPPER(C274)="SERVICO"),"SERVIÇO",IF(H274&lt;=0,"ZERADO",IF(H274&lt;=I274,"ESTOQUE BAIXO","NORMAL")))</f>
        <v/>
      </c>
      <c r="K274" s="107">
        <f>IF(OR(UPPER(C274)="SERVIÇO",UPPER(C274)="SERVICO"),0,N(H274)*N(E274))</f>
        <v/>
      </c>
      <c r="L274" s="107">
        <f>IF(OR(UPPER(C274)="SERVIÇO",UPPER(C274)="SERVICO"),0,N(H274)*N(G274))</f>
        <v/>
      </c>
      <c r="M274" s="107">
        <f>IF(OR(UPPER(C274)="SERVIÇO",UPPER(C274)="SERVICO"),0,L274-K274)</f>
        <v/>
      </c>
    </row>
    <row r="275" ht="15" customHeight="1">
      <c r="B275" s="105" t="n">
        <v>264</v>
      </c>
      <c r="C275" s="105" t="inlineStr">
        <is>
          <t>Produto</t>
        </is>
      </c>
      <c r="D275" s="106" t="inlineStr">
        <is>
          <t>Calça legging premium cinza tam. 36</t>
        </is>
      </c>
      <c r="E275" s="107" t="n">
        <v>47.94</v>
      </c>
      <c r="F275" s="108" t="n">
        <v>50</v>
      </c>
      <c r="G275" s="107">
        <f>ROUND(E275*(1+IF(ABS(F275)&lt;=1,F275,F275/100)),2)</f>
        <v/>
      </c>
      <c r="H275" s="105" t="n">
        <v>15</v>
      </c>
      <c r="I275" s="105" t="n">
        <v>5</v>
      </c>
      <c r="J275" s="105">
        <f>IF(OR(UPPER(C275)="SERVIÇO",UPPER(C275)="SERVICO"),"SERVIÇO",IF(H275&lt;=0,"ZERADO",IF(H275&lt;=I275,"ESTOQUE BAIXO","NORMAL")))</f>
        <v/>
      </c>
      <c r="K275" s="107">
        <f>IF(OR(UPPER(C275)="SERVIÇO",UPPER(C275)="SERVICO"),0,N(H275)*N(E275))</f>
        <v/>
      </c>
      <c r="L275" s="107">
        <f>IF(OR(UPPER(C275)="SERVIÇO",UPPER(C275)="SERVICO"),0,N(H275)*N(G275))</f>
        <v/>
      </c>
      <c r="M275" s="107">
        <f>IF(OR(UPPER(C275)="SERVIÇO",UPPER(C275)="SERVICO"),0,L275-K275)</f>
        <v/>
      </c>
    </row>
    <row r="276" ht="15" customHeight="1">
      <c r="B276" s="105" t="n">
        <v>265</v>
      </c>
      <c r="C276" s="105" t="inlineStr">
        <is>
          <t>Produto</t>
        </is>
      </c>
      <c r="D276" s="106" t="inlineStr">
        <is>
          <t>Óculos esportivos leve vermelho</t>
        </is>
      </c>
      <c r="E276" s="107" t="n">
        <v>174.5</v>
      </c>
      <c r="F276" s="108" t="n">
        <v>50</v>
      </c>
      <c r="G276" s="107">
        <f>ROUND(E276*(1+IF(ABS(F276)&lt;=1,F276,F276/100)),2)</f>
        <v/>
      </c>
      <c r="H276" s="105" t="n">
        <v>15</v>
      </c>
      <c r="I276" s="105" t="n">
        <v>5</v>
      </c>
      <c r="J276" s="105">
        <f>IF(OR(UPPER(C276)="SERVIÇO",UPPER(C276)="SERVICO"),"SERVIÇO",IF(H276&lt;=0,"ZERADO",IF(H276&lt;=I276,"ESTOQUE BAIXO","NORMAL")))</f>
        <v/>
      </c>
      <c r="K276" s="107">
        <f>IF(OR(UPPER(C276)="SERVIÇO",UPPER(C276)="SERVICO"),0,N(H276)*N(E276))</f>
        <v/>
      </c>
      <c r="L276" s="107">
        <f>IF(OR(UPPER(C276)="SERVIÇO",UPPER(C276)="SERVICO"),0,N(H276)*N(G276))</f>
        <v/>
      </c>
      <c r="M276" s="107">
        <f>IF(OR(UPPER(C276)="SERVIÇO",UPPER(C276)="SERVICO"),0,L276-K276)</f>
        <v/>
      </c>
    </row>
    <row r="277" ht="15" customHeight="1">
      <c r="B277" s="105" t="n">
        <v>266</v>
      </c>
      <c r="C277" s="105" t="inlineStr">
        <is>
          <t>Produto</t>
        </is>
      </c>
      <c r="D277" s="106" t="inlineStr">
        <is>
          <t>Patins resistente branco</t>
        </is>
      </c>
      <c r="E277" s="107" t="n">
        <v>167.51</v>
      </c>
      <c r="F277" s="108" t="n">
        <v>50</v>
      </c>
      <c r="G277" s="107">
        <f>ROUND(E277*(1+IF(ABS(F277)&lt;=1,F277,F277/100)),2)</f>
        <v/>
      </c>
      <c r="H277" s="105" t="n">
        <v>15</v>
      </c>
      <c r="I277" s="105" t="n">
        <v>5</v>
      </c>
      <c r="J277" s="105">
        <f>IF(OR(UPPER(C277)="SERVIÇO",UPPER(C277)="SERVICO"),"SERVIÇO",IF(H277&lt;=0,"ZERADO",IF(H277&lt;=I277,"ESTOQUE BAIXO","NORMAL")))</f>
        <v/>
      </c>
      <c r="K277" s="107">
        <f>IF(OR(UPPER(C277)="SERVIÇO",UPPER(C277)="SERVICO"),0,N(H277)*N(E277))</f>
        <v/>
      </c>
      <c r="L277" s="107">
        <f>IF(OR(UPPER(C277)="SERVIÇO",UPPER(C277)="SERVICO"),0,N(H277)*N(G277))</f>
        <v/>
      </c>
      <c r="M277" s="107">
        <f>IF(OR(UPPER(C277)="SERVIÇO",UPPER(C277)="SERVICO"),0,L277-K277)</f>
        <v/>
      </c>
    </row>
    <row r="278" ht="15" customHeight="1">
      <c r="B278" s="105" t="n">
        <v>267</v>
      </c>
      <c r="C278" s="105" t="inlineStr">
        <is>
          <t>Produto</t>
        </is>
      </c>
      <c r="D278" s="106" t="inlineStr">
        <is>
          <t>Bola de pilates alta performance preto</t>
        </is>
      </c>
      <c r="E278" s="107" t="n">
        <v>68.08</v>
      </c>
      <c r="F278" s="108" t="n">
        <v>50</v>
      </c>
      <c r="G278" s="107">
        <f>ROUND(E278*(1+IF(ABS(F278)&lt;=1,F278,F278/100)),2)</f>
        <v/>
      </c>
      <c r="H278" s="105" t="n">
        <v>15</v>
      </c>
      <c r="I278" s="105" t="n">
        <v>5</v>
      </c>
      <c r="J278" s="105">
        <f>IF(OR(UPPER(C278)="SERVIÇO",UPPER(C278)="SERVICO"),"SERVIÇO",IF(H278&lt;=0,"ZERADO",IF(H278&lt;=I278,"ESTOQUE BAIXO","NORMAL")))</f>
        <v/>
      </c>
      <c r="K278" s="107">
        <f>IF(OR(UPPER(C278)="SERVIÇO",UPPER(C278)="SERVICO"),0,N(H278)*N(E278))</f>
        <v/>
      </c>
      <c r="L278" s="107">
        <f>IF(OR(UPPER(C278)="SERVIÇO",UPPER(C278)="SERVICO"),0,N(H278)*N(G278))</f>
        <v/>
      </c>
      <c r="M278" s="107">
        <f>IF(OR(UPPER(C278)="SERVIÇO",UPPER(C278)="SERVICO"),0,L278-K278)</f>
        <v/>
      </c>
    </row>
    <row r="279" ht="15" customHeight="1">
      <c r="B279" s="105" t="n">
        <v>268</v>
      </c>
      <c r="C279" s="105" t="inlineStr">
        <is>
          <t>Produto</t>
        </is>
      </c>
      <c r="D279" s="106" t="inlineStr">
        <is>
          <t>Raquete de beach tennis unissex laranja</t>
        </is>
      </c>
      <c r="E279" s="107" t="n">
        <v>480.47</v>
      </c>
      <c r="F279" s="108" t="n">
        <v>50</v>
      </c>
      <c r="G279" s="107">
        <f>ROUND(E279*(1+IF(ABS(F279)&lt;=1,F279,F279/100)),2)</f>
        <v/>
      </c>
      <c r="H279" s="105" t="n">
        <v>15</v>
      </c>
      <c r="I279" s="105" t="n">
        <v>5</v>
      </c>
      <c r="J279" s="105">
        <f>IF(OR(UPPER(C279)="SERVIÇO",UPPER(C279)="SERVICO"),"SERVIÇO",IF(H279&lt;=0,"ZERADO",IF(H279&lt;=I279,"ESTOQUE BAIXO","NORMAL")))</f>
        <v/>
      </c>
      <c r="K279" s="107">
        <f>IF(OR(UPPER(C279)="SERVIÇO",UPPER(C279)="SERVICO"),0,N(H279)*N(E279))</f>
        <v/>
      </c>
      <c r="L279" s="107">
        <f>IF(OR(UPPER(C279)="SERVIÇO",UPPER(C279)="SERVICO"),0,N(H279)*N(G279))</f>
        <v/>
      </c>
      <c r="M279" s="107">
        <f>IF(OR(UPPER(C279)="SERVIÇO",UPPER(C279)="SERVICO"),0,L279-K279)</f>
        <v/>
      </c>
    </row>
    <row r="280" ht="15" customHeight="1">
      <c r="B280" s="105" t="n">
        <v>269</v>
      </c>
      <c r="C280" s="105" t="inlineStr">
        <is>
          <t>Produto</t>
        </is>
      </c>
      <c r="D280" s="106" t="inlineStr">
        <is>
          <t>Patins iniciante azul</t>
        </is>
      </c>
      <c r="E280" s="107" t="n">
        <v>387.26</v>
      </c>
      <c r="F280" s="108" t="n">
        <v>50</v>
      </c>
      <c r="G280" s="107">
        <f>ROUND(E280*(1+IF(ABS(F280)&lt;=1,F280,F280/100)),2)</f>
        <v/>
      </c>
      <c r="H280" s="105" t="n">
        <v>15</v>
      </c>
      <c r="I280" s="105" t="n">
        <v>5</v>
      </c>
      <c r="J280" s="105">
        <f>IF(OR(UPPER(C280)="SERVIÇO",UPPER(C280)="SERVICO"),"SERVIÇO",IF(H280&lt;=0,"ZERADO",IF(H280&lt;=I280,"ESTOQUE BAIXO","NORMAL")))</f>
        <v/>
      </c>
      <c r="K280" s="107">
        <f>IF(OR(UPPER(C280)="SERVIÇO",UPPER(C280)="SERVICO"),0,N(H280)*N(E280))</f>
        <v/>
      </c>
      <c r="L280" s="107">
        <f>IF(OR(UPPER(C280)="SERVIÇO",UPPER(C280)="SERVICO"),0,N(H280)*N(G280))</f>
        <v/>
      </c>
      <c r="M280" s="107">
        <f>IF(OR(UPPER(C280)="SERVIÇO",UPPER(C280)="SERVICO"),0,L280-K280)</f>
        <v/>
      </c>
    </row>
    <row r="281" ht="15" customHeight="1">
      <c r="B281" s="105" t="n">
        <v>270</v>
      </c>
      <c r="C281" s="105" t="inlineStr">
        <is>
          <t>Produto</t>
        </is>
      </c>
      <c r="D281" s="106" t="inlineStr">
        <is>
          <t>Halter versão 2026 rosa</t>
        </is>
      </c>
      <c r="E281" s="107" t="n">
        <v>126.76</v>
      </c>
      <c r="F281" s="108" t="n">
        <v>50</v>
      </c>
      <c r="G281" s="107">
        <f>ROUND(E281*(1+IF(ABS(F281)&lt;=1,F281,F281/100)),2)</f>
        <v/>
      </c>
      <c r="H281" s="105" t="n">
        <v>15</v>
      </c>
      <c r="I281" s="105" t="n">
        <v>5</v>
      </c>
      <c r="J281" s="105">
        <f>IF(OR(UPPER(C281)="SERVIÇO",UPPER(C281)="SERVICO"),"SERVIÇO",IF(H281&lt;=0,"ZERADO",IF(H281&lt;=I281,"ESTOQUE BAIXO","NORMAL")))</f>
        <v/>
      </c>
      <c r="K281" s="107">
        <f>IF(OR(UPPER(C281)="SERVIÇO",UPPER(C281)="SERVICO"),0,N(H281)*N(E281))</f>
        <v/>
      </c>
      <c r="L281" s="107">
        <f>IF(OR(UPPER(C281)="SERVIÇO",UPPER(C281)="SERVICO"),0,N(H281)*N(G281))</f>
        <v/>
      </c>
      <c r="M281" s="107">
        <f>IF(OR(UPPER(C281)="SERVIÇO",UPPER(C281)="SERVICO"),0,L281-K281)</f>
        <v/>
      </c>
    </row>
    <row r="282" ht="15" customHeight="1">
      <c r="B282" s="105" t="n">
        <v>271</v>
      </c>
      <c r="C282" s="105" t="inlineStr">
        <is>
          <t>Produto</t>
        </is>
      </c>
      <c r="D282" s="106" t="inlineStr">
        <is>
          <t>Tapete de yoga alta performance azul</t>
        </is>
      </c>
      <c r="E282" s="107" t="n">
        <v>61.9</v>
      </c>
      <c r="F282" s="108" t="n">
        <v>50</v>
      </c>
      <c r="G282" s="107">
        <f>ROUND(E282*(1+IF(ABS(F282)&lt;=1,F282,F282/100)),2)</f>
        <v/>
      </c>
      <c r="H282" s="105" t="n">
        <v>15</v>
      </c>
      <c r="I282" s="105" t="n">
        <v>5</v>
      </c>
      <c r="J282" s="105">
        <f>IF(OR(UPPER(C282)="SERVIÇO",UPPER(C282)="SERVICO"),"SERVIÇO",IF(H282&lt;=0,"ZERADO",IF(H282&lt;=I282,"ESTOQUE BAIXO","NORMAL")))</f>
        <v/>
      </c>
      <c r="K282" s="107">
        <f>IF(OR(UPPER(C282)="SERVIÇO",UPPER(C282)="SERVICO"),0,N(H282)*N(E282))</f>
        <v/>
      </c>
      <c r="L282" s="107">
        <f>IF(OR(UPPER(C282)="SERVIÇO",UPPER(C282)="SERVICO"),0,N(H282)*N(G282))</f>
        <v/>
      </c>
      <c r="M282" s="107">
        <f>IF(OR(UPPER(C282)="SERVIÇO",UPPER(C282)="SERVICO"),0,L282-K282)</f>
        <v/>
      </c>
    </row>
    <row r="283" ht="15" customHeight="1">
      <c r="B283" s="105" t="n">
        <v>272</v>
      </c>
      <c r="C283" s="105" t="inlineStr">
        <is>
          <t>Produto</t>
        </is>
      </c>
      <c r="D283" s="106" t="inlineStr">
        <is>
          <t>Luva de boxe resistente azul tam. 38</t>
        </is>
      </c>
      <c r="E283" s="107" t="n">
        <v>266.54</v>
      </c>
      <c r="F283" s="108" t="n">
        <v>50</v>
      </c>
      <c r="G283" s="107">
        <f>ROUND(E283*(1+IF(ABS(F283)&lt;=1,F283,F283/100)),2)</f>
        <v/>
      </c>
      <c r="H283" s="105" t="n">
        <v>15</v>
      </c>
      <c r="I283" s="105" t="n">
        <v>5</v>
      </c>
      <c r="J283" s="105">
        <f>IF(OR(UPPER(C283)="SERVIÇO",UPPER(C283)="SERVICO"),"SERVIÇO",IF(H283&lt;=0,"ZERADO",IF(H283&lt;=I283,"ESTOQUE BAIXO","NORMAL")))</f>
        <v/>
      </c>
      <c r="K283" s="107">
        <f>IF(OR(UPPER(C283)="SERVIÇO",UPPER(C283)="SERVICO"),0,N(H283)*N(E283))</f>
        <v/>
      </c>
      <c r="L283" s="107">
        <f>IF(OR(UPPER(C283)="SERVIÇO",UPPER(C283)="SERVICO"),0,N(H283)*N(G283))</f>
        <v/>
      </c>
      <c r="M283" s="107">
        <f>IF(OR(UPPER(C283)="SERVIÇO",UPPER(C283)="SERVICO"),0,L283-K283)</f>
        <v/>
      </c>
    </row>
    <row r="284" ht="15" customHeight="1">
      <c r="B284" s="105" t="n">
        <v>273</v>
      </c>
      <c r="C284" s="105" t="inlineStr">
        <is>
          <t>Produto</t>
        </is>
      </c>
      <c r="D284" s="106" t="inlineStr">
        <is>
          <t>Bola de pilates compacto branco</t>
        </is>
      </c>
      <c r="E284" s="107" t="n">
        <v>98.73999999999999</v>
      </c>
      <c r="F284" s="108" t="n">
        <v>50</v>
      </c>
      <c r="G284" s="107">
        <f>ROUND(E284*(1+IF(ABS(F284)&lt;=1,F284,F284/100)),2)</f>
        <v/>
      </c>
      <c r="H284" s="105" t="n">
        <v>15</v>
      </c>
      <c r="I284" s="105" t="n">
        <v>5</v>
      </c>
      <c r="J284" s="105">
        <f>IF(OR(UPPER(C284)="SERVIÇO",UPPER(C284)="SERVICO"),"SERVIÇO",IF(H284&lt;=0,"ZERADO",IF(H284&lt;=I284,"ESTOQUE BAIXO","NORMAL")))</f>
        <v/>
      </c>
      <c r="K284" s="107">
        <f>IF(OR(UPPER(C284)="SERVIÇO",UPPER(C284)="SERVICO"),0,N(H284)*N(E284))</f>
        <v/>
      </c>
      <c r="L284" s="107">
        <f>IF(OR(UPPER(C284)="SERVIÇO",UPPER(C284)="SERVICO"),0,N(H284)*N(G284))</f>
        <v/>
      </c>
      <c r="M284" s="107">
        <f>IF(OR(UPPER(C284)="SERVIÇO",UPPER(C284)="SERVICO"),0,L284-K284)</f>
        <v/>
      </c>
    </row>
    <row r="285" ht="15" customHeight="1">
      <c r="B285" s="105" t="n">
        <v>274</v>
      </c>
      <c r="C285" s="105" t="inlineStr">
        <is>
          <t>Produto</t>
        </is>
      </c>
      <c r="D285" s="106" t="inlineStr">
        <is>
          <t>Raquete de beach tennis treino verde</t>
        </is>
      </c>
      <c r="E285" s="107" t="n">
        <v>713.9</v>
      </c>
      <c r="F285" s="108" t="n">
        <v>50</v>
      </c>
      <c r="G285" s="107">
        <f>ROUND(E285*(1+IF(ABS(F285)&lt;=1,F285,F285/100)),2)</f>
        <v/>
      </c>
      <c r="H285" s="105" t="n">
        <v>15</v>
      </c>
      <c r="I285" s="105" t="n">
        <v>5</v>
      </c>
      <c r="J285" s="105">
        <f>IF(OR(UPPER(C285)="SERVIÇO",UPPER(C285)="SERVICO"),"SERVIÇO",IF(H285&lt;=0,"ZERADO",IF(H285&lt;=I285,"ESTOQUE BAIXO","NORMAL")))</f>
        <v/>
      </c>
      <c r="K285" s="107">
        <f>IF(OR(UPPER(C285)="SERVIÇO",UPPER(C285)="SERVICO"),0,N(H285)*N(E285))</f>
        <v/>
      </c>
      <c r="L285" s="107">
        <f>IF(OR(UPPER(C285)="SERVIÇO",UPPER(C285)="SERVICO"),0,N(H285)*N(G285))</f>
        <v/>
      </c>
      <c r="M285" s="107">
        <f>IF(OR(UPPER(C285)="SERVIÇO",UPPER(C285)="SERVICO"),0,L285-K285)</f>
        <v/>
      </c>
    </row>
    <row r="286" ht="15" customHeight="1">
      <c r="B286" s="105" t="n">
        <v>275</v>
      </c>
      <c r="C286" s="105" t="inlineStr">
        <is>
          <t>Produto</t>
        </is>
      </c>
      <c r="D286" s="106" t="inlineStr">
        <is>
          <t>Colchonete de exercício recreativo verde</t>
        </is>
      </c>
      <c r="E286" s="107" t="n">
        <v>33.81</v>
      </c>
      <c r="F286" s="108" t="n">
        <v>50</v>
      </c>
      <c r="G286" s="107">
        <f>ROUND(E286*(1+IF(ABS(F286)&lt;=1,F286,F286/100)),2)</f>
        <v/>
      </c>
      <c r="H286" s="105" t="n">
        <v>15</v>
      </c>
      <c r="I286" s="105" t="n">
        <v>5</v>
      </c>
      <c r="J286" s="105">
        <f>IF(OR(UPPER(C286)="SERVIÇO",UPPER(C286)="SERVICO"),"SERVIÇO",IF(H286&lt;=0,"ZERADO",IF(H286&lt;=I286,"ESTOQUE BAIXO","NORMAL")))</f>
        <v/>
      </c>
      <c r="K286" s="107">
        <f>IF(OR(UPPER(C286)="SERVIÇO",UPPER(C286)="SERVICO"),0,N(H286)*N(E286))</f>
        <v/>
      </c>
      <c r="L286" s="107">
        <f>IF(OR(UPPER(C286)="SERVIÇO",UPPER(C286)="SERVICO"),0,N(H286)*N(G286))</f>
        <v/>
      </c>
      <c r="M286" s="107">
        <f>IF(OR(UPPER(C286)="SERVIÇO",UPPER(C286)="SERVICO"),0,L286-K286)</f>
        <v/>
      </c>
    </row>
    <row r="287" ht="15" customHeight="1">
      <c r="B287" s="105" t="n">
        <v>276</v>
      </c>
      <c r="C287" s="105" t="inlineStr">
        <is>
          <t>Produto</t>
        </is>
      </c>
      <c r="D287" s="106" t="inlineStr">
        <is>
          <t>Mochila esportiva leve vermelho</t>
        </is>
      </c>
      <c r="E287" s="107" t="n">
        <v>191.02</v>
      </c>
      <c r="F287" s="108" t="n">
        <v>50</v>
      </c>
      <c r="G287" s="107">
        <f>ROUND(E287*(1+IF(ABS(F287)&lt;=1,F287,F287/100)),2)</f>
        <v/>
      </c>
      <c r="H287" s="105" t="n">
        <v>15</v>
      </c>
      <c r="I287" s="105" t="n">
        <v>5</v>
      </c>
      <c r="J287" s="105">
        <f>IF(OR(UPPER(C287)="SERVIÇO",UPPER(C287)="SERVICO"),"SERVIÇO",IF(H287&lt;=0,"ZERADO",IF(H287&lt;=I287,"ESTOQUE BAIXO","NORMAL")))</f>
        <v/>
      </c>
      <c r="K287" s="107">
        <f>IF(OR(UPPER(C287)="SERVIÇO",UPPER(C287)="SERVICO"),0,N(H287)*N(E287))</f>
        <v/>
      </c>
      <c r="L287" s="107">
        <f>IF(OR(UPPER(C287)="SERVIÇO",UPPER(C287)="SERVICO"),0,N(H287)*N(G287))</f>
        <v/>
      </c>
      <c r="M287" s="107">
        <f>IF(OR(UPPER(C287)="SERVIÇO",UPPER(C287)="SERVICO"),0,L287-K287)</f>
        <v/>
      </c>
    </row>
    <row r="288" ht="15" customHeight="1">
      <c r="B288" s="105" t="n">
        <v>277</v>
      </c>
      <c r="C288" s="105" t="inlineStr">
        <is>
          <t>Produto</t>
        </is>
      </c>
      <c r="D288" s="106" t="inlineStr">
        <is>
          <t>Óculos de natação leve rosa</t>
        </is>
      </c>
      <c r="E288" s="107" t="n">
        <v>75.97</v>
      </c>
      <c r="F288" s="108" t="n">
        <v>50</v>
      </c>
      <c r="G288" s="107">
        <f>ROUND(E288*(1+IF(ABS(F288)&lt;=1,F288,F288/100)),2)</f>
        <v/>
      </c>
      <c r="H288" s="105" t="n">
        <v>15</v>
      </c>
      <c r="I288" s="105" t="n">
        <v>5</v>
      </c>
      <c r="J288" s="105">
        <f>IF(OR(UPPER(C288)="SERVIÇO",UPPER(C288)="SERVICO"),"SERVIÇO",IF(H288&lt;=0,"ZERADO",IF(H288&lt;=I288,"ESTOQUE BAIXO","NORMAL")))</f>
        <v/>
      </c>
      <c r="K288" s="107">
        <f>IF(OR(UPPER(C288)="SERVIÇO",UPPER(C288)="SERVICO"),0,N(H288)*N(E288))</f>
        <v/>
      </c>
      <c r="L288" s="107">
        <f>IF(OR(UPPER(C288)="SERVIÇO",UPPER(C288)="SERVICO"),0,N(H288)*N(G288))</f>
        <v/>
      </c>
      <c r="M288" s="107">
        <f>IF(OR(UPPER(C288)="SERVIÇO",UPPER(C288)="SERVICO"),0,L288-K288)</f>
        <v/>
      </c>
    </row>
    <row r="289" ht="15" customHeight="1">
      <c r="B289" s="105" t="n">
        <v>278</v>
      </c>
      <c r="C289" s="105" t="inlineStr">
        <is>
          <t>Produto</t>
        </is>
      </c>
      <c r="D289" s="106" t="inlineStr">
        <is>
          <t>Protetor bucal com ajuste branco</t>
        </is>
      </c>
      <c r="E289" s="107" t="n">
        <v>53.02</v>
      </c>
      <c r="F289" s="108" t="n">
        <v>50</v>
      </c>
      <c r="G289" s="107">
        <f>ROUND(E289*(1+IF(ABS(F289)&lt;=1,F289,F289/100)),2)</f>
        <v/>
      </c>
      <c r="H289" s="105" t="n">
        <v>15</v>
      </c>
      <c r="I289" s="105" t="n">
        <v>5</v>
      </c>
      <c r="J289" s="105">
        <f>IF(OR(UPPER(C289)="SERVIÇO",UPPER(C289)="SERVICO"),"SERVIÇO",IF(H289&lt;=0,"ZERADO",IF(H289&lt;=I289,"ESTOQUE BAIXO","NORMAL")))</f>
        <v/>
      </c>
      <c r="K289" s="107">
        <f>IF(OR(UPPER(C289)="SERVIÇO",UPPER(C289)="SERVICO"),0,N(H289)*N(E289))</f>
        <v/>
      </c>
      <c r="L289" s="107">
        <f>IF(OR(UPPER(C289)="SERVIÇO",UPPER(C289)="SERVICO"),0,N(H289)*N(G289))</f>
        <v/>
      </c>
      <c r="M289" s="107">
        <f>IF(OR(UPPER(C289)="SERVIÇO",UPPER(C289)="SERVICO"),0,L289-K289)</f>
        <v/>
      </c>
    </row>
    <row r="290" ht="15" customHeight="1">
      <c r="B290" s="105" t="n">
        <v>279</v>
      </c>
      <c r="C290" s="105" t="inlineStr">
        <is>
          <t>Produto</t>
        </is>
      </c>
      <c r="D290" s="106" t="inlineStr">
        <is>
          <t>Touca de natação recreativo rosa tam. M</t>
        </is>
      </c>
      <c r="E290" s="107" t="n">
        <v>32.86</v>
      </c>
      <c r="F290" s="108" t="n">
        <v>50</v>
      </c>
      <c r="G290" s="107">
        <f>ROUND(E290*(1+IF(ABS(F290)&lt;=1,F290,F290/100)),2)</f>
        <v/>
      </c>
      <c r="H290" s="105" t="n">
        <v>15</v>
      </c>
      <c r="I290" s="105" t="n">
        <v>5</v>
      </c>
      <c r="J290" s="105">
        <f>IF(OR(UPPER(C290)="SERVIÇO",UPPER(C290)="SERVICO"),"SERVIÇO",IF(H290&lt;=0,"ZERADO",IF(H290&lt;=I290,"ESTOQUE BAIXO","NORMAL")))</f>
        <v/>
      </c>
      <c r="K290" s="107">
        <f>IF(OR(UPPER(C290)="SERVIÇO",UPPER(C290)="SERVICO"),0,N(H290)*N(E290))</f>
        <v/>
      </c>
      <c r="L290" s="107">
        <f>IF(OR(UPPER(C290)="SERVIÇO",UPPER(C290)="SERVICO"),0,N(H290)*N(G290))</f>
        <v/>
      </c>
      <c r="M290" s="107">
        <f>IF(OR(UPPER(C290)="SERVIÇO",UPPER(C290)="SERVICO"),0,L290-K290)</f>
        <v/>
      </c>
    </row>
    <row r="291" ht="15" customHeight="1">
      <c r="B291" s="105" t="n">
        <v>280</v>
      </c>
      <c r="C291" s="105" t="inlineStr">
        <is>
          <t>Produto</t>
        </is>
      </c>
      <c r="D291" s="106" t="inlineStr">
        <is>
          <t>Touca de natação premium preto tam. 36</t>
        </is>
      </c>
      <c r="E291" s="107" t="n">
        <v>34.81</v>
      </c>
      <c r="F291" s="108" t="n">
        <v>50</v>
      </c>
      <c r="G291" s="107">
        <f>ROUND(E291*(1+IF(ABS(F291)&lt;=1,F291,F291/100)),2)</f>
        <v/>
      </c>
      <c r="H291" s="105" t="n">
        <v>15</v>
      </c>
      <c r="I291" s="105" t="n">
        <v>5</v>
      </c>
      <c r="J291" s="105">
        <f>IF(OR(UPPER(C291)="SERVIÇO",UPPER(C291)="SERVICO"),"SERVIÇO",IF(H291&lt;=0,"ZERADO",IF(H291&lt;=I291,"ESTOQUE BAIXO","NORMAL")))</f>
        <v/>
      </c>
      <c r="K291" s="107">
        <f>IF(OR(UPPER(C291)="SERVIÇO",UPPER(C291)="SERVICO"),0,N(H291)*N(E291))</f>
        <v/>
      </c>
      <c r="L291" s="107">
        <f>IF(OR(UPPER(C291)="SERVIÇO",UPPER(C291)="SERVICO"),0,N(H291)*N(G291))</f>
        <v/>
      </c>
      <c r="M291" s="107">
        <f>IF(OR(UPPER(C291)="SERVIÇO",UPPER(C291)="SERVICO"),0,L291-K291)</f>
        <v/>
      </c>
    </row>
    <row r="292" ht="15" customHeight="1">
      <c r="B292" s="105" t="n">
        <v>281</v>
      </c>
      <c r="C292" s="105" t="inlineStr">
        <is>
          <t>Produto</t>
        </is>
      </c>
      <c r="D292" s="106" t="inlineStr">
        <is>
          <t>Coqueteleira com ajuste preto</t>
        </is>
      </c>
      <c r="E292" s="107" t="n">
        <v>14.33</v>
      </c>
      <c r="F292" s="108" t="n">
        <v>50</v>
      </c>
      <c r="G292" s="107">
        <f>ROUND(E292*(1+IF(ABS(F292)&lt;=1,F292,F292/100)),2)</f>
        <v/>
      </c>
      <c r="H292" s="105" t="n">
        <v>15</v>
      </c>
      <c r="I292" s="105" t="n">
        <v>5</v>
      </c>
      <c r="J292" s="105">
        <f>IF(OR(UPPER(C292)="SERVIÇO",UPPER(C292)="SERVICO"),"SERVIÇO",IF(H292&lt;=0,"ZERADO",IF(H292&lt;=I292,"ESTOQUE BAIXO","NORMAL")))</f>
        <v/>
      </c>
      <c r="K292" s="107">
        <f>IF(OR(UPPER(C292)="SERVIÇO",UPPER(C292)="SERVICO"),0,N(H292)*N(E292))</f>
        <v/>
      </c>
      <c r="L292" s="107">
        <f>IF(OR(UPPER(C292)="SERVIÇO",UPPER(C292)="SERVICO"),0,N(H292)*N(G292))</f>
        <v/>
      </c>
      <c r="M292" s="107">
        <f>IF(OR(UPPER(C292)="SERVIÇO",UPPER(C292)="SERVICO"),0,L292-K292)</f>
        <v/>
      </c>
    </row>
    <row r="293" ht="15" customHeight="1">
      <c r="B293" s="105" t="n">
        <v>282</v>
      </c>
      <c r="C293" s="105" t="inlineStr">
        <is>
          <t>Produto</t>
        </is>
      </c>
      <c r="D293" s="106" t="inlineStr">
        <is>
          <t>Garrafa squeeze profissional laranja</t>
        </is>
      </c>
      <c r="E293" s="107" t="n">
        <v>32.54</v>
      </c>
      <c r="F293" s="108" t="n">
        <v>50</v>
      </c>
      <c r="G293" s="107">
        <f>ROUND(E293*(1+IF(ABS(F293)&lt;=1,F293,F293/100)),2)</f>
        <v/>
      </c>
      <c r="H293" s="105" t="n">
        <v>15</v>
      </c>
      <c r="I293" s="105" t="n">
        <v>5</v>
      </c>
      <c r="J293" s="105">
        <f>IF(OR(UPPER(C293)="SERVIÇO",UPPER(C293)="SERVICO"),"SERVIÇO",IF(H293&lt;=0,"ZERADO",IF(H293&lt;=I293,"ESTOQUE BAIXO","NORMAL")))</f>
        <v/>
      </c>
      <c r="K293" s="107">
        <f>IF(OR(UPPER(C293)="SERVIÇO",UPPER(C293)="SERVICO"),0,N(H293)*N(E293))</f>
        <v/>
      </c>
      <c r="L293" s="107">
        <f>IF(OR(UPPER(C293)="SERVIÇO",UPPER(C293)="SERVICO"),0,N(H293)*N(G293))</f>
        <v/>
      </c>
      <c r="M293" s="107">
        <f>IF(OR(UPPER(C293)="SERVIÇO",UPPER(C293)="SERVICO"),0,L293-K293)</f>
        <v/>
      </c>
    </row>
    <row r="294" ht="15" customHeight="1">
      <c r="B294" s="105" t="n">
        <v>283</v>
      </c>
      <c r="C294" s="105" t="inlineStr">
        <is>
          <t>Produto</t>
        </is>
      </c>
      <c r="D294" s="106" t="inlineStr">
        <is>
          <t>Luva de goleiro com ajuste verde tam. 36</t>
        </is>
      </c>
      <c r="E294" s="107" t="n">
        <v>154.62</v>
      </c>
      <c r="F294" s="108" t="n">
        <v>50</v>
      </c>
      <c r="G294" s="107">
        <f>ROUND(E294*(1+IF(ABS(F294)&lt;=1,F294,F294/100)),2)</f>
        <v/>
      </c>
      <c r="H294" s="105" t="n">
        <v>15</v>
      </c>
      <c r="I294" s="105" t="n">
        <v>5</v>
      </c>
      <c r="J294" s="105">
        <f>IF(OR(UPPER(C294)="SERVIÇO",UPPER(C294)="SERVICO"),"SERVIÇO",IF(H294&lt;=0,"ZERADO",IF(H294&lt;=I294,"ESTOQUE BAIXO","NORMAL")))</f>
        <v/>
      </c>
      <c r="K294" s="107">
        <f>IF(OR(UPPER(C294)="SERVIÇO",UPPER(C294)="SERVICO"),0,N(H294)*N(E294))</f>
        <v/>
      </c>
      <c r="L294" s="107">
        <f>IF(OR(UPPER(C294)="SERVIÇO",UPPER(C294)="SERVICO"),0,N(H294)*N(G294))</f>
        <v/>
      </c>
      <c r="M294" s="107">
        <f>IF(OR(UPPER(C294)="SERVIÇO",UPPER(C294)="SERVICO"),0,L294-K294)</f>
        <v/>
      </c>
    </row>
    <row r="295" ht="15" customHeight="1">
      <c r="B295" s="105" t="n">
        <v>284</v>
      </c>
      <c r="C295" s="105" t="inlineStr">
        <is>
          <t>Produto</t>
        </is>
      </c>
      <c r="D295" s="106" t="inlineStr">
        <is>
          <t>Relógio esportivo juvenil rosa</t>
        </is>
      </c>
      <c r="E295" s="107" t="n">
        <v>208.98</v>
      </c>
      <c r="F295" s="108" t="n">
        <v>50</v>
      </c>
      <c r="G295" s="107">
        <f>ROUND(E295*(1+IF(ABS(F295)&lt;=1,F295,F295/100)),2)</f>
        <v/>
      </c>
      <c r="H295" s="105" t="n">
        <v>15</v>
      </c>
      <c r="I295" s="105" t="n">
        <v>5</v>
      </c>
      <c r="J295" s="105">
        <f>IF(OR(UPPER(C295)="SERVIÇO",UPPER(C295)="SERVICO"),"SERVIÇO",IF(H295&lt;=0,"ZERADO",IF(H295&lt;=I295,"ESTOQUE BAIXO","NORMAL")))</f>
        <v/>
      </c>
      <c r="K295" s="107">
        <f>IF(OR(UPPER(C295)="SERVIÇO",UPPER(C295)="SERVICO"),0,N(H295)*N(E295))</f>
        <v/>
      </c>
      <c r="L295" s="107">
        <f>IF(OR(UPPER(C295)="SERVIÇO",UPPER(C295)="SERVICO"),0,N(H295)*N(G295))</f>
        <v/>
      </c>
      <c r="M295" s="107">
        <f>IF(OR(UPPER(C295)="SERVIÇO",UPPER(C295)="SERVICO"),0,L295-K295)</f>
        <v/>
      </c>
    </row>
    <row r="296" ht="15" customHeight="1">
      <c r="B296" s="105" t="n">
        <v>285</v>
      </c>
      <c r="C296" s="105" t="inlineStr">
        <is>
          <t>Produto</t>
        </is>
      </c>
      <c r="D296" s="106" t="inlineStr">
        <is>
          <t>Kettlebell resistente vermelho</t>
        </is>
      </c>
      <c r="E296" s="107" t="n">
        <v>38.16</v>
      </c>
      <c r="F296" s="108" t="n">
        <v>50</v>
      </c>
      <c r="G296" s="107">
        <f>ROUND(E296*(1+IF(ABS(F296)&lt;=1,F296,F296/100)),2)</f>
        <v/>
      </c>
      <c r="H296" s="105" t="n">
        <v>15</v>
      </c>
      <c r="I296" s="105" t="n">
        <v>5</v>
      </c>
      <c r="J296" s="105">
        <f>IF(OR(UPPER(C296)="SERVIÇO",UPPER(C296)="SERVICO"),"SERVIÇO",IF(H296&lt;=0,"ZERADO",IF(H296&lt;=I296,"ESTOQUE BAIXO","NORMAL")))</f>
        <v/>
      </c>
      <c r="K296" s="107">
        <f>IF(OR(UPPER(C296)="SERVIÇO",UPPER(C296)="SERVICO"),0,N(H296)*N(E296))</f>
        <v/>
      </c>
      <c r="L296" s="107">
        <f>IF(OR(UPPER(C296)="SERVIÇO",UPPER(C296)="SERVICO"),0,N(H296)*N(G296))</f>
        <v/>
      </c>
      <c r="M296" s="107">
        <f>IF(OR(UPPER(C296)="SERVIÇO",UPPER(C296)="SERVICO"),0,L296-K296)</f>
        <v/>
      </c>
    </row>
    <row r="297" ht="15" customHeight="1">
      <c r="B297" s="105" t="n">
        <v>286</v>
      </c>
      <c r="C297" s="105" t="inlineStr">
        <is>
          <t>Produto</t>
        </is>
      </c>
      <c r="D297" s="106" t="inlineStr">
        <is>
          <t>Patins com ajuste vermelho</t>
        </is>
      </c>
      <c r="E297" s="107" t="n">
        <v>360.11</v>
      </c>
      <c r="F297" s="108" t="n">
        <v>50</v>
      </c>
      <c r="G297" s="107">
        <f>ROUND(E297*(1+IF(ABS(F297)&lt;=1,F297,F297/100)),2)</f>
        <v/>
      </c>
      <c r="H297" s="105" t="n">
        <v>15</v>
      </c>
      <c r="I297" s="105" t="n">
        <v>5</v>
      </c>
      <c r="J297" s="105">
        <f>IF(OR(UPPER(C297)="SERVIÇO",UPPER(C297)="SERVICO"),"SERVIÇO",IF(H297&lt;=0,"ZERADO",IF(H297&lt;=I297,"ESTOQUE BAIXO","NORMAL")))</f>
        <v/>
      </c>
      <c r="K297" s="107">
        <f>IF(OR(UPPER(C297)="SERVIÇO",UPPER(C297)="SERVICO"),0,N(H297)*N(E297))</f>
        <v/>
      </c>
      <c r="L297" s="107">
        <f>IF(OR(UPPER(C297)="SERVIÇO",UPPER(C297)="SERVICO"),0,N(H297)*N(G297))</f>
        <v/>
      </c>
      <c r="M297" s="107">
        <f>IF(OR(UPPER(C297)="SERVIÇO",UPPER(C297)="SERVICO"),0,L297-K297)</f>
        <v/>
      </c>
    </row>
    <row r="298" ht="15" customHeight="1">
      <c r="B298" s="105" t="n">
        <v>287</v>
      </c>
      <c r="C298" s="105" t="inlineStr">
        <is>
          <t>Produto</t>
        </is>
      </c>
      <c r="D298" s="106" t="inlineStr">
        <is>
          <t>Garrafa squeeze alta performance branco</t>
        </is>
      </c>
      <c r="E298" s="107" t="n">
        <v>43.57</v>
      </c>
      <c r="F298" s="108" t="n">
        <v>50</v>
      </c>
      <c r="G298" s="107">
        <f>ROUND(E298*(1+IF(ABS(F298)&lt;=1,F298,F298/100)),2)</f>
        <v/>
      </c>
      <c r="H298" s="105" t="n">
        <v>15</v>
      </c>
      <c r="I298" s="105" t="n">
        <v>5</v>
      </c>
      <c r="J298" s="105">
        <f>IF(OR(UPPER(C298)="SERVIÇO",UPPER(C298)="SERVICO"),"SERVIÇO",IF(H298&lt;=0,"ZERADO",IF(H298&lt;=I298,"ESTOQUE BAIXO","NORMAL")))</f>
        <v/>
      </c>
      <c r="K298" s="107">
        <f>IF(OR(UPPER(C298)="SERVIÇO",UPPER(C298)="SERVICO"),0,N(H298)*N(E298))</f>
        <v/>
      </c>
      <c r="L298" s="107">
        <f>IF(OR(UPPER(C298)="SERVIÇO",UPPER(C298)="SERVICO"),0,N(H298)*N(G298))</f>
        <v/>
      </c>
      <c r="M298" s="107">
        <f>IF(OR(UPPER(C298)="SERVIÇO",UPPER(C298)="SERVICO"),0,L298-K298)</f>
        <v/>
      </c>
    </row>
    <row r="299" ht="15" customHeight="1">
      <c r="B299" s="105" t="n">
        <v>288</v>
      </c>
      <c r="C299" s="105" t="inlineStr">
        <is>
          <t>Produto</t>
        </is>
      </c>
      <c r="D299" s="106" t="inlineStr">
        <is>
          <t>Raquete de tênis profissional branco tam. M</t>
        </is>
      </c>
      <c r="E299" s="107" t="n">
        <v>325.11</v>
      </c>
      <c r="F299" s="108" t="n">
        <v>50</v>
      </c>
      <c r="G299" s="107">
        <f>ROUND(E299*(1+IF(ABS(F299)&lt;=1,F299,F299/100)),2)</f>
        <v/>
      </c>
      <c r="H299" s="105" t="n">
        <v>15</v>
      </c>
      <c r="I299" s="105" t="n">
        <v>5</v>
      </c>
      <c r="J299" s="105">
        <f>IF(OR(UPPER(C299)="SERVIÇO",UPPER(C299)="SERVICO"),"SERVIÇO",IF(H299&lt;=0,"ZERADO",IF(H299&lt;=I299,"ESTOQUE BAIXO","NORMAL")))</f>
        <v/>
      </c>
      <c r="K299" s="107">
        <f>IF(OR(UPPER(C299)="SERVIÇO",UPPER(C299)="SERVICO"),0,N(H299)*N(E299))</f>
        <v/>
      </c>
      <c r="L299" s="107">
        <f>IF(OR(UPPER(C299)="SERVIÇO",UPPER(C299)="SERVICO"),0,N(H299)*N(G299))</f>
        <v/>
      </c>
      <c r="M299" s="107">
        <f>IF(OR(UPPER(C299)="SERVIÇO",UPPER(C299)="SERVICO"),0,L299-K299)</f>
        <v/>
      </c>
    </row>
    <row r="300" ht="15" customHeight="1">
      <c r="B300" s="105" t="n">
        <v>289</v>
      </c>
      <c r="C300" s="105" t="inlineStr">
        <is>
          <t>Produto</t>
        </is>
      </c>
      <c r="D300" s="106" t="inlineStr">
        <is>
          <t>Bloco para yoga premium vermelho</t>
        </is>
      </c>
      <c r="E300" s="107" t="n">
        <v>21.94</v>
      </c>
      <c r="F300" s="108" t="n">
        <v>50</v>
      </c>
      <c r="G300" s="107">
        <f>ROUND(E300*(1+IF(ABS(F300)&lt;=1,F300,F300/100)),2)</f>
        <v/>
      </c>
      <c r="H300" s="105" t="n">
        <v>15</v>
      </c>
      <c r="I300" s="105" t="n">
        <v>5</v>
      </c>
      <c r="J300" s="105">
        <f>IF(OR(UPPER(C300)="SERVIÇO",UPPER(C300)="SERVICO"),"SERVIÇO",IF(H300&lt;=0,"ZERADO",IF(H300&lt;=I300,"ESTOQUE BAIXO","NORMAL")))</f>
        <v/>
      </c>
      <c r="K300" s="107">
        <f>IF(OR(UPPER(C300)="SERVIÇO",UPPER(C300)="SERVICO"),0,N(H300)*N(E300))</f>
        <v/>
      </c>
      <c r="L300" s="107">
        <f>IF(OR(UPPER(C300)="SERVIÇO",UPPER(C300)="SERVICO"),0,N(H300)*N(G300))</f>
        <v/>
      </c>
      <c r="M300" s="107">
        <f>IF(OR(UPPER(C300)="SERVIÇO",UPPER(C300)="SERVICO"),0,L300-K300)</f>
        <v/>
      </c>
    </row>
    <row r="301" ht="15" customHeight="1">
      <c r="B301" s="105" t="n">
        <v>290</v>
      </c>
      <c r="C301" s="105" t="inlineStr">
        <is>
          <t>Produto</t>
        </is>
      </c>
      <c r="D301" s="106" t="inlineStr">
        <is>
          <t>Luva de boxe modelo avançado cinza tam. 38</t>
        </is>
      </c>
      <c r="E301" s="107" t="n">
        <v>75.20999999999999</v>
      </c>
      <c r="F301" s="108" t="n">
        <v>50</v>
      </c>
      <c r="G301" s="107">
        <f>ROUND(E301*(1+IF(ABS(F301)&lt;=1,F301,F301/100)),2)</f>
        <v/>
      </c>
      <c r="H301" s="105" t="n">
        <v>15</v>
      </c>
      <c r="I301" s="105" t="n">
        <v>5</v>
      </c>
      <c r="J301" s="105">
        <f>IF(OR(UPPER(C301)="SERVIÇO",UPPER(C301)="SERVICO"),"SERVIÇO",IF(H301&lt;=0,"ZERADO",IF(H301&lt;=I301,"ESTOQUE BAIXO","NORMAL")))</f>
        <v/>
      </c>
      <c r="K301" s="107">
        <f>IF(OR(UPPER(C301)="SERVIÇO",UPPER(C301)="SERVICO"),0,N(H301)*N(E301))</f>
        <v/>
      </c>
      <c r="L301" s="107">
        <f>IF(OR(UPPER(C301)="SERVIÇO",UPPER(C301)="SERVICO"),0,N(H301)*N(G301))</f>
        <v/>
      </c>
      <c r="M301" s="107">
        <f>IF(OR(UPPER(C301)="SERVIÇO",UPPER(C301)="SERVICO"),0,L301-K301)</f>
        <v/>
      </c>
    </row>
    <row r="302" ht="15" customHeight="1">
      <c r="B302" s="105" t="n">
        <v>291</v>
      </c>
      <c r="C302" s="105" t="inlineStr">
        <is>
          <t>Produto</t>
        </is>
      </c>
      <c r="D302" s="106" t="inlineStr">
        <is>
          <t>Patins iniciante laranja</t>
        </is>
      </c>
      <c r="E302" s="107" t="n">
        <v>544.64</v>
      </c>
      <c r="F302" s="108" t="n">
        <v>50</v>
      </c>
      <c r="G302" s="107">
        <f>ROUND(E302*(1+IF(ABS(F302)&lt;=1,F302,F302/100)),2)</f>
        <v/>
      </c>
      <c r="H302" s="105" t="n">
        <v>15</v>
      </c>
      <c r="I302" s="105" t="n">
        <v>5</v>
      </c>
      <c r="J302" s="105">
        <f>IF(OR(UPPER(C302)="SERVIÇO",UPPER(C302)="SERVICO"),"SERVIÇO",IF(H302&lt;=0,"ZERADO",IF(H302&lt;=I302,"ESTOQUE BAIXO","NORMAL")))</f>
        <v/>
      </c>
      <c r="K302" s="107">
        <f>IF(OR(UPPER(C302)="SERVIÇO",UPPER(C302)="SERVICO"),0,N(H302)*N(E302))</f>
        <v/>
      </c>
      <c r="L302" s="107">
        <f>IF(OR(UPPER(C302)="SERVIÇO",UPPER(C302)="SERVICO"),0,N(H302)*N(G302))</f>
        <v/>
      </c>
      <c r="M302" s="107">
        <f>IF(OR(UPPER(C302)="SERVIÇO",UPPER(C302)="SERVICO"),0,L302-K302)</f>
        <v/>
      </c>
    </row>
    <row r="303" ht="15" customHeight="1">
      <c r="B303" s="105" t="n">
        <v>292</v>
      </c>
      <c r="C303" s="105" t="inlineStr">
        <is>
          <t>Produto</t>
        </is>
      </c>
      <c r="D303" s="106" t="inlineStr">
        <is>
          <t>Kettlebell resistente azul</t>
        </is>
      </c>
      <c r="E303" s="107" t="n">
        <v>165.61</v>
      </c>
      <c r="F303" s="108" t="n">
        <v>50</v>
      </c>
      <c r="G303" s="107">
        <f>ROUND(E303*(1+IF(ABS(F303)&lt;=1,F303,F303/100)),2)</f>
        <v/>
      </c>
      <c r="H303" s="105" t="n">
        <v>15</v>
      </c>
      <c r="I303" s="105" t="n">
        <v>5</v>
      </c>
      <c r="J303" s="105">
        <f>IF(OR(UPPER(C303)="SERVIÇO",UPPER(C303)="SERVICO"),"SERVIÇO",IF(H303&lt;=0,"ZERADO",IF(H303&lt;=I303,"ESTOQUE BAIXO","NORMAL")))</f>
        <v/>
      </c>
      <c r="K303" s="107">
        <f>IF(OR(UPPER(C303)="SERVIÇO",UPPER(C303)="SERVICO"),0,N(H303)*N(E303))</f>
        <v/>
      </c>
      <c r="L303" s="107">
        <f>IF(OR(UPPER(C303)="SERVIÇO",UPPER(C303)="SERVICO"),0,N(H303)*N(G303))</f>
        <v/>
      </c>
      <c r="M303" s="107">
        <f>IF(OR(UPPER(C303)="SERVIÇO",UPPER(C303)="SERVICO"),0,L303-K303)</f>
        <v/>
      </c>
    </row>
    <row r="304" ht="15" customHeight="1">
      <c r="B304" s="105" t="n">
        <v>293</v>
      </c>
      <c r="C304" s="105" t="inlineStr">
        <is>
          <t>Produto</t>
        </is>
      </c>
      <c r="D304" s="106" t="inlineStr">
        <is>
          <t>Bicicleta ergométrica modelo avançado preto</t>
        </is>
      </c>
      <c r="E304" s="107" t="n">
        <v>1317.2</v>
      </c>
      <c r="F304" s="108" t="n">
        <v>50</v>
      </c>
      <c r="G304" s="107">
        <f>ROUND(E304*(1+IF(ABS(F304)&lt;=1,F304,F304/100)),2)</f>
        <v/>
      </c>
      <c r="H304" s="105" t="n">
        <v>15</v>
      </c>
      <c r="I304" s="105" t="n">
        <v>5</v>
      </c>
      <c r="J304" s="105">
        <f>IF(OR(UPPER(C304)="SERVIÇO",UPPER(C304)="SERVICO"),"SERVIÇO",IF(H304&lt;=0,"ZERADO",IF(H304&lt;=I304,"ESTOQUE BAIXO","NORMAL")))</f>
        <v/>
      </c>
      <c r="K304" s="107">
        <f>IF(OR(UPPER(C304)="SERVIÇO",UPPER(C304)="SERVICO"),0,N(H304)*N(E304))</f>
        <v/>
      </c>
      <c r="L304" s="107">
        <f>IF(OR(UPPER(C304)="SERVIÇO",UPPER(C304)="SERVICO"),0,N(H304)*N(G304))</f>
        <v/>
      </c>
      <c r="M304" s="107">
        <f>IF(OR(UPPER(C304)="SERVIÇO",UPPER(C304)="SERVICO"),0,L304-K304)</f>
        <v/>
      </c>
    </row>
    <row r="305" ht="15" customHeight="1">
      <c r="B305" s="105" t="n">
        <v>294</v>
      </c>
      <c r="C305" s="105" t="inlineStr">
        <is>
          <t>Produto</t>
        </is>
      </c>
      <c r="D305" s="106" t="inlineStr">
        <is>
          <t>Regata esportiva modelo básico rosa tam. GG</t>
        </is>
      </c>
      <c r="E305" s="107" t="n">
        <v>29.21</v>
      </c>
      <c r="F305" s="108" t="n">
        <v>50</v>
      </c>
      <c r="G305" s="107">
        <f>ROUND(E305*(1+IF(ABS(F305)&lt;=1,F305,F305/100)),2)</f>
        <v/>
      </c>
      <c r="H305" s="105" t="n">
        <v>15</v>
      </c>
      <c r="I305" s="105" t="n">
        <v>5</v>
      </c>
      <c r="J305" s="105">
        <f>IF(OR(UPPER(C305)="SERVIÇO",UPPER(C305)="SERVICO"),"SERVIÇO",IF(H305&lt;=0,"ZERADO",IF(H305&lt;=I305,"ESTOQUE BAIXO","NORMAL")))</f>
        <v/>
      </c>
      <c r="K305" s="107">
        <f>IF(OR(UPPER(C305)="SERVIÇO",UPPER(C305)="SERVICO"),0,N(H305)*N(E305))</f>
        <v/>
      </c>
      <c r="L305" s="107">
        <f>IF(OR(UPPER(C305)="SERVIÇO",UPPER(C305)="SERVICO"),0,N(H305)*N(G305))</f>
        <v/>
      </c>
      <c r="M305" s="107">
        <f>IF(OR(UPPER(C305)="SERVIÇO",UPPER(C305)="SERVICO"),0,L305-K305)</f>
        <v/>
      </c>
    </row>
    <row r="306" ht="15" customHeight="1">
      <c r="B306" s="105" t="n">
        <v>295</v>
      </c>
      <c r="C306" s="105" t="inlineStr">
        <is>
          <t>Produto</t>
        </is>
      </c>
      <c r="D306" s="106" t="inlineStr">
        <is>
          <t>Chuteira de campo profissional cinza tam. M</t>
        </is>
      </c>
      <c r="E306" s="107" t="n">
        <v>309.54</v>
      </c>
      <c r="F306" s="108" t="n">
        <v>50</v>
      </c>
      <c r="G306" s="107">
        <f>ROUND(E306*(1+IF(ABS(F306)&lt;=1,F306,F306/100)),2)</f>
        <v/>
      </c>
      <c r="H306" s="105" t="n">
        <v>15</v>
      </c>
      <c r="I306" s="105" t="n">
        <v>5</v>
      </c>
      <c r="J306" s="105">
        <f>IF(OR(UPPER(C306)="SERVIÇO",UPPER(C306)="SERVICO"),"SERVIÇO",IF(H306&lt;=0,"ZERADO",IF(H306&lt;=I306,"ESTOQUE BAIXO","NORMAL")))</f>
        <v/>
      </c>
      <c r="K306" s="107">
        <f>IF(OR(UPPER(C306)="SERVIÇO",UPPER(C306)="SERVICO"),0,N(H306)*N(E306))</f>
        <v/>
      </c>
      <c r="L306" s="107">
        <f>IF(OR(UPPER(C306)="SERVIÇO",UPPER(C306)="SERVICO"),0,N(H306)*N(G306))</f>
        <v/>
      </c>
      <c r="M306" s="107">
        <f>IF(OR(UPPER(C306)="SERVIÇO",UPPER(C306)="SERVICO"),0,L306-K306)</f>
        <v/>
      </c>
    </row>
    <row r="307" ht="15" customHeight="1">
      <c r="B307" s="105" t="n">
        <v>296</v>
      </c>
      <c r="C307" s="105" t="inlineStr">
        <is>
          <t>Produto</t>
        </is>
      </c>
      <c r="D307" s="106" t="inlineStr">
        <is>
          <t>Caneleira de futebol juvenil branco</t>
        </is>
      </c>
      <c r="E307" s="107" t="n">
        <v>80.3</v>
      </c>
      <c r="F307" s="108" t="n">
        <v>50</v>
      </c>
      <c r="G307" s="107">
        <f>ROUND(E307*(1+IF(ABS(F307)&lt;=1,F307,F307/100)),2)</f>
        <v/>
      </c>
      <c r="H307" s="105" t="n">
        <v>15</v>
      </c>
      <c r="I307" s="105" t="n">
        <v>5</v>
      </c>
      <c r="J307" s="105">
        <f>IF(OR(UPPER(C307)="SERVIÇO",UPPER(C307)="SERVICO"),"SERVIÇO",IF(H307&lt;=0,"ZERADO",IF(H307&lt;=I307,"ESTOQUE BAIXO","NORMAL")))</f>
        <v/>
      </c>
      <c r="K307" s="107">
        <f>IF(OR(UPPER(C307)="SERVIÇO",UPPER(C307)="SERVICO"),0,N(H307)*N(E307))</f>
        <v/>
      </c>
      <c r="L307" s="107">
        <f>IF(OR(UPPER(C307)="SERVIÇO",UPPER(C307)="SERVICO"),0,N(H307)*N(G307))</f>
        <v/>
      </c>
      <c r="M307" s="107">
        <f>IF(OR(UPPER(C307)="SERVIÇO",UPPER(C307)="SERVICO"),0,L307-K307)</f>
        <v/>
      </c>
    </row>
    <row r="308" ht="15" customHeight="1">
      <c r="B308" s="105" t="n">
        <v>297</v>
      </c>
      <c r="C308" s="105" t="inlineStr">
        <is>
          <t>Produto</t>
        </is>
      </c>
      <c r="D308" s="106" t="inlineStr">
        <is>
          <t>Kimono de judô versão 2026 laranja tam. G</t>
        </is>
      </c>
      <c r="E308" s="107" t="n">
        <v>108.61</v>
      </c>
      <c r="F308" s="108" t="n">
        <v>50</v>
      </c>
      <c r="G308" s="107">
        <f>ROUND(E308*(1+IF(ABS(F308)&lt;=1,F308,F308/100)),2)</f>
        <v/>
      </c>
      <c r="H308" s="105" t="n">
        <v>15</v>
      </c>
      <c r="I308" s="105" t="n">
        <v>5</v>
      </c>
      <c r="J308" s="105">
        <f>IF(OR(UPPER(C308)="SERVIÇO",UPPER(C308)="SERVICO"),"SERVIÇO",IF(H308&lt;=0,"ZERADO",IF(H308&lt;=I308,"ESTOQUE BAIXO","NORMAL")))</f>
        <v/>
      </c>
      <c r="K308" s="107">
        <f>IF(OR(UPPER(C308)="SERVIÇO",UPPER(C308)="SERVICO"),0,N(H308)*N(E308))</f>
        <v/>
      </c>
      <c r="L308" s="107">
        <f>IF(OR(UPPER(C308)="SERVIÇO",UPPER(C308)="SERVICO"),0,N(H308)*N(G308))</f>
        <v/>
      </c>
      <c r="M308" s="107">
        <f>IF(OR(UPPER(C308)="SERVIÇO",UPPER(C308)="SERVICO"),0,L308-K308)</f>
        <v/>
      </c>
    </row>
    <row r="309" ht="15" customHeight="1">
      <c r="B309" s="105" t="n">
        <v>298</v>
      </c>
      <c r="C309" s="105" t="inlineStr">
        <is>
          <t>Produto</t>
        </is>
      </c>
      <c r="D309" s="106" t="inlineStr">
        <is>
          <t>Skate leve rosa</t>
        </is>
      </c>
      <c r="E309" s="107" t="n">
        <v>112.22</v>
      </c>
      <c r="F309" s="108" t="n">
        <v>50</v>
      </c>
      <c r="G309" s="107">
        <f>ROUND(E309*(1+IF(ABS(F309)&lt;=1,F309,F309/100)),2)</f>
        <v/>
      </c>
      <c r="H309" s="105" t="n">
        <v>15</v>
      </c>
      <c r="I309" s="105" t="n">
        <v>5</v>
      </c>
      <c r="J309" s="105">
        <f>IF(OR(UPPER(C309)="SERVIÇO",UPPER(C309)="SERVICO"),"SERVIÇO",IF(H309&lt;=0,"ZERADO",IF(H309&lt;=I309,"ESTOQUE BAIXO","NORMAL")))</f>
        <v/>
      </c>
      <c r="K309" s="107">
        <f>IF(OR(UPPER(C309)="SERVIÇO",UPPER(C309)="SERVICO"),0,N(H309)*N(E309))</f>
        <v/>
      </c>
      <c r="L309" s="107">
        <f>IF(OR(UPPER(C309)="SERVIÇO",UPPER(C309)="SERVICO"),0,N(H309)*N(G309))</f>
        <v/>
      </c>
      <c r="M309" s="107">
        <f>IF(OR(UPPER(C309)="SERVIÇO",UPPER(C309)="SERVICO"),0,L309-K309)</f>
        <v/>
      </c>
    </row>
    <row r="310" ht="15" customHeight="1">
      <c r="B310" s="105" t="n">
        <v>299</v>
      </c>
      <c r="C310" s="105" t="inlineStr">
        <is>
          <t>Produto</t>
        </is>
      </c>
      <c r="D310" s="106" t="inlineStr">
        <is>
          <t>Tapete de yoga com ajuste cinza</t>
        </is>
      </c>
      <c r="E310" s="107" t="n">
        <v>141.31</v>
      </c>
      <c r="F310" s="108" t="n">
        <v>50</v>
      </c>
      <c r="G310" s="107">
        <f>ROUND(E310*(1+IF(ABS(F310)&lt;=1,F310,F310/100)),2)</f>
        <v/>
      </c>
      <c r="H310" s="105" t="n">
        <v>15</v>
      </c>
      <c r="I310" s="105" t="n">
        <v>5</v>
      </c>
      <c r="J310" s="105">
        <f>IF(OR(UPPER(C310)="SERVIÇO",UPPER(C310)="SERVICO"),"SERVIÇO",IF(H310&lt;=0,"ZERADO",IF(H310&lt;=I310,"ESTOQUE BAIXO","NORMAL")))</f>
        <v/>
      </c>
      <c r="K310" s="107">
        <f>IF(OR(UPPER(C310)="SERVIÇO",UPPER(C310)="SERVICO"),0,N(H310)*N(E310))</f>
        <v/>
      </c>
      <c r="L310" s="107">
        <f>IF(OR(UPPER(C310)="SERVIÇO",UPPER(C310)="SERVICO"),0,N(H310)*N(G310))</f>
        <v/>
      </c>
      <c r="M310" s="107">
        <f>IF(OR(UPPER(C310)="SERVIÇO",UPPER(C310)="SERVICO"),0,L310-K310)</f>
        <v/>
      </c>
    </row>
    <row r="311" ht="15" customHeight="1">
      <c r="B311" s="105" t="n">
        <v>300</v>
      </c>
      <c r="C311" s="105" t="inlineStr">
        <is>
          <t>Produto</t>
        </is>
      </c>
      <c r="D311" s="106" t="inlineStr">
        <is>
          <t>Bicicleta urbana ventilado verde</t>
        </is>
      </c>
      <c r="E311" s="107" t="n">
        <v>1631.16</v>
      </c>
      <c r="F311" s="108" t="n">
        <v>50</v>
      </c>
      <c r="G311" s="107">
        <f>ROUND(E311*(1+IF(ABS(F311)&lt;=1,F311,F311/100)),2)</f>
        <v/>
      </c>
      <c r="H311" s="105" t="n">
        <v>15</v>
      </c>
      <c r="I311" s="105" t="n">
        <v>5</v>
      </c>
      <c r="J311" s="105">
        <f>IF(OR(UPPER(C311)="SERVIÇO",UPPER(C311)="SERVICO"),"SERVIÇO",IF(H311&lt;=0,"ZERADO",IF(H311&lt;=I311,"ESTOQUE BAIXO","NORMAL")))</f>
        <v/>
      </c>
      <c r="K311" s="107">
        <f>IF(OR(UPPER(C311)="SERVIÇO",UPPER(C311)="SERVICO"),0,N(H311)*N(E311))</f>
        <v/>
      </c>
      <c r="L311" s="107">
        <f>IF(OR(UPPER(C311)="SERVIÇO",UPPER(C311)="SERVICO"),0,N(H311)*N(G311))</f>
        <v/>
      </c>
      <c r="M311" s="107">
        <f>IF(OR(UPPER(C311)="SERVIÇO",UPPER(C311)="SERVICO"),0,L311-K311)</f>
        <v/>
      </c>
    </row>
    <row r="312" ht="15" customHeight="1">
      <c r="B312" s="105" t="n">
        <v>301</v>
      </c>
      <c r="C312" s="105" t="inlineStr">
        <is>
          <t>Produto</t>
        </is>
      </c>
      <c r="D312" s="106" t="inlineStr">
        <is>
          <t>Luva de ciclismo modelo avançado rosa tam. 40</t>
        </is>
      </c>
      <c r="E312" s="107" t="n">
        <v>96.42</v>
      </c>
      <c r="F312" s="108" t="n">
        <v>50</v>
      </c>
      <c r="G312" s="107">
        <f>ROUND(E312*(1+IF(ABS(F312)&lt;=1,F312,F312/100)),2)</f>
        <v/>
      </c>
      <c r="H312" s="105" t="n">
        <v>15</v>
      </c>
      <c r="I312" s="105" t="n">
        <v>5</v>
      </c>
      <c r="J312" s="105">
        <f>IF(OR(UPPER(C312)="SERVIÇO",UPPER(C312)="SERVICO"),"SERVIÇO",IF(H312&lt;=0,"ZERADO",IF(H312&lt;=I312,"ESTOQUE BAIXO","NORMAL")))</f>
        <v/>
      </c>
      <c r="K312" s="107">
        <f>IF(OR(UPPER(C312)="SERVIÇO",UPPER(C312)="SERVICO"),0,N(H312)*N(E312))</f>
        <v/>
      </c>
      <c r="L312" s="107">
        <f>IF(OR(UPPER(C312)="SERVIÇO",UPPER(C312)="SERVICO"),0,N(H312)*N(G312))</f>
        <v/>
      </c>
      <c r="M312" s="107">
        <f>IF(OR(UPPER(C312)="SERVIÇO",UPPER(C312)="SERVICO"),0,L312-K312)</f>
        <v/>
      </c>
    </row>
    <row r="313" ht="15" customHeight="1">
      <c r="B313" s="105" t="n">
        <v>302</v>
      </c>
      <c r="C313" s="105" t="inlineStr">
        <is>
          <t>Produto</t>
        </is>
      </c>
      <c r="D313" s="106" t="inlineStr">
        <is>
          <t>Banco de musculação resistente laranja</t>
        </is>
      </c>
      <c r="E313" s="107" t="n">
        <v>1455.41</v>
      </c>
      <c r="F313" s="108" t="n">
        <v>50</v>
      </c>
      <c r="G313" s="107">
        <f>ROUND(E313*(1+IF(ABS(F313)&lt;=1,F313,F313/100)),2)</f>
        <v/>
      </c>
      <c r="H313" s="105" t="n">
        <v>15</v>
      </c>
      <c r="I313" s="105" t="n">
        <v>5</v>
      </c>
      <c r="J313" s="105">
        <f>IF(OR(UPPER(C313)="SERVIÇO",UPPER(C313)="SERVICO"),"SERVIÇO",IF(H313&lt;=0,"ZERADO",IF(H313&lt;=I313,"ESTOQUE BAIXO","NORMAL")))</f>
        <v/>
      </c>
      <c r="K313" s="107">
        <f>IF(OR(UPPER(C313)="SERVIÇO",UPPER(C313)="SERVICO"),0,N(H313)*N(E313))</f>
        <v/>
      </c>
      <c r="L313" s="107">
        <f>IF(OR(UPPER(C313)="SERVIÇO",UPPER(C313)="SERVICO"),0,N(H313)*N(G313))</f>
        <v/>
      </c>
      <c r="M313" s="107">
        <f>IF(OR(UPPER(C313)="SERVIÇO",UPPER(C313)="SERVICO"),0,L313-K313)</f>
        <v/>
      </c>
    </row>
    <row r="314" ht="15" customHeight="1">
      <c r="B314" s="105" t="n">
        <v>303</v>
      </c>
      <c r="C314" s="105" t="inlineStr">
        <is>
          <t>Produto</t>
        </is>
      </c>
      <c r="D314" s="106" t="inlineStr">
        <is>
          <t>Short esportivo recreativo cinza tam. P</t>
        </is>
      </c>
      <c r="E314" s="107" t="n">
        <v>75.65000000000001</v>
      </c>
      <c r="F314" s="108" t="n">
        <v>50</v>
      </c>
      <c r="G314" s="107">
        <f>ROUND(E314*(1+IF(ABS(F314)&lt;=1,F314,F314/100)),2)</f>
        <v/>
      </c>
      <c r="H314" s="105" t="n">
        <v>15</v>
      </c>
      <c r="I314" s="105" t="n">
        <v>5</v>
      </c>
      <c r="J314" s="105">
        <f>IF(OR(UPPER(C314)="SERVIÇO",UPPER(C314)="SERVICO"),"SERVIÇO",IF(H314&lt;=0,"ZERADO",IF(H314&lt;=I314,"ESTOQUE BAIXO","NORMAL")))</f>
        <v/>
      </c>
      <c r="K314" s="107">
        <f>IF(OR(UPPER(C314)="SERVIÇO",UPPER(C314)="SERVICO"),0,N(H314)*N(E314))</f>
        <v/>
      </c>
      <c r="L314" s="107">
        <f>IF(OR(UPPER(C314)="SERVIÇO",UPPER(C314)="SERVICO"),0,N(H314)*N(G314))</f>
        <v/>
      </c>
      <c r="M314" s="107">
        <f>IF(OR(UPPER(C314)="SERVIÇO",UPPER(C314)="SERVICO"),0,L314-K314)</f>
        <v/>
      </c>
    </row>
    <row r="315" ht="15" customHeight="1">
      <c r="B315" s="105" t="n">
        <v>304</v>
      </c>
      <c r="C315" s="105" t="inlineStr">
        <is>
          <t>Produto</t>
        </is>
      </c>
      <c r="D315" s="106" t="inlineStr">
        <is>
          <t>Tapete de yoga treino azul</t>
        </is>
      </c>
      <c r="E315" s="107" t="n">
        <v>68.41</v>
      </c>
      <c r="F315" s="108" t="n">
        <v>50</v>
      </c>
      <c r="G315" s="107">
        <f>ROUND(E315*(1+IF(ABS(F315)&lt;=1,F315,F315/100)),2)</f>
        <v/>
      </c>
      <c r="H315" s="105" t="n">
        <v>15</v>
      </c>
      <c r="I315" s="105" t="n">
        <v>5</v>
      </c>
      <c r="J315" s="105">
        <f>IF(OR(UPPER(C315)="SERVIÇO",UPPER(C315)="SERVICO"),"SERVIÇO",IF(H315&lt;=0,"ZERADO",IF(H315&lt;=I315,"ESTOQUE BAIXO","NORMAL")))</f>
        <v/>
      </c>
      <c r="K315" s="107">
        <f>IF(OR(UPPER(C315)="SERVIÇO",UPPER(C315)="SERVICO"),0,N(H315)*N(E315))</f>
        <v/>
      </c>
      <c r="L315" s="107">
        <f>IF(OR(UPPER(C315)="SERVIÇO",UPPER(C315)="SERVICO"),0,N(H315)*N(G315))</f>
        <v/>
      </c>
      <c r="M315" s="107">
        <f>IF(OR(UPPER(C315)="SERVIÇO",UPPER(C315)="SERVICO"),0,L315-K315)</f>
        <v/>
      </c>
    </row>
    <row r="316" ht="15" customHeight="1">
      <c r="B316" s="105" t="n">
        <v>305</v>
      </c>
      <c r="C316" s="105" t="inlineStr">
        <is>
          <t>Produto</t>
        </is>
      </c>
      <c r="D316" s="106" t="inlineStr">
        <is>
          <t>Step de ginástica premium rosa</t>
        </is>
      </c>
      <c r="E316" s="107" t="n">
        <v>277.21</v>
      </c>
      <c r="F316" s="108" t="n">
        <v>50</v>
      </c>
      <c r="G316" s="107">
        <f>ROUND(E316*(1+IF(ABS(F316)&lt;=1,F316,F316/100)),2)</f>
        <v/>
      </c>
      <c r="H316" s="105" t="n">
        <v>15</v>
      </c>
      <c r="I316" s="105" t="n">
        <v>5</v>
      </c>
      <c r="J316" s="105">
        <f>IF(OR(UPPER(C316)="SERVIÇO",UPPER(C316)="SERVICO"),"SERVIÇO",IF(H316&lt;=0,"ZERADO",IF(H316&lt;=I316,"ESTOQUE BAIXO","NORMAL")))</f>
        <v/>
      </c>
      <c r="K316" s="107">
        <f>IF(OR(UPPER(C316)="SERVIÇO",UPPER(C316)="SERVICO"),0,N(H316)*N(E316))</f>
        <v/>
      </c>
      <c r="L316" s="107">
        <f>IF(OR(UPPER(C316)="SERVIÇO",UPPER(C316)="SERVICO"),0,N(H316)*N(G316))</f>
        <v/>
      </c>
      <c r="M316" s="107">
        <f>IF(OR(UPPER(C316)="SERVIÇO",UPPER(C316)="SERVICO"),0,L316-K316)</f>
        <v/>
      </c>
    </row>
    <row r="317" ht="15" customHeight="1">
      <c r="B317" s="105" t="n">
        <v>306</v>
      </c>
      <c r="C317" s="105" t="inlineStr">
        <is>
          <t>Produto</t>
        </is>
      </c>
      <c r="D317" s="106" t="inlineStr">
        <is>
          <t>Chuteira society profissional verde tam. 40</t>
        </is>
      </c>
      <c r="E317" s="107" t="n">
        <v>378.41</v>
      </c>
      <c r="F317" s="108" t="n">
        <v>50</v>
      </c>
      <c r="G317" s="107">
        <f>ROUND(E317*(1+IF(ABS(F317)&lt;=1,F317,F317/100)),2)</f>
        <v/>
      </c>
      <c r="H317" s="105" t="n">
        <v>15</v>
      </c>
      <c r="I317" s="105" t="n">
        <v>5</v>
      </c>
      <c r="J317" s="105">
        <f>IF(OR(UPPER(C317)="SERVIÇO",UPPER(C317)="SERVICO"),"SERVIÇO",IF(H317&lt;=0,"ZERADO",IF(H317&lt;=I317,"ESTOQUE BAIXO","NORMAL")))</f>
        <v/>
      </c>
      <c r="K317" s="107">
        <f>IF(OR(UPPER(C317)="SERVIÇO",UPPER(C317)="SERVICO"),0,N(H317)*N(E317))</f>
        <v/>
      </c>
      <c r="L317" s="107">
        <f>IF(OR(UPPER(C317)="SERVIÇO",UPPER(C317)="SERVICO"),0,N(H317)*N(G317))</f>
        <v/>
      </c>
      <c r="M317" s="107">
        <f>IF(OR(UPPER(C317)="SERVIÇO",UPPER(C317)="SERVICO"),0,L317-K317)</f>
        <v/>
      </c>
    </row>
    <row r="318" ht="15" customHeight="1">
      <c r="B318" s="105" t="n">
        <v>307</v>
      </c>
      <c r="C318" s="105" t="inlineStr">
        <is>
          <t>Produto</t>
        </is>
      </c>
      <c r="D318" s="106" t="inlineStr">
        <is>
          <t>Bola de basquete juvenil laranja</t>
        </is>
      </c>
      <c r="E318" s="107" t="n">
        <v>93.17</v>
      </c>
      <c r="F318" s="108" t="n">
        <v>50</v>
      </c>
      <c r="G318" s="107">
        <f>ROUND(E318*(1+IF(ABS(F318)&lt;=1,F318,F318/100)),2)</f>
        <v/>
      </c>
      <c r="H318" s="105" t="n">
        <v>15</v>
      </c>
      <c r="I318" s="105" t="n">
        <v>5</v>
      </c>
      <c r="J318" s="105">
        <f>IF(OR(UPPER(C318)="SERVIÇO",UPPER(C318)="SERVICO"),"SERVIÇO",IF(H318&lt;=0,"ZERADO",IF(H318&lt;=I318,"ESTOQUE BAIXO","NORMAL")))</f>
        <v/>
      </c>
      <c r="K318" s="107">
        <f>IF(OR(UPPER(C318)="SERVIÇO",UPPER(C318)="SERVICO"),0,N(H318)*N(E318))</f>
        <v/>
      </c>
      <c r="L318" s="107">
        <f>IF(OR(UPPER(C318)="SERVIÇO",UPPER(C318)="SERVICO"),0,N(H318)*N(G318))</f>
        <v/>
      </c>
      <c r="M318" s="107">
        <f>IF(OR(UPPER(C318)="SERVIÇO",UPPER(C318)="SERVICO"),0,L318-K318)</f>
        <v/>
      </c>
    </row>
    <row r="319" ht="15" customHeight="1">
      <c r="B319" s="105" t="n">
        <v>308</v>
      </c>
      <c r="C319" s="105" t="inlineStr">
        <is>
          <t>Produto</t>
        </is>
      </c>
      <c r="D319" s="106" t="inlineStr">
        <is>
          <t>Meias esportivas profissional branco tam. GG</t>
        </is>
      </c>
      <c r="E319" s="107" t="n">
        <v>6.95</v>
      </c>
      <c r="F319" s="108" t="n">
        <v>50</v>
      </c>
      <c r="G319" s="107">
        <f>ROUND(E319*(1+IF(ABS(F319)&lt;=1,F319,F319/100)),2)</f>
        <v/>
      </c>
      <c r="H319" s="105" t="n">
        <v>15</v>
      </c>
      <c r="I319" s="105" t="n">
        <v>5</v>
      </c>
      <c r="J319" s="105">
        <f>IF(OR(UPPER(C319)="SERVIÇO",UPPER(C319)="SERVICO"),"SERVIÇO",IF(H319&lt;=0,"ZERADO",IF(H319&lt;=I319,"ESTOQUE BAIXO","NORMAL")))</f>
        <v/>
      </c>
      <c r="K319" s="107">
        <f>IF(OR(UPPER(C319)="SERVIÇO",UPPER(C319)="SERVICO"),0,N(H319)*N(E319))</f>
        <v/>
      </c>
      <c r="L319" s="107">
        <f>IF(OR(UPPER(C319)="SERVIÇO",UPPER(C319)="SERVICO"),0,N(H319)*N(G319))</f>
        <v/>
      </c>
      <c r="M319" s="107">
        <f>IF(OR(UPPER(C319)="SERVIÇO",UPPER(C319)="SERVICO"),0,L319-K319)</f>
        <v/>
      </c>
    </row>
    <row r="320" ht="15" customHeight="1">
      <c r="B320" s="105" t="n">
        <v>309</v>
      </c>
      <c r="C320" s="105" t="inlineStr">
        <is>
          <t>Produto</t>
        </is>
      </c>
      <c r="D320" s="106" t="inlineStr">
        <is>
          <t>Tênis de corrida recreativo vermelho tam. P</t>
        </is>
      </c>
      <c r="E320" s="107" t="n">
        <v>236.25</v>
      </c>
      <c r="F320" s="108" t="n">
        <v>50</v>
      </c>
      <c r="G320" s="107">
        <f>ROUND(E320*(1+IF(ABS(F320)&lt;=1,F320,F320/100)),2)</f>
        <v/>
      </c>
      <c r="H320" s="105" t="n">
        <v>15</v>
      </c>
      <c r="I320" s="105" t="n">
        <v>5</v>
      </c>
      <c r="J320" s="105">
        <f>IF(OR(UPPER(C320)="SERVIÇO",UPPER(C320)="SERVICO"),"SERVIÇO",IF(H320&lt;=0,"ZERADO",IF(H320&lt;=I320,"ESTOQUE BAIXO","NORMAL")))</f>
        <v/>
      </c>
      <c r="K320" s="107">
        <f>IF(OR(UPPER(C320)="SERVIÇO",UPPER(C320)="SERVICO"),0,N(H320)*N(E320))</f>
        <v/>
      </c>
      <c r="L320" s="107">
        <f>IF(OR(UPPER(C320)="SERVIÇO",UPPER(C320)="SERVICO"),0,N(H320)*N(G320))</f>
        <v/>
      </c>
      <c r="M320" s="107">
        <f>IF(OR(UPPER(C320)="SERVIÇO",UPPER(C320)="SERVICO"),0,L320-K320)</f>
        <v/>
      </c>
    </row>
    <row r="321" ht="15" customHeight="1">
      <c r="B321" s="105" t="n">
        <v>310</v>
      </c>
      <c r="C321" s="105" t="inlineStr">
        <is>
          <t>Produto</t>
        </is>
      </c>
      <c r="D321" s="106" t="inlineStr">
        <is>
          <t>Luva de ciclismo ergonômico rosa tam. 44</t>
        </is>
      </c>
      <c r="E321" s="107" t="n">
        <v>18.47</v>
      </c>
      <c r="F321" s="108" t="n">
        <v>50</v>
      </c>
      <c r="G321" s="107">
        <f>ROUND(E321*(1+IF(ABS(F321)&lt;=1,F321,F321/100)),2)</f>
        <v/>
      </c>
      <c r="H321" s="105" t="n">
        <v>15</v>
      </c>
      <c r="I321" s="105" t="n">
        <v>5</v>
      </c>
      <c r="J321" s="105">
        <f>IF(OR(UPPER(C321)="SERVIÇO",UPPER(C321)="SERVICO"),"SERVIÇO",IF(H321&lt;=0,"ZERADO",IF(H321&lt;=I321,"ESTOQUE BAIXO","NORMAL")))</f>
        <v/>
      </c>
      <c r="K321" s="107">
        <f>IF(OR(UPPER(C321)="SERVIÇO",UPPER(C321)="SERVICO"),0,N(H321)*N(E321))</f>
        <v/>
      </c>
      <c r="L321" s="107">
        <f>IF(OR(UPPER(C321)="SERVIÇO",UPPER(C321)="SERVICO"),0,N(H321)*N(G321))</f>
        <v/>
      </c>
      <c r="M321" s="107">
        <f>IF(OR(UPPER(C321)="SERVIÇO",UPPER(C321)="SERVICO"),0,L321-K321)</f>
        <v/>
      </c>
    </row>
    <row r="322" ht="15" customHeight="1">
      <c r="B322" s="105" t="n">
        <v>311</v>
      </c>
      <c r="C322" s="105" t="inlineStr">
        <is>
          <t>Produto</t>
        </is>
      </c>
      <c r="D322" s="106" t="inlineStr">
        <is>
          <t>Raquete de badminton premium verde</t>
        </is>
      </c>
      <c r="E322" s="107" t="n">
        <v>205.28</v>
      </c>
      <c r="F322" s="108" t="n">
        <v>50</v>
      </c>
      <c r="G322" s="107">
        <f>ROUND(E322*(1+IF(ABS(F322)&lt;=1,F322,F322/100)),2)</f>
        <v/>
      </c>
      <c r="H322" s="105" t="n">
        <v>15</v>
      </c>
      <c r="I322" s="105" t="n">
        <v>5</v>
      </c>
      <c r="J322" s="105">
        <f>IF(OR(UPPER(C322)="SERVIÇO",UPPER(C322)="SERVICO"),"SERVIÇO",IF(H322&lt;=0,"ZERADO",IF(H322&lt;=I322,"ESTOQUE BAIXO","NORMAL")))</f>
        <v/>
      </c>
      <c r="K322" s="107">
        <f>IF(OR(UPPER(C322)="SERVIÇO",UPPER(C322)="SERVICO"),0,N(H322)*N(E322))</f>
        <v/>
      </c>
      <c r="L322" s="107">
        <f>IF(OR(UPPER(C322)="SERVIÇO",UPPER(C322)="SERVICO"),0,N(H322)*N(G322))</f>
        <v/>
      </c>
      <c r="M322" s="107">
        <f>IF(OR(UPPER(C322)="SERVIÇO",UPPER(C322)="SERVICO"),0,L322-K322)</f>
        <v/>
      </c>
    </row>
    <row r="323" ht="15" customHeight="1">
      <c r="B323" s="105" t="n">
        <v>312</v>
      </c>
      <c r="C323" s="105" t="inlineStr">
        <is>
          <t>Produto</t>
        </is>
      </c>
      <c r="D323" s="106" t="inlineStr">
        <is>
          <t>Luva de goleiro resistente laranja tam. M</t>
        </is>
      </c>
      <c r="E323" s="107" t="n">
        <v>191.59</v>
      </c>
      <c r="F323" s="108" t="n">
        <v>50</v>
      </c>
      <c r="G323" s="107">
        <f>ROUND(E323*(1+IF(ABS(F323)&lt;=1,F323,F323/100)),2)</f>
        <v/>
      </c>
      <c r="H323" s="105" t="n">
        <v>15</v>
      </c>
      <c r="I323" s="105" t="n">
        <v>5</v>
      </c>
      <c r="J323" s="105">
        <f>IF(OR(UPPER(C323)="SERVIÇO",UPPER(C323)="SERVICO"),"SERVIÇO",IF(H323&lt;=0,"ZERADO",IF(H323&lt;=I323,"ESTOQUE BAIXO","NORMAL")))</f>
        <v/>
      </c>
      <c r="K323" s="107">
        <f>IF(OR(UPPER(C323)="SERVIÇO",UPPER(C323)="SERVICO"),0,N(H323)*N(E323))</f>
        <v/>
      </c>
      <c r="L323" s="107">
        <f>IF(OR(UPPER(C323)="SERVIÇO",UPPER(C323)="SERVICO"),0,N(H323)*N(G323))</f>
        <v/>
      </c>
      <c r="M323" s="107">
        <f>IF(OR(UPPER(C323)="SERVIÇO",UPPER(C323)="SERVICO"),0,L323-K323)</f>
        <v/>
      </c>
    </row>
    <row r="324" ht="15" customHeight="1">
      <c r="B324" s="105" t="n">
        <v>313</v>
      </c>
      <c r="C324" s="105" t="inlineStr">
        <is>
          <t>Produto</t>
        </is>
      </c>
      <c r="D324" s="106" t="inlineStr">
        <is>
          <t>Meias esportivas treino preto tam. GG</t>
        </is>
      </c>
      <c r="E324" s="107" t="n">
        <v>21.05</v>
      </c>
      <c r="F324" s="108" t="n">
        <v>50</v>
      </c>
      <c r="G324" s="107">
        <f>ROUND(E324*(1+IF(ABS(F324)&lt;=1,F324,F324/100)),2)</f>
        <v/>
      </c>
      <c r="H324" s="105" t="n">
        <v>15</v>
      </c>
      <c r="I324" s="105" t="n">
        <v>5</v>
      </c>
      <c r="J324" s="105">
        <f>IF(OR(UPPER(C324)="SERVIÇO",UPPER(C324)="SERVICO"),"SERVIÇO",IF(H324&lt;=0,"ZERADO",IF(H324&lt;=I324,"ESTOQUE BAIXO","NORMAL")))</f>
        <v/>
      </c>
      <c r="K324" s="107">
        <f>IF(OR(UPPER(C324)="SERVIÇO",UPPER(C324)="SERVICO"),0,N(H324)*N(E324))</f>
        <v/>
      </c>
      <c r="L324" s="107">
        <f>IF(OR(UPPER(C324)="SERVIÇO",UPPER(C324)="SERVICO"),0,N(H324)*N(G324))</f>
        <v/>
      </c>
      <c r="M324" s="107">
        <f>IF(OR(UPPER(C324)="SERVIÇO",UPPER(C324)="SERVICO"),0,L324-K324)</f>
        <v/>
      </c>
    </row>
    <row r="325" ht="15" customHeight="1">
      <c r="B325" s="105" t="n">
        <v>314</v>
      </c>
      <c r="C325" s="105" t="inlineStr">
        <is>
          <t>Produto</t>
        </is>
      </c>
      <c r="D325" s="106" t="inlineStr">
        <is>
          <t>Kimono de judô profissional azul tam. 40</t>
        </is>
      </c>
      <c r="E325" s="107" t="n">
        <v>238.96</v>
      </c>
      <c r="F325" s="108" t="n">
        <v>50</v>
      </c>
      <c r="G325" s="107">
        <f>ROUND(E325*(1+IF(ABS(F325)&lt;=1,F325,F325/100)),2)</f>
        <v/>
      </c>
      <c r="H325" s="105" t="n">
        <v>15</v>
      </c>
      <c r="I325" s="105" t="n">
        <v>5</v>
      </c>
      <c r="J325" s="105">
        <f>IF(OR(UPPER(C325)="SERVIÇO",UPPER(C325)="SERVICO"),"SERVIÇO",IF(H325&lt;=0,"ZERADO",IF(H325&lt;=I325,"ESTOQUE BAIXO","NORMAL")))</f>
        <v/>
      </c>
      <c r="K325" s="107">
        <f>IF(OR(UPPER(C325)="SERVIÇO",UPPER(C325)="SERVICO"),0,N(H325)*N(E325))</f>
        <v/>
      </c>
      <c r="L325" s="107">
        <f>IF(OR(UPPER(C325)="SERVIÇO",UPPER(C325)="SERVICO"),0,N(H325)*N(G325))</f>
        <v/>
      </c>
      <c r="M325" s="107">
        <f>IF(OR(UPPER(C325)="SERVIÇO",UPPER(C325)="SERVICO"),0,L325-K325)</f>
        <v/>
      </c>
    </row>
    <row r="326" ht="15" customHeight="1">
      <c r="B326" s="105" t="n">
        <v>315</v>
      </c>
      <c r="C326" s="105" t="inlineStr">
        <is>
          <t>Produto</t>
        </is>
      </c>
      <c r="D326" s="106" t="inlineStr">
        <is>
          <t>Bola de basquete unissex verde</t>
        </is>
      </c>
      <c r="E326" s="107" t="n">
        <v>117.85</v>
      </c>
      <c r="F326" s="108" t="n">
        <v>50</v>
      </c>
      <c r="G326" s="107">
        <f>ROUND(E326*(1+IF(ABS(F326)&lt;=1,F326,F326/100)),2)</f>
        <v/>
      </c>
      <c r="H326" s="105" t="n">
        <v>15</v>
      </c>
      <c r="I326" s="105" t="n">
        <v>5</v>
      </c>
      <c r="J326" s="105">
        <f>IF(OR(UPPER(C326)="SERVIÇO",UPPER(C326)="SERVICO"),"SERVIÇO",IF(H326&lt;=0,"ZERADO",IF(H326&lt;=I326,"ESTOQUE BAIXO","NORMAL")))</f>
        <v/>
      </c>
      <c r="K326" s="107">
        <f>IF(OR(UPPER(C326)="SERVIÇO",UPPER(C326)="SERVICO"),0,N(H326)*N(E326))</f>
        <v/>
      </c>
      <c r="L326" s="107">
        <f>IF(OR(UPPER(C326)="SERVIÇO",UPPER(C326)="SERVICO"),0,N(H326)*N(G326))</f>
        <v/>
      </c>
      <c r="M326" s="107">
        <f>IF(OR(UPPER(C326)="SERVIÇO",UPPER(C326)="SERVICO"),0,L326-K326)</f>
        <v/>
      </c>
    </row>
    <row r="327" ht="15" customHeight="1">
      <c r="B327" s="105" t="n">
        <v>316</v>
      </c>
      <c r="C327" s="105" t="inlineStr">
        <is>
          <t>Produto</t>
        </is>
      </c>
      <c r="D327" s="106" t="inlineStr">
        <is>
          <t>Garrafa squeeze adulto branco</t>
        </is>
      </c>
      <c r="E327" s="107" t="n">
        <v>21.21</v>
      </c>
      <c r="F327" s="108" t="n">
        <v>50</v>
      </c>
      <c r="G327" s="107">
        <f>ROUND(E327*(1+IF(ABS(F327)&lt;=1,F327,F327/100)),2)</f>
        <v/>
      </c>
      <c r="H327" s="105" t="n">
        <v>15</v>
      </c>
      <c r="I327" s="105" t="n">
        <v>5</v>
      </c>
      <c r="J327" s="105">
        <f>IF(OR(UPPER(C327)="SERVIÇO",UPPER(C327)="SERVICO"),"SERVIÇO",IF(H327&lt;=0,"ZERADO",IF(H327&lt;=I327,"ESTOQUE BAIXO","NORMAL")))</f>
        <v/>
      </c>
      <c r="K327" s="107">
        <f>IF(OR(UPPER(C327)="SERVIÇO",UPPER(C327)="SERVICO"),0,N(H327)*N(E327))</f>
        <v/>
      </c>
      <c r="L327" s="107">
        <f>IF(OR(UPPER(C327)="SERVIÇO",UPPER(C327)="SERVICO"),0,N(H327)*N(G327))</f>
        <v/>
      </c>
      <c r="M327" s="107">
        <f>IF(OR(UPPER(C327)="SERVIÇO",UPPER(C327)="SERVICO"),0,L327-K327)</f>
        <v/>
      </c>
    </row>
    <row r="328" ht="15" customHeight="1">
      <c r="B328" s="105" t="n">
        <v>317</v>
      </c>
      <c r="C328" s="105" t="inlineStr">
        <is>
          <t>Produto</t>
        </is>
      </c>
      <c r="D328" s="106" t="inlineStr">
        <is>
          <t>Corda de pular profissional branco</t>
        </is>
      </c>
      <c r="E328" s="107" t="n">
        <v>14.42</v>
      </c>
      <c r="F328" s="108" t="n">
        <v>50</v>
      </c>
      <c r="G328" s="107">
        <f>ROUND(E328*(1+IF(ABS(F328)&lt;=1,F328,F328/100)),2)</f>
        <v/>
      </c>
      <c r="H328" s="105" t="n">
        <v>15</v>
      </c>
      <c r="I328" s="105" t="n">
        <v>5</v>
      </c>
      <c r="J328" s="105">
        <f>IF(OR(UPPER(C328)="SERVIÇO",UPPER(C328)="SERVICO"),"SERVIÇO",IF(H328&lt;=0,"ZERADO",IF(H328&lt;=I328,"ESTOQUE BAIXO","NORMAL")))</f>
        <v/>
      </c>
      <c r="K328" s="107">
        <f>IF(OR(UPPER(C328)="SERVIÇO",UPPER(C328)="SERVICO"),0,N(H328)*N(E328))</f>
        <v/>
      </c>
      <c r="L328" s="107">
        <f>IF(OR(UPPER(C328)="SERVIÇO",UPPER(C328)="SERVICO"),0,N(H328)*N(G328))</f>
        <v/>
      </c>
      <c r="M328" s="107">
        <f>IF(OR(UPPER(C328)="SERVIÇO",UPPER(C328)="SERVICO"),0,L328-K328)</f>
        <v/>
      </c>
    </row>
    <row r="329" ht="15" customHeight="1">
      <c r="B329" s="105" t="n">
        <v>318</v>
      </c>
      <c r="C329" s="105" t="inlineStr">
        <is>
          <t>Produto</t>
        </is>
      </c>
      <c r="D329" s="106" t="inlineStr">
        <is>
          <t>Monitor cardíaco resistente preto</t>
        </is>
      </c>
      <c r="E329" s="107" t="n">
        <v>267.13</v>
      </c>
      <c r="F329" s="108" t="n">
        <v>50</v>
      </c>
      <c r="G329" s="107">
        <f>ROUND(E329*(1+IF(ABS(F329)&lt;=1,F329,F329/100)),2)</f>
        <v/>
      </c>
      <c r="H329" s="105" t="n">
        <v>15</v>
      </c>
      <c r="I329" s="105" t="n">
        <v>5</v>
      </c>
      <c r="J329" s="105">
        <f>IF(OR(UPPER(C329)="SERVIÇO",UPPER(C329)="SERVICO"),"SERVIÇO",IF(H329&lt;=0,"ZERADO",IF(H329&lt;=I329,"ESTOQUE BAIXO","NORMAL")))</f>
        <v/>
      </c>
      <c r="K329" s="107">
        <f>IF(OR(UPPER(C329)="SERVIÇO",UPPER(C329)="SERVICO"),0,N(H329)*N(E329))</f>
        <v/>
      </c>
      <c r="L329" s="107">
        <f>IF(OR(UPPER(C329)="SERVIÇO",UPPER(C329)="SERVICO"),0,N(H329)*N(G329))</f>
        <v/>
      </c>
      <c r="M329" s="107">
        <f>IF(OR(UPPER(C329)="SERVIÇO",UPPER(C329)="SERVICO"),0,L329-K329)</f>
        <v/>
      </c>
    </row>
    <row r="330" ht="15" customHeight="1">
      <c r="B330" s="105" t="n">
        <v>319</v>
      </c>
      <c r="C330" s="105" t="inlineStr">
        <is>
          <t>Produto</t>
        </is>
      </c>
      <c r="D330" s="106" t="inlineStr">
        <is>
          <t>Luva de ciclismo para uso diário branco tam. 34</t>
        </is>
      </c>
      <c r="E330" s="107" t="n">
        <v>94.16</v>
      </c>
      <c r="F330" s="108" t="n">
        <v>50</v>
      </c>
      <c r="G330" s="107">
        <f>ROUND(E330*(1+IF(ABS(F330)&lt;=1,F330,F330/100)),2)</f>
        <v/>
      </c>
      <c r="H330" s="105" t="n">
        <v>15</v>
      </c>
      <c r="I330" s="105" t="n">
        <v>5</v>
      </c>
      <c r="J330" s="105">
        <f>IF(OR(UPPER(C330)="SERVIÇO",UPPER(C330)="SERVICO"),"SERVIÇO",IF(H330&lt;=0,"ZERADO",IF(H330&lt;=I330,"ESTOQUE BAIXO","NORMAL")))</f>
        <v/>
      </c>
      <c r="K330" s="107">
        <f>IF(OR(UPPER(C330)="SERVIÇO",UPPER(C330)="SERVICO"),0,N(H330)*N(E330))</f>
        <v/>
      </c>
      <c r="L330" s="107">
        <f>IF(OR(UPPER(C330)="SERVIÇO",UPPER(C330)="SERVICO"),0,N(H330)*N(G330))</f>
        <v/>
      </c>
      <c r="M330" s="107">
        <f>IF(OR(UPPER(C330)="SERVIÇO",UPPER(C330)="SERVICO"),0,L330-K330)</f>
        <v/>
      </c>
    </row>
    <row r="331" ht="15" customHeight="1">
      <c r="B331" s="105" t="n">
        <v>320</v>
      </c>
      <c r="C331" s="105" t="inlineStr">
        <is>
          <t>Produto</t>
        </is>
      </c>
      <c r="D331" s="106" t="inlineStr">
        <is>
          <t>Colchonete de exercício modelo avançado verde</t>
        </is>
      </c>
      <c r="E331" s="107" t="n">
        <v>94.3</v>
      </c>
      <c r="F331" s="108" t="n">
        <v>50</v>
      </c>
      <c r="G331" s="107">
        <f>ROUND(E331*(1+IF(ABS(F331)&lt;=1,F331,F331/100)),2)</f>
        <v/>
      </c>
      <c r="H331" s="105" t="n">
        <v>15</v>
      </c>
      <c r="I331" s="105" t="n">
        <v>5</v>
      </c>
      <c r="J331" s="105">
        <f>IF(OR(UPPER(C331)="SERVIÇO",UPPER(C331)="SERVICO"),"SERVIÇO",IF(H331&lt;=0,"ZERADO",IF(H331&lt;=I331,"ESTOQUE BAIXO","NORMAL")))</f>
        <v/>
      </c>
      <c r="K331" s="107">
        <f>IF(OR(UPPER(C331)="SERVIÇO",UPPER(C331)="SERVICO"),0,N(H331)*N(E331))</f>
        <v/>
      </c>
      <c r="L331" s="107">
        <f>IF(OR(UPPER(C331)="SERVIÇO",UPPER(C331)="SERVICO"),0,N(H331)*N(G331))</f>
        <v/>
      </c>
      <c r="M331" s="107">
        <f>IF(OR(UPPER(C331)="SERVIÇO",UPPER(C331)="SERVICO"),0,L331-K331)</f>
        <v/>
      </c>
    </row>
    <row r="332" ht="15" customHeight="1">
      <c r="B332" s="105" t="n">
        <v>321</v>
      </c>
      <c r="C332" s="105" t="inlineStr">
        <is>
          <t>Produto</t>
        </is>
      </c>
      <c r="D332" s="106" t="inlineStr">
        <is>
          <t>Touca de natação unissex branco tam. G</t>
        </is>
      </c>
      <c r="E332" s="107" t="n">
        <v>11.2</v>
      </c>
      <c r="F332" s="108" t="n">
        <v>50</v>
      </c>
      <c r="G332" s="107">
        <f>ROUND(E332*(1+IF(ABS(F332)&lt;=1,F332,F332/100)),2)</f>
        <v/>
      </c>
      <c r="H332" s="105" t="n">
        <v>15</v>
      </c>
      <c r="I332" s="105" t="n">
        <v>5</v>
      </c>
      <c r="J332" s="105">
        <f>IF(OR(UPPER(C332)="SERVIÇO",UPPER(C332)="SERVICO"),"SERVIÇO",IF(H332&lt;=0,"ZERADO",IF(H332&lt;=I332,"ESTOQUE BAIXO","NORMAL")))</f>
        <v/>
      </c>
      <c r="K332" s="107">
        <f>IF(OR(UPPER(C332)="SERVIÇO",UPPER(C332)="SERVICO"),0,N(H332)*N(E332))</f>
        <v/>
      </c>
      <c r="L332" s="107">
        <f>IF(OR(UPPER(C332)="SERVIÇO",UPPER(C332)="SERVICO"),0,N(H332)*N(G332))</f>
        <v/>
      </c>
      <c r="M332" s="107">
        <f>IF(OR(UPPER(C332)="SERVIÇO",UPPER(C332)="SERVICO"),0,L332-K332)</f>
        <v/>
      </c>
    </row>
    <row r="333" ht="15" customHeight="1">
      <c r="B333" s="105" t="n">
        <v>322</v>
      </c>
      <c r="C333" s="105" t="inlineStr">
        <is>
          <t>Produto</t>
        </is>
      </c>
      <c r="D333" s="106" t="inlineStr">
        <is>
          <t>Caneleira de futebol leve rosa</t>
        </is>
      </c>
      <c r="E333" s="107" t="n">
        <v>88.45</v>
      </c>
      <c r="F333" s="108" t="n">
        <v>50</v>
      </c>
      <c r="G333" s="107">
        <f>ROUND(E333*(1+IF(ABS(F333)&lt;=1,F333,F333/100)),2)</f>
        <v/>
      </c>
      <c r="H333" s="105" t="n">
        <v>15</v>
      </c>
      <c r="I333" s="105" t="n">
        <v>5</v>
      </c>
      <c r="J333" s="105">
        <f>IF(OR(UPPER(C333)="SERVIÇO",UPPER(C333)="SERVICO"),"SERVIÇO",IF(H333&lt;=0,"ZERADO",IF(H333&lt;=I333,"ESTOQUE BAIXO","NORMAL")))</f>
        <v/>
      </c>
      <c r="K333" s="107">
        <f>IF(OR(UPPER(C333)="SERVIÇO",UPPER(C333)="SERVICO"),0,N(H333)*N(E333))</f>
        <v/>
      </c>
      <c r="L333" s="107">
        <f>IF(OR(UPPER(C333)="SERVIÇO",UPPER(C333)="SERVICO"),0,N(H333)*N(G333))</f>
        <v/>
      </c>
      <c r="M333" s="107">
        <f>IF(OR(UPPER(C333)="SERVIÇO",UPPER(C333)="SERVICO"),0,L333-K333)</f>
        <v/>
      </c>
    </row>
    <row r="334" ht="15" customHeight="1">
      <c r="B334" s="105" t="n">
        <v>323</v>
      </c>
      <c r="C334" s="105" t="inlineStr">
        <is>
          <t>Produto</t>
        </is>
      </c>
      <c r="D334" s="106" t="inlineStr">
        <is>
          <t>Luva de ciclismo recreativo azul tam. 40</t>
        </is>
      </c>
      <c r="E334" s="107" t="n">
        <v>21.71</v>
      </c>
      <c r="F334" s="108" t="n">
        <v>50</v>
      </c>
      <c r="G334" s="107">
        <f>ROUND(E334*(1+IF(ABS(F334)&lt;=1,F334,F334/100)),2)</f>
        <v/>
      </c>
      <c r="H334" s="105" t="n">
        <v>15</v>
      </c>
      <c r="I334" s="105" t="n">
        <v>5</v>
      </c>
      <c r="J334" s="105">
        <f>IF(OR(UPPER(C334)="SERVIÇO",UPPER(C334)="SERVICO"),"SERVIÇO",IF(H334&lt;=0,"ZERADO",IF(H334&lt;=I334,"ESTOQUE BAIXO","NORMAL")))</f>
        <v/>
      </c>
      <c r="K334" s="107">
        <f>IF(OR(UPPER(C334)="SERVIÇO",UPPER(C334)="SERVICO"),0,N(H334)*N(E334))</f>
        <v/>
      </c>
      <c r="L334" s="107">
        <f>IF(OR(UPPER(C334)="SERVIÇO",UPPER(C334)="SERVICO"),0,N(H334)*N(G334))</f>
        <v/>
      </c>
      <c r="M334" s="107">
        <f>IF(OR(UPPER(C334)="SERVIÇO",UPPER(C334)="SERVICO"),0,L334-K334)</f>
        <v/>
      </c>
    </row>
    <row r="335" ht="15" customHeight="1">
      <c r="B335" s="105" t="n">
        <v>324</v>
      </c>
      <c r="C335" s="105" t="inlineStr">
        <is>
          <t>Produto</t>
        </is>
      </c>
      <c r="D335" s="106" t="inlineStr">
        <is>
          <t>Short esportivo reforçado preto tam. 36</t>
        </is>
      </c>
      <c r="E335" s="107" t="n">
        <v>101.95</v>
      </c>
      <c r="F335" s="108" t="n">
        <v>50</v>
      </c>
      <c r="G335" s="107">
        <f>ROUND(E335*(1+IF(ABS(F335)&lt;=1,F335,F335/100)),2)</f>
        <v/>
      </c>
      <c r="H335" s="105" t="n">
        <v>15</v>
      </c>
      <c r="I335" s="105" t="n">
        <v>5</v>
      </c>
      <c r="J335" s="105">
        <f>IF(OR(UPPER(C335)="SERVIÇO",UPPER(C335)="SERVICO"),"SERVIÇO",IF(H335&lt;=0,"ZERADO",IF(H335&lt;=I335,"ESTOQUE BAIXO","NORMAL")))</f>
        <v/>
      </c>
      <c r="K335" s="107">
        <f>IF(OR(UPPER(C335)="SERVIÇO",UPPER(C335)="SERVICO"),0,N(H335)*N(E335))</f>
        <v/>
      </c>
      <c r="L335" s="107">
        <f>IF(OR(UPPER(C335)="SERVIÇO",UPPER(C335)="SERVICO"),0,N(H335)*N(G335))</f>
        <v/>
      </c>
      <c r="M335" s="107">
        <f>IF(OR(UPPER(C335)="SERVIÇO",UPPER(C335)="SERVICO"),0,L335-K335)</f>
        <v/>
      </c>
    </row>
    <row r="336" ht="15" customHeight="1">
      <c r="B336" s="105" t="n">
        <v>325</v>
      </c>
      <c r="C336" s="105" t="inlineStr">
        <is>
          <t>Produto</t>
        </is>
      </c>
      <c r="D336" s="106" t="inlineStr">
        <is>
          <t>Relógio esportivo ventilado rosa</t>
        </is>
      </c>
      <c r="E336" s="107" t="n">
        <v>424.71</v>
      </c>
      <c r="F336" s="108" t="n">
        <v>50</v>
      </c>
      <c r="G336" s="107">
        <f>ROUND(E336*(1+IF(ABS(F336)&lt;=1,F336,F336/100)),2)</f>
        <v/>
      </c>
      <c r="H336" s="105" t="n">
        <v>15</v>
      </c>
      <c r="I336" s="105" t="n">
        <v>5</v>
      </c>
      <c r="J336" s="105">
        <f>IF(OR(UPPER(C336)="SERVIÇO",UPPER(C336)="SERVICO"),"SERVIÇO",IF(H336&lt;=0,"ZERADO",IF(H336&lt;=I336,"ESTOQUE BAIXO","NORMAL")))</f>
        <v/>
      </c>
      <c r="K336" s="107">
        <f>IF(OR(UPPER(C336)="SERVIÇO",UPPER(C336)="SERVICO"),0,N(H336)*N(E336))</f>
        <v/>
      </c>
      <c r="L336" s="107">
        <f>IF(OR(UPPER(C336)="SERVIÇO",UPPER(C336)="SERVICO"),0,N(H336)*N(G336))</f>
        <v/>
      </c>
      <c r="M336" s="107">
        <f>IF(OR(UPPER(C336)="SERVIÇO",UPPER(C336)="SERVICO"),0,L336-K336)</f>
        <v/>
      </c>
    </row>
    <row r="337" ht="15" customHeight="1">
      <c r="B337" s="105" t="n">
        <v>326</v>
      </c>
      <c r="C337" s="105" t="inlineStr">
        <is>
          <t>Produto</t>
        </is>
      </c>
      <c r="D337" s="106" t="inlineStr">
        <is>
          <t>Step de ginástica iniciante branco</t>
        </is>
      </c>
      <c r="E337" s="107" t="n">
        <v>266.86</v>
      </c>
      <c r="F337" s="108" t="n">
        <v>50</v>
      </c>
      <c r="G337" s="107">
        <f>ROUND(E337*(1+IF(ABS(F337)&lt;=1,F337,F337/100)),2)</f>
        <v/>
      </c>
      <c r="H337" s="105" t="n">
        <v>15</v>
      </c>
      <c r="I337" s="105" t="n">
        <v>5</v>
      </c>
      <c r="J337" s="105">
        <f>IF(OR(UPPER(C337)="SERVIÇO",UPPER(C337)="SERVICO"),"SERVIÇO",IF(H337&lt;=0,"ZERADO",IF(H337&lt;=I337,"ESTOQUE BAIXO","NORMAL")))</f>
        <v/>
      </c>
      <c r="K337" s="107">
        <f>IF(OR(UPPER(C337)="SERVIÇO",UPPER(C337)="SERVICO"),0,N(H337)*N(E337))</f>
        <v/>
      </c>
      <c r="L337" s="107">
        <f>IF(OR(UPPER(C337)="SERVIÇO",UPPER(C337)="SERVICO"),0,N(H337)*N(G337))</f>
        <v/>
      </c>
      <c r="M337" s="107">
        <f>IF(OR(UPPER(C337)="SERVIÇO",UPPER(C337)="SERVICO"),0,L337-K337)</f>
        <v/>
      </c>
    </row>
    <row r="338" ht="15" customHeight="1">
      <c r="B338" s="105" t="n">
        <v>327</v>
      </c>
      <c r="C338" s="105" t="inlineStr">
        <is>
          <t>Produto</t>
        </is>
      </c>
      <c r="D338" s="106" t="inlineStr">
        <is>
          <t>Raquete de tênis premium azul tam. 36</t>
        </is>
      </c>
      <c r="E338" s="107" t="n">
        <v>266.3</v>
      </c>
      <c r="F338" s="108" t="n">
        <v>50</v>
      </c>
      <c r="G338" s="107">
        <f>ROUND(E338*(1+IF(ABS(F338)&lt;=1,F338,F338/100)),2)</f>
        <v/>
      </c>
      <c r="H338" s="105" t="n">
        <v>15</v>
      </c>
      <c r="I338" s="105" t="n">
        <v>5</v>
      </c>
      <c r="J338" s="105">
        <f>IF(OR(UPPER(C338)="SERVIÇO",UPPER(C338)="SERVICO"),"SERVIÇO",IF(H338&lt;=0,"ZERADO",IF(H338&lt;=I338,"ESTOQUE BAIXO","NORMAL")))</f>
        <v/>
      </c>
      <c r="K338" s="107">
        <f>IF(OR(UPPER(C338)="SERVIÇO",UPPER(C338)="SERVICO"),0,N(H338)*N(E338))</f>
        <v/>
      </c>
      <c r="L338" s="107">
        <f>IF(OR(UPPER(C338)="SERVIÇO",UPPER(C338)="SERVICO"),0,N(H338)*N(G338))</f>
        <v/>
      </c>
      <c r="M338" s="107">
        <f>IF(OR(UPPER(C338)="SERVIÇO",UPPER(C338)="SERVICO"),0,L338-K338)</f>
        <v/>
      </c>
    </row>
    <row r="339" ht="15" customHeight="1">
      <c r="B339" s="105" t="n">
        <v>328</v>
      </c>
      <c r="C339" s="105" t="inlineStr">
        <is>
          <t>Produto</t>
        </is>
      </c>
      <c r="D339" s="106" t="inlineStr">
        <is>
          <t>Elástico de resistência para uso diário branco</t>
        </is>
      </c>
      <c r="E339" s="107" t="n">
        <v>58.57</v>
      </c>
      <c r="F339" s="108" t="n">
        <v>50</v>
      </c>
      <c r="G339" s="107">
        <f>ROUND(E339*(1+IF(ABS(F339)&lt;=1,F339,F339/100)),2)</f>
        <v/>
      </c>
      <c r="H339" s="105" t="n">
        <v>15</v>
      </c>
      <c r="I339" s="105" t="n">
        <v>5</v>
      </c>
      <c r="J339" s="105">
        <f>IF(OR(UPPER(C339)="SERVIÇO",UPPER(C339)="SERVICO"),"SERVIÇO",IF(H339&lt;=0,"ZERADO",IF(H339&lt;=I339,"ESTOQUE BAIXO","NORMAL")))</f>
        <v/>
      </c>
      <c r="K339" s="107">
        <f>IF(OR(UPPER(C339)="SERVIÇO",UPPER(C339)="SERVICO"),0,N(H339)*N(E339))</f>
        <v/>
      </c>
      <c r="L339" s="107">
        <f>IF(OR(UPPER(C339)="SERVIÇO",UPPER(C339)="SERVICO"),0,N(H339)*N(G339))</f>
        <v/>
      </c>
      <c r="M339" s="107">
        <f>IF(OR(UPPER(C339)="SERVIÇO",UPPER(C339)="SERVICO"),0,L339-K339)</f>
        <v/>
      </c>
    </row>
    <row r="340" ht="15" customHeight="1">
      <c r="B340" s="105" t="n">
        <v>329</v>
      </c>
      <c r="C340" s="105" t="inlineStr">
        <is>
          <t>Produto</t>
        </is>
      </c>
      <c r="D340" s="106" t="inlineStr">
        <is>
          <t>Óculos esportivos modelo avançado cinza</t>
        </is>
      </c>
      <c r="E340" s="107" t="n">
        <v>341.2</v>
      </c>
      <c r="F340" s="108" t="n">
        <v>50</v>
      </c>
      <c r="G340" s="107">
        <f>ROUND(E340*(1+IF(ABS(F340)&lt;=1,F340,F340/100)),2)</f>
        <v/>
      </c>
      <c r="H340" s="105" t="n">
        <v>15</v>
      </c>
      <c r="I340" s="105" t="n">
        <v>5</v>
      </c>
      <c r="J340" s="105">
        <f>IF(OR(UPPER(C340)="SERVIÇO",UPPER(C340)="SERVICO"),"SERVIÇO",IF(H340&lt;=0,"ZERADO",IF(H340&lt;=I340,"ESTOQUE BAIXO","NORMAL")))</f>
        <v/>
      </c>
      <c r="K340" s="107">
        <f>IF(OR(UPPER(C340)="SERVIÇO",UPPER(C340)="SERVICO"),0,N(H340)*N(E340))</f>
        <v/>
      </c>
      <c r="L340" s="107">
        <f>IF(OR(UPPER(C340)="SERVIÇO",UPPER(C340)="SERVICO"),0,N(H340)*N(G340))</f>
        <v/>
      </c>
      <c r="M340" s="107">
        <f>IF(OR(UPPER(C340)="SERVIÇO",UPPER(C340)="SERVICO"),0,L340-K340)</f>
        <v/>
      </c>
    </row>
    <row r="341" ht="15" customHeight="1">
      <c r="B341" s="105" t="n">
        <v>330</v>
      </c>
      <c r="C341" s="105" t="inlineStr">
        <is>
          <t>Produto</t>
        </is>
      </c>
      <c r="D341" s="106" t="inlineStr">
        <is>
          <t>Bastão de caminhada profissional laranja</t>
        </is>
      </c>
      <c r="E341" s="107" t="n">
        <v>120.31</v>
      </c>
      <c r="F341" s="108" t="n">
        <v>50</v>
      </c>
      <c r="G341" s="107">
        <f>ROUND(E341*(1+IF(ABS(F341)&lt;=1,F341,F341/100)),2)</f>
        <v/>
      </c>
      <c r="H341" s="105" t="n">
        <v>15</v>
      </c>
      <c r="I341" s="105" t="n">
        <v>5</v>
      </c>
      <c r="J341" s="105">
        <f>IF(OR(UPPER(C341)="SERVIÇO",UPPER(C341)="SERVICO"),"SERVIÇO",IF(H341&lt;=0,"ZERADO",IF(H341&lt;=I341,"ESTOQUE BAIXO","NORMAL")))</f>
        <v/>
      </c>
      <c r="K341" s="107">
        <f>IF(OR(UPPER(C341)="SERVIÇO",UPPER(C341)="SERVICO"),0,N(H341)*N(E341))</f>
        <v/>
      </c>
      <c r="L341" s="107">
        <f>IF(OR(UPPER(C341)="SERVIÇO",UPPER(C341)="SERVICO"),0,N(H341)*N(G341))</f>
        <v/>
      </c>
      <c r="M341" s="107">
        <f>IF(OR(UPPER(C341)="SERVIÇO",UPPER(C341)="SERVICO"),0,L341-K341)</f>
        <v/>
      </c>
    </row>
    <row r="342" ht="15" customHeight="1">
      <c r="B342" s="105" t="n">
        <v>331</v>
      </c>
      <c r="C342" s="105" t="inlineStr">
        <is>
          <t>Produto</t>
        </is>
      </c>
      <c r="D342" s="106" t="inlineStr">
        <is>
          <t>Regata esportiva iniciante branco tam. M</t>
        </is>
      </c>
      <c r="E342" s="107" t="n">
        <v>19.99</v>
      </c>
      <c r="F342" s="108" t="n">
        <v>50</v>
      </c>
      <c r="G342" s="107">
        <f>ROUND(E342*(1+IF(ABS(F342)&lt;=1,F342,F342/100)),2)</f>
        <v/>
      </c>
      <c r="H342" s="105" t="n">
        <v>15</v>
      </c>
      <c r="I342" s="105" t="n">
        <v>5</v>
      </c>
      <c r="J342" s="105">
        <f>IF(OR(UPPER(C342)="SERVIÇO",UPPER(C342)="SERVICO"),"SERVIÇO",IF(H342&lt;=0,"ZERADO",IF(H342&lt;=I342,"ESTOQUE BAIXO","NORMAL")))</f>
        <v/>
      </c>
      <c r="K342" s="107">
        <f>IF(OR(UPPER(C342)="SERVIÇO",UPPER(C342)="SERVICO"),0,N(H342)*N(E342))</f>
        <v/>
      </c>
      <c r="L342" s="107">
        <f>IF(OR(UPPER(C342)="SERVIÇO",UPPER(C342)="SERVICO"),0,N(H342)*N(G342))</f>
        <v/>
      </c>
      <c r="M342" s="107">
        <f>IF(OR(UPPER(C342)="SERVIÇO",UPPER(C342)="SERVICO"),0,L342-K342)</f>
        <v/>
      </c>
    </row>
    <row r="343" ht="15" customHeight="1">
      <c r="B343" s="105" t="n">
        <v>332</v>
      </c>
      <c r="C343" s="105" t="inlineStr">
        <is>
          <t>Produto</t>
        </is>
      </c>
      <c r="D343" s="106" t="inlineStr">
        <is>
          <t>Prancha de natação iniciante rosa</t>
        </is>
      </c>
      <c r="E343" s="107" t="n">
        <v>72.17</v>
      </c>
      <c r="F343" s="108" t="n">
        <v>50</v>
      </c>
      <c r="G343" s="107">
        <f>ROUND(E343*(1+IF(ABS(F343)&lt;=1,F343,F343/100)),2)</f>
        <v/>
      </c>
      <c r="H343" s="105" t="n">
        <v>15</v>
      </c>
      <c r="I343" s="105" t="n">
        <v>5</v>
      </c>
      <c r="J343" s="105">
        <f>IF(OR(UPPER(C343)="SERVIÇO",UPPER(C343)="SERVICO"),"SERVIÇO",IF(H343&lt;=0,"ZERADO",IF(H343&lt;=I343,"ESTOQUE BAIXO","NORMAL")))</f>
        <v/>
      </c>
      <c r="K343" s="107">
        <f>IF(OR(UPPER(C343)="SERVIÇO",UPPER(C343)="SERVICO"),0,N(H343)*N(E343))</f>
        <v/>
      </c>
      <c r="L343" s="107">
        <f>IF(OR(UPPER(C343)="SERVIÇO",UPPER(C343)="SERVICO"),0,N(H343)*N(G343))</f>
        <v/>
      </c>
      <c r="M343" s="107">
        <f>IF(OR(UPPER(C343)="SERVIÇO",UPPER(C343)="SERVICO"),0,L343-K343)</f>
        <v/>
      </c>
    </row>
    <row r="344" ht="15" customHeight="1">
      <c r="B344" s="105" t="n">
        <v>333</v>
      </c>
      <c r="C344" s="105" t="inlineStr">
        <is>
          <t>Produto</t>
        </is>
      </c>
      <c r="D344" s="106" t="inlineStr">
        <is>
          <t>Bicicleta ergométrica com ajuste branco</t>
        </is>
      </c>
      <c r="E344" s="107" t="n">
        <v>1540.36</v>
      </c>
      <c r="F344" s="108" t="n">
        <v>50</v>
      </c>
      <c r="G344" s="107">
        <f>ROUND(E344*(1+IF(ABS(F344)&lt;=1,F344,F344/100)),2)</f>
        <v/>
      </c>
      <c r="H344" s="105" t="n">
        <v>15</v>
      </c>
      <c r="I344" s="105" t="n">
        <v>5</v>
      </c>
      <c r="J344" s="105">
        <f>IF(OR(UPPER(C344)="SERVIÇO",UPPER(C344)="SERVICO"),"SERVIÇO",IF(H344&lt;=0,"ZERADO",IF(H344&lt;=I344,"ESTOQUE BAIXO","NORMAL")))</f>
        <v/>
      </c>
      <c r="K344" s="107">
        <f>IF(OR(UPPER(C344)="SERVIÇO",UPPER(C344)="SERVICO"),0,N(H344)*N(E344))</f>
        <v/>
      </c>
      <c r="L344" s="107">
        <f>IF(OR(UPPER(C344)="SERVIÇO",UPPER(C344)="SERVICO"),0,N(H344)*N(G344))</f>
        <v/>
      </c>
      <c r="M344" s="107">
        <f>IF(OR(UPPER(C344)="SERVIÇO",UPPER(C344)="SERVICO"),0,L344-K344)</f>
        <v/>
      </c>
    </row>
    <row r="345" ht="15" customHeight="1">
      <c r="B345" s="105" t="n">
        <v>334</v>
      </c>
      <c r="C345" s="105" t="inlineStr">
        <is>
          <t>Produto</t>
        </is>
      </c>
      <c r="D345" s="106" t="inlineStr">
        <is>
          <t>Bastão de caminhada versão 2026 laranja</t>
        </is>
      </c>
      <c r="E345" s="107" t="n">
        <v>71.12</v>
      </c>
      <c r="F345" s="108" t="n">
        <v>50</v>
      </c>
      <c r="G345" s="107">
        <f>ROUND(E345*(1+IF(ABS(F345)&lt;=1,F345,F345/100)),2)</f>
        <v/>
      </c>
      <c r="H345" s="105" t="n">
        <v>15</v>
      </c>
      <c r="I345" s="105" t="n">
        <v>5</v>
      </c>
      <c r="J345" s="105">
        <f>IF(OR(UPPER(C345)="SERVIÇO",UPPER(C345)="SERVICO"),"SERVIÇO",IF(H345&lt;=0,"ZERADO",IF(H345&lt;=I345,"ESTOQUE BAIXO","NORMAL")))</f>
        <v/>
      </c>
      <c r="K345" s="107">
        <f>IF(OR(UPPER(C345)="SERVIÇO",UPPER(C345)="SERVICO"),0,N(H345)*N(E345))</f>
        <v/>
      </c>
      <c r="L345" s="107">
        <f>IF(OR(UPPER(C345)="SERVIÇO",UPPER(C345)="SERVICO"),0,N(H345)*N(G345))</f>
        <v/>
      </c>
      <c r="M345" s="107">
        <f>IF(OR(UPPER(C345)="SERVIÇO",UPPER(C345)="SERVICO"),0,L345-K345)</f>
        <v/>
      </c>
    </row>
    <row r="346" ht="15" customHeight="1">
      <c r="B346" s="105" t="n">
        <v>335</v>
      </c>
      <c r="C346" s="105" t="inlineStr">
        <is>
          <t>Produto</t>
        </is>
      </c>
      <c r="D346" s="106" t="inlineStr">
        <is>
          <t>Raquete de tênis para uso diário branco tam. 42</t>
        </is>
      </c>
      <c r="E346" s="107" t="n">
        <v>443.27</v>
      </c>
      <c r="F346" s="108" t="n">
        <v>50</v>
      </c>
      <c r="G346" s="107">
        <f>ROUND(E346*(1+IF(ABS(F346)&lt;=1,F346,F346/100)),2)</f>
        <v/>
      </c>
      <c r="H346" s="105" t="n">
        <v>15</v>
      </c>
      <c r="I346" s="105" t="n">
        <v>5</v>
      </c>
      <c r="J346" s="105">
        <f>IF(OR(UPPER(C346)="SERVIÇO",UPPER(C346)="SERVICO"),"SERVIÇO",IF(H346&lt;=0,"ZERADO",IF(H346&lt;=I346,"ESTOQUE BAIXO","NORMAL")))</f>
        <v/>
      </c>
      <c r="K346" s="107">
        <f>IF(OR(UPPER(C346)="SERVIÇO",UPPER(C346)="SERVICO"),0,N(H346)*N(E346))</f>
        <v/>
      </c>
      <c r="L346" s="107">
        <f>IF(OR(UPPER(C346)="SERVIÇO",UPPER(C346)="SERVICO"),0,N(H346)*N(G346))</f>
        <v/>
      </c>
      <c r="M346" s="107">
        <f>IF(OR(UPPER(C346)="SERVIÇO",UPPER(C346)="SERVICO"),0,L346-K346)</f>
        <v/>
      </c>
    </row>
    <row r="347" ht="15" customHeight="1">
      <c r="B347" s="105" t="n">
        <v>336</v>
      </c>
      <c r="C347" s="105" t="inlineStr">
        <is>
          <t>Produto</t>
        </is>
      </c>
      <c r="D347" s="106" t="inlineStr">
        <is>
          <t>Nadadeira adulto vermelho</t>
        </is>
      </c>
      <c r="E347" s="107" t="n">
        <v>156.33</v>
      </c>
      <c r="F347" s="108" t="n">
        <v>50</v>
      </c>
      <c r="G347" s="107">
        <f>ROUND(E347*(1+IF(ABS(F347)&lt;=1,F347,F347/100)),2)</f>
        <v/>
      </c>
      <c r="H347" s="105" t="n">
        <v>15</v>
      </c>
      <c r="I347" s="105" t="n">
        <v>5</v>
      </c>
      <c r="J347" s="105">
        <f>IF(OR(UPPER(C347)="SERVIÇO",UPPER(C347)="SERVICO"),"SERVIÇO",IF(H347&lt;=0,"ZERADO",IF(H347&lt;=I347,"ESTOQUE BAIXO","NORMAL")))</f>
        <v/>
      </c>
      <c r="K347" s="107">
        <f>IF(OR(UPPER(C347)="SERVIÇO",UPPER(C347)="SERVICO"),0,N(H347)*N(E347))</f>
        <v/>
      </c>
      <c r="L347" s="107">
        <f>IF(OR(UPPER(C347)="SERVIÇO",UPPER(C347)="SERVICO"),0,N(H347)*N(G347))</f>
        <v/>
      </c>
      <c r="M347" s="107">
        <f>IF(OR(UPPER(C347)="SERVIÇO",UPPER(C347)="SERVICO"),0,L347-K347)</f>
        <v/>
      </c>
    </row>
    <row r="348" ht="15" customHeight="1">
      <c r="B348" s="105" t="n">
        <v>337</v>
      </c>
      <c r="C348" s="105" t="inlineStr">
        <is>
          <t>Produto</t>
        </is>
      </c>
      <c r="D348" s="106" t="inlineStr">
        <is>
          <t>Nadadeira juvenil vermelho</t>
        </is>
      </c>
      <c r="E348" s="107" t="n">
        <v>34.43</v>
      </c>
      <c r="F348" s="108" t="n">
        <v>50</v>
      </c>
      <c r="G348" s="107">
        <f>ROUND(E348*(1+IF(ABS(F348)&lt;=1,F348,F348/100)),2)</f>
        <v/>
      </c>
      <c r="H348" s="105" t="n">
        <v>15</v>
      </c>
      <c r="I348" s="105" t="n">
        <v>5</v>
      </c>
      <c r="J348" s="105">
        <f>IF(OR(UPPER(C348)="SERVIÇO",UPPER(C348)="SERVICO"),"SERVIÇO",IF(H348&lt;=0,"ZERADO",IF(H348&lt;=I348,"ESTOQUE BAIXO","NORMAL")))</f>
        <v/>
      </c>
      <c r="K348" s="107">
        <f>IF(OR(UPPER(C348)="SERVIÇO",UPPER(C348)="SERVICO"),0,N(H348)*N(E348))</f>
        <v/>
      </c>
      <c r="L348" s="107">
        <f>IF(OR(UPPER(C348)="SERVIÇO",UPPER(C348)="SERVICO"),0,N(H348)*N(G348))</f>
        <v/>
      </c>
      <c r="M348" s="107">
        <f>IF(OR(UPPER(C348)="SERVIÇO",UPPER(C348)="SERVICO"),0,L348-K348)</f>
        <v/>
      </c>
    </row>
    <row r="349" ht="15" customHeight="1">
      <c r="B349" s="105" t="n">
        <v>338</v>
      </c>
      <c r="C349" s="105" t="inlineStr">
        <is>
          <t>Produto</t>
        </is>
      </c>
      <c r="D349" s="106" t="inlineStr">
        <is>
          <t>Banco de musculação modelo avançado laranja</t>
        </is>
      </c>
      <c r="E349" s="107" t="n">
        <v>1433.24</v>
      </c>
      <c r="F349" s="108" t="n">
        <v>50</v>
      </c>
      <c r="G349" s="107">
        <f>ROUND(E349*(1+IF(ABS(F349)&lt;=1,F349,F349/100)),2)</f>
        <v/>
      </c>
      <c r="H349" s="105" t="n">
        <v>15</v>
      </c>
      <c r="I349" s="105" t="n">
        <v>5</v>
      </c>
      <c r="J349" s="105">
        <f>IF(OR(UPPER(C349)="SERVIÇO",UPPER(C349)="SERVICO"),"SERVIÇO",IF(H349&lt;=0,"ZERADO",IF(H349&lt;=I349,"ESTOQUE BAIXO","NORMAL")))</f>
        <v/>
      </c>
      <c r="K349" s="107">
        <f>IF(OR(UPPER(C349)="SERVIÇO",UPPER(C349)="SERVICO"),0,N(H349)*N(E349))</f>
        <v/>
      </c>
      <c r="L349" s="107">
        <f>IF(OR(UPPER(C349)="SERVIÇO",UPPER(C349)="SERVICO"),0,N(H349)*N(G349))</f>
        <v/>
      </c>
      <c r="M349" s="107">
        <f>IF(OR(UPPER(C349)="SERVIÇO",UPPER(C349)="SERVICO"),0,L349-K349)</f>
        <v/>
      </c>
    </row>
    <row r="350" ht="15" customHeight="1">
      <c r="B350" s="105" t="n">
        <v>339</v>
      </c>
      <c r="C350" s="105" t="inlineStr">
        <is>
          <t>Produto</t>
        </is>
      </c>
      <c r="D350" s="106" t="inlineStr">
        <is>
          <t>Bola de vôlei recreativo rosa</t>
        </is>
      </c>
      <c r="E350" s="107" t="n">
        <v>103.64</v>
      </c>
      <c r="F350" s="108" t="n">
        <v>50</v>
      </c>
      <c r="G350" s="107">
        <f>ROUND(E350*(1+IF(ABS(F350)&lt;=1,F350,F350/100)),2)</f>
        <v/>
      </c>
      <c r="H350" s="105" t="n">
        <v>15</v>
      </c>
      <c r="I350" s="105" t="n">
        <v>5</v>
      </c>
      <c r="J350" s="105">
        <f>IF(OR(UPPER(C350)="SERVIÇO",UPPER(C350)="SERVICO"),"SERVIÇO",IF(H350&lt;=0,"ZERADO",IF(H350&lt;=I350,"ESTOQUE BAIXO","NORMAL")))</f>
        <v/>
      </c>
      <c r="K350" s="107">
        <f>IF(OR(UPPER(C350)="SERVIÇO",UPPER(C350)="SERVICO"),0,N(H350)*N(E350))</f>
        <v/>
      </c>
      <c r="L350" s="107">
        <f>IF(OR(UPPER(C350)="SERVIÇO",UPPER(C350)="SERVICO"),0,N(H350)*N(G350))</f>
        <v/>
      </c>
      <c r="M350" s="107">
        <f>IF(OR(UPPER(C350)="SERVIÇO",UPPER(C350)="SERVICO"),0,L350-K350)</f>
        <v/>
      </c>
    </row>
    <row r="351" ht="15" customHeight="1">
      <c r="B351" s="105" t="n">
        <v>340</v>
      </c>
      <c r="C351" s="105" t="inlineStr">
        <is>
          <t>Produto</t>
        </is>
      </c>
      <c r="D351" s="106" t="inlineStr">
        <is>
          <t>Tapete de yoga profissional vermelho</t>
        </is>
      </c>
      <c r="E351" s="107" t="n">
        <v>106.54</v>
      </c>
      <c r="F351" s="108" t="n">
        <v>50</v>
      </c>
      <c r="G351" s="107">
        <f>ROUND(E351*(1+IF(ABS(F351)&lt;=1,F351,F351/100)),2)</f>
        <v/>
      </c>
      <c r="H351" s="105" t="n">
        <v>15</v>
      </c>
      <c r="I351" s="105" t="n">
        <v>5</v>
      </c>
      <c r="J351" s="105">
        <f>IF(OR(UPPER(C351)="SERVIÇO",UPPER(C351)="SERVICO"),"SERVIÇO",IF(H351&lt;=0,"ZERADO",IF(H351&lt;=I351,"ESTOQUE BAIXO","NORMAL")))</f>
        <v/>
      </c>
      <c r="K351" s="107">
        <f>IF(OR(UPPER(C351)="SERVIÇO",UPPER(C351)="SERVICO"),0,N(H351)*N(E351))</f>
        <v/>
      </c>
      <c r="L351" s="107">
        <f>IF(OR(UPPER(C351)="SERVIÇO",UPPER(C351)="SERVICO"),0,N(H351)*N(G351))</f>
        <v/>
      </c>
      <c r="M351" s="107">
        <f>IF(OR(UPPER(C351)="SERVIÇO",UPPER(C351)="SERVICO"),0,L351-K351)</f>
        <v/>
      </c>
    </row>
    <row r="352" ht="15" customHeight="1">
      <c r="B352" s="105" t="n">
        <v>341</v>
      </c>
      <c r="C352" s="105" t="inlineStr">
        <is>
          <t>Produto</t>
        </is>
      </c>
      <c r="D352" s="106" t="inlineStr">
        <is>
          <t>Elástico de resistência premium verde</t>
        </is>
      </c>
      <c r="E352" s="107" t="n">
        <v>57.88</v>
      </c>
      <c r="F352" s="108" t="n">
        <v>50</v>
      </c>
      <c r="G352" s="107">
        <f>ROUND(E352*(1+IF(ABS(F352)&lt;=1,F352,F352/100)),2)</f>
        <v/>
      </c>
      <c r="H352" s="105" t="n">
        <v>15</v>
      </c>
      <c r="I352" s="105" t="n">
        <v>5</v>
      </c>
      <c r="J352" s="105">
        <f>IF(OR(UPPER(C352)="SERVIÇO",UPPER(C352)="SERVICO"),"SERVIÇO",IF(H352&lt;=0,"ZERADO",IF(H352&lt;=I352,"ESTOQUE BAIXO","NORMAL")))</f>
        <v/>
      </c>
      <c r="K352" s="107">
        <f>IF(OR(UPPER(C352)="SERVIÇO",UPPER(C352)="SERVICO"),0,N(H352)*N(E352))</f>
        <v/>
      </c>
      <c r="L352" s="107">
        <f>IF(OR(UPPER(C352)="SERVIÇO",UPPER(C352)="SERVICO"),0,N(H352)*N(G352))</f>
        <v/>
      </c>
      <c r="M352" s="107">
        <f>IF(OR(UPPER(C352)="SERVIÇO",UPPER(C352)="SERVICO"),0,L352-K352)</f>
        <v/>
      </c>
    </row>
    <row r="353" ht="15" customHeight="1">
      <c r="B353" s="105" t="n">
        <v>342</v>
      </c>
      <c r="C353" s="105" t="inlineStr">
        <is>
          <t>Produto</t>
        </is>
      </c>
      <c r="D353" s="106" t="inlineStr">
        <is>
          <t>Bola de basquete ergonômico laranja</t>
        </is>
      </c>
      <c r="E353" s="107" t="n">
        <v>140.08</v>
      </c>
      <c r="F353" s="108" t="n">
        <v>50</v>
      </c>
      <c r="G353" s="107">
        <f>ROUND(E353*(1+IF(ABS(F353)&lt;=1,F353,F353/100)),2)</f>
        <v/>
      </c>
      <c r="H353" s="105" t="n">
        <v>15</v>
      </c>
      <c r="I353" s="105" t="n">
        <v>5</v>
      </c>
      <c r="J353" s="105">
        <f>IF(OR(UPPER(C353)="SERVIÇO",UPPER(C353)="SERVICO"),"SERVIÇO",IF(H353&lt;=0,"ZERADO",IF(H353&lt;=I353,"ESTOQUE BAIXO","NORMAL")))</f>
        <v/>
      </c>
      <c r="K353" s="107">
        <f>IF(OR(UPPER(C353)="SERVIÇO",UPPER(C353)="SERVICO"),0,N(H353)*N(E353))</f>
        <v/>
      </c>
      <c r="L353" s="107">
        <f>IF(OR(UPPER(C353)="SERVIÇO",UPPER(C353)="SERVICO"),0,N(H353)*N(G353))</f>
        <v/>
      </c>
      <c r="M353" s="107">
        <f>IF(OR(UPPER(C353)="SERVIÇO",UPPER(C353)="SERVICO"),0,L353-K353)</f>
        <v/>
      </c>
    </row>
    <row r="354" ht="15" customHeight="1">
      <c r="B354" s="105" t="n">
        <v>343</v>
      </c>
      <c r="C354" s="105" t="inlineStr">
        <is>
          <t>Produto</t>
        </is>
      </c>
      <c r="D354" s="106" t="inlineStr">
        <is>
          <t>Tênis para quadra premium rosa tam. GG</t>
        </is>
      </c>
      <c r="E354" s="107" t="n">
        <v>478.48</v>
      </c>
      <c r="F354" s="108" t="n">
        <v>50</v>
      </c>
      <c r="G354" s="107">
        <f>ROUND(E354*(1+IF(ABS(F354)&lt;=1,F354,F354/100)),2)</f>
        <v/>
      </c>
      <c r="H354" s="105" t="n">
        <v>15</v>
      </c>
      <c r="I354" s="105" t="n">
        <v>5</v>
      </c>
      <c r="J354" s="105">
        <f>IF(OR(UPPER(C354)="SERVIÇO",UPPER(C354)="SERVICO"),"SERVIÇO",IF(H354&lt;=0,"ZERADO",IF(H354&lt;=I354,"ESTOQUE BAIXO","NORMAL")))</f>
        <v/>
      </c>
      <c r="K354" s="107">
        <f>IF(OR(UPPER(C354)="SERVIÇO",UPPER(C354)="SERVICO"),0,N(H354)*N(E354))</f>
        <v/>
      </c>
      <c r="L354" s="107">
        <f>IF(OR(UPPER(C354)="SERVIÇO",UPPER(C354)="SERVICO"),0,N(H354)*N(G354))</f>
        <v/>
      </c>
      <c r="M354" s="107">
        <f>IF(OR(UPPER(C354)="SERVIÇO",UPPER(C354)="SERVICO"),0,L354-K354)</f>
        <v/>
      </c>
    </row>
    <row r="355" ht="15" customHeight="1">
      <c r="B355" s="105" t="n">
        <v>344</v>
      </c>
      <c r="C355" s="105" t="inlineStr">
        <is>
          <t>Produto</t>
        </is>
      </c>
      <c r="D355" s="106" t="inlineStr">
        <is>
          <t>Garrafa squeeze reforçado azul</t>
        </is>
      </c>
      <c r="E355" s="107" t="n">
        <v>15.86</v>
      </c>
      <c r="F355" s="108" t="n">
        <v>50</v>
      </c>
      <c r="G355" s="107">
        <f>ROUND(E355*(1+IF(ABS(F355)&lt;=1,F355,F355/100)),2)</f>
        <v/>
      </c>
      <c r="H355" s="105" t="n">
        <v>15</v>
      </c>
      <c r="I355" s="105" t="n">
        <v>5</v>
      </c>
      <c r="J355" s="105">
        <f>IF(OR(UPPER(C355)="SERVIÇO",UPPER(C355)="SERVICO"),"SERVIÇO",IF(H355&lt;=0,"ZERADO",IF(H355&lt;=I355,"ESTOQUE BAIXO","NORMAL")))</f>
        <v/>
      </c>
      <c r="K355" s="107">
        <f>IF(OR(UPPER(C355)="SERVIÇO",UPPER(C355)="SERVICO"),0,N(H355)*N(E355))</f>
        <v/>
      </c>
      <c r="L355" s="107">
        <f>IF(OR(UPPER(C355)="SERVIÇO",UPPER(C355)="SERVICO"),0,N(H355)*N(G355))</f>
        <v/>
      </c>
      <c r="M355" s="107">
        <f>IF(OR(UPPER(C355)="SERVIÇO",UPPER(C355)="SERVICO"),0,L355-K355)</f>
        <v/>
      </c>
    </row>
    <row r="356" ht="15" customHeight="1">
      <c r="B356" s="105" t="n">
        <v>345</v>
      </c>
      <c r="C356" s="105" t="inlineStr">
        <is>
          <t>Produto</t>
        </is>
      </c>
      <c r="D356" s="106" t="inlineStr">
        <is>
          <t>Raquete de beach tennis leve rosa</t>
        </is>
      </c>
      <c r="E356" s="107" t="n">
        <v>778.02</v>
      </c>
      <c r="F356" s="108" t="n">
        <v>50</v>
      </c>
      <c r="G356" s="107">
        <f>ROUND(E356*(1+IF(ABS(F356)&lt;=1,F356,F356/100)),2)</f>
        <v/>
      </c>
      <c r="H356" s="105" t="n">
        <v>15</v>
      </c>
      <c r="I356" s="105" t="n">
        <v>5</v>
      </c>
      <c r="J356" s="105">
        <f>IF(OR(UPPER(C356)="SERVIÇO",UPPER(C356)="SERVICO"),"SERVIÇO",IF(H356&lt;=0,"ZERADO",IF(H356&lt;=I356,"ESTOQUE BAIXO","NORMAL")))</f>
        <v/>
      </c>
      <c r="K356" s="107">
        <f>IF(OR(UPPER(C356)="SERVIÇO",UPPER(C356)="SERVICO"),0,N(H356)*N(E356))</f>
        <v/>
      </c>
      <c r="L356" s="107">
        <f>IF(OR(UPPER(C356)="SERVIÇO",UPPER(C356)="SERVICO"),0,N(H356)*N(G356))</f>
        <v/>
      </c>
      <c r="M356" s="107">
        <f>IF(OR(UPPER(C356)="SERVIÇO",UPPER(C356)="SERVICO"),0,L356-K356)</f>
        <v/>
      </c>
    </row>
    <row r="357" ht="15" customHeight="1">
      <c r="B357" s="105" t="n">
        <v>346</v>
      </c>
      <c r="C357" s="105" t="inlineStr">
        <is>
          <t>Produto</t>
        </is>
      </c>
      <c r="D357" s="106" t="inlineStr">
        <is>
          <t>Nadadeira modelo avançado azul</t>
        </is>
      </c>
      <c r="E357" s="107" t="n">
        <v>109.74</v>
      </c>
      <c r="F357" s="108" t="n">
        <v>50</v>
      </c>
      <c r="G357" s="107">
        <f>ROUND(E357*(1+IF(ABS(F357)&lt;=1,F357,F357/100)),2)</f>
        <v/>
      </c>
      <c r="H357" s="105" t="n">
        <v>15</v>
      </c>
      <c r="I357" s="105" t="n">
        <v>5</v>
      </c>
      <c r="J357" s="105">
        <f>IF(OR(UPPER(C357)="SERVIÇO",UPPER(C357)="SERVICO"),"SERVIÇO",IF(H357&lt;=0,"ZERADO",IF(H357&lt;=I357,"ESTOQUE BAIXO","NORMAL")))</f>
        <v/>
      </c>
      <c r="K357" s="107">
        <f>IF(OR(UPPER(C357)="SERVIÇO",UPPER(C357)="SERVICO"),0,N(H357)*N(E357))</f>
        <v/>
      </c>
      <c r="L357" s="107">
        <f>IF(OR(UPPER(C357)="SERVIÇO",UPPER(C357)="SERVICO"),0,N(H357)*N(G357))</f>
        <v/>
      </c>
      <c r="M357" s="107">
        <f>IF(OR(UPPER(C357)="SERVIÇO",UPPER(C357)="SERVICO"),0,L357-K357)</f>
        <v/>
      </c>
    </row>
    <row r="358" ht="15" customHeight="1">
      <c r="B358" s="105" t="n">
        <v>347</v>
      </c>
      <c r="C358" s="105" t="inlineStr">
        <is>
          <t>Produto</t>
        </is>
      </c>
      <c r="D358" s="106" t="inlineStr">
        <is>
          <t>Garrafa squeeze leve vermelho</t>
        </is>
      </c>
      <c r="E358" s="107" t="n">
        <v>49.42</v>
      </c>
      <c r="F358" s="108" t="n">
        <v>50</v>
      </c>
      <c r="G358" s="107">
        <f>ROUND(E358*(1+IF(ABS(F358)&lt;=1,F358,F358/100)),2)</f>
        <v/>
      </c>
      <c r="H358" s="105" t="n">
        <v>15</v>
      </c>
      <c r="I358" s="105" t="n">
        <v>5</v>
      </c>
      <c r="J358" s="105">
        <f>IF(OR(UPPER(C358)="SERVIÇO",UPPER(C358)="SERVICO"),"SERVIÇO",IF(H358&lt;=0,"ZERADO",IF(H358&lt;=I358,"ESTOQUE BAIXO","NORMAL")))</f>
        <v/>
      </c>
      <c r="K358" s="107">
        <f>IF(OR(UPPER(C358)="SERVIÇO",UPPER(C358)="SERVICO"),0,N(H358)*N(E358))</f>
        <v/>
      </c>
      <c r="L358" s="107">
        <f>IF(OR(UPPER(C358)="SERVIÇO",UPPER(C358)="SERVICO"),0,N(H358)*N(G358))</f>
        <v/>
      </c>
      <c r="M358" s="107">
        <f>IF(OR(UPPER(C358)="SERVIÇO",UPPER(C358)="SERVICO"),0,L358-K358)</f>
        <v/>
      </c>
    </row>
    <row r="359" ht="15" customHeight="1">
      <c r="B359" s="105" t="n">
        <v>348</v>
      </c>
      <c r="C359" s="105" t="inlineStr">
        <is>
          <t>Produto</t>
        </is>
      </c>
      <c r="D359" s="106" t="inlineStr">
        <is>
          <t>Relógio esportivo treino verde</t>
        </is>
      </c>
      <c r="E359" s="107" t="n">
        <v>1200.52</v>
      </c>
      <c r="F359" s="108" t="n">
        <v>50</v>
      </c>
      <c r="G359" s="107">
        <f>ROUND(E359*(1+IF(ABS(F359)&lt;=1,F359,F359/100)),2)</f>
        <v/>
      </c>
      <c r="H359" s="105" t="n">
        <v>15</v>
      </c>
      <c r="I359" s="105" t="n">
        <v>5</v>
      </c>
      <c r="J359" s="105">
        <f>IF(OR(UPPER(C359)="SERVIÇO",UPPER(C359)="SERVICO"),"SERVIÇO",IF(H359&lt;=0,"ZERADO",IF(H359&lt;=I359,"ESTOQUE BAIXO","NORMAL")))</f>
        <v/>
      </c>
      <c r="K359" s="107">
        <f>IF(OR(UPPER(C359)="SERVIÇO",UPPER(C359)="SERVICO"),0,N(H359)*N(E359))</f>
        <v/>
      </c>
      <c r="L359" s="107">
        <f>IF(OR(UPPER(C359)="SERVIÇO",UPPER(C359)="SERVICO"),0,N(H359)*N(G359))</f>
        <v/>
      </c>
      <c r="M359" s="107">
        <f>IF(OR(UPPER(C359)="SERVIÇO",UPPER(C359)="SERVICO"),0,L359-K359)</f>
        <v/>
      </c>
    </row>
    <row r="360" ht="15" customHeight="1">
      <c r="B360" s="105" t="n">
        <v>349</v>
      </c>
      <c r="C360" s="105" t="inlineStr">
        <is>
          <t>Produto</t>
        </is>
      </c>
      <c r="D360" s="106" t="inlineStr">
        <is>
          <t>Meias esportivas adulto branco tam. 42</t>
        </is>
      </c>
      <c r="E360" s="107" t="n">
        <v>26.54</v>
      </c>
      <c r="F360" s="108" t="n">
        <v>50</v>
      </c>
      <c r="G360" s="107">
        <f>ROUND(E360*(1+IF(ABS(F360)&lt;=1,F360,F360/100)),2)</f>
        <v/>
      </c>
      <c r="H360" s="105" t="n">
        <v>15</v>
      </c>
      <c r="I360" s="105" t="n">
        <v>5</v>
      </c>
      <c r="J360" s="105">
        <f>IF(OR(UPPER(C360)="SERVIÇO",UPPER(C360)="SERVICO"),"SERVIÇO",IF(H360&lt;=0,"ZERADO",IF(H360&lt;=I360,"ESTOQUE BAIXO","NORMAL")))</f>
        <v/>
      </c>
      <c r="K360" s="107">
        <f>IF(OR(UPPER(C360)="SERVIÇO",UPPER(C360)="SERVICO"),0,N(H360)*N(E360))</f>
        <v/>
      </c>
      <c r="L360" s="107">
        <f>IF(OR(UPPER(C360)="SERVIÇO",UPPER(C360)="SERVICO"),0,N(H360)*N(G360))</f>
        <v/>
      </c>
      <c r="M360" s="107">
        <f>IF(OR(UPPER(C360)="SERVIÇO",UPPER(C360)="SERVICO"),0,L360-K360)</f>
        <v/>
      </c>
    </row>
    <row r="361" ht="15" customHeight="1">
      <c r="B361" s="105" t="n">
        <v>350</v>
      </c>
      <c r="C361" s="105" t="inlineStr">
        <is>
          <t>Produto</t>
        </is>
      </c>
      <c r="D361" s="106" t="inlineStr">
        <is>
          <t>Capacete de ciclismo recreativo azul</t>
        </is>
      </c>
      <c r="E361" s="107" t="n">
        <v>68.45</v>
      </c>
      <c r="F361" s="108" t="n">
        <v>50</v>
      </c>
      <c r="G361" s="107">
        <f>ROUND(E361*(1+IF(ABS(F361)&lt;=1,F361,F361/100)),2)</f>
        <v/>
      </c>
      <c r="H361" s="105" t="n">
        <v>15</v>
      </c>
      <c r="I361" s="105" t="n">
        <v>5</v>
      </c>
      <c r="J361" s="105">
        <f>IF(OR(UPPER(C361)="SERVIÇO",UPPER(C361)="SERVICO"),"SERVIÇO",IF(H361&lt;=0,"ZERADO",IF(H361&lt;=I361,"ESTOQUE BAIXO","NORMAL")))</f>
        <v/>
      </c>
      <c r="K361" s="107">
        <f>IF(OR(UPPER(C361)="SERVIÇO",UPPER(C361)="SERVICO"),0,N(H361)*N(E361))</f>
        <v/>
      </c>
      <c r="L361" s="107">
        <f>IF(OR(UPPER(C361)="SERVIÇO",UPPER(C361)="SERVICO"),0,N(H361)*N(G361))</f>
        <v/>
      </c>
      <c r="M361" s="107">
        <f>IF(OR(UPPER(C361)="SERVIÇO",UPPER(C361)="SERVICO"),0,L361-K361)</f>
        <v/>
      </c>
    </row>
    <row r="362" ht="15" customHeight="1">
      <c r="B362" s="105" t="n">
        <v>351</v>
      </c>
      <c r="C362" s="105" t="inlineStr">
        <is>
          <t>Produto</t>
        </is>
      </c>
      <c r="D362" s="106" t="inlineStr">
        <is>
          <t>Elástico de resistência resistente laranja</t>
        </is>
      </c>
      <c r="E362" s="107" t="n">
        <v>47.89</v>
      </c>
      <c r="F362" s="108" t="n">
        <v>50</v>
      </c>
      <c r="G362" s="107">
        <f>ROUND(E362*(1+IF(ABS(F362)&lt;=1,F362,F362/100)),2)</f>
        <v/>
      </c>
      <c r="H362" s="105" t="n">
        <v>15</v>
      </c>
      <c r="I362" s="105" t="n">
        <v>5</v>
      </c>
      <c r="J362" s="105">
        <f>IF(OR(UPPER(C362)="SERVIÇO",UPPER(C362)="SERVICO"),"SERVIÇO",IF(H362&lt;=0,"ZERADO",IF(H362&lt;=I362,"ESTOQUE BAIXO","NORMAL")))</f>
        <v/>
      </c>
      <c r="K362" s="107">
        <f>IF(OR(UPPER(C362)="SERVIÇO",UPPER(C362)="SERVICO"),0,N(H362)*N(E362))</f>
        <v/>
      </c>
      <c r="L362" s="107">
        <f>IF(OR(UPPER(C362)="SERVIÇO",UPPER(C362)="SERVICO"),0,N(H362)*N(G362))</f>
        <v/>
      </c>
      <c r="M362" s="107">
        <f>IF(OR(UPPER(C362)="SERVIÇO",UPPER(C362)="SERVICO"),0,L362-K362)</f>
        <v/>
      </c>
    </row>
    <row r="363" ht="15" customHeight="1">
      <c r="B363" s="105" t="n">
        <v>352</v>
      </c>
      <c r="C363" s="105" t="inlineStr">
        <is>
          <t>Produto</t>
        </is>
      </c>
      <c r="D363" s="106" t="inlineStr">
        <is>
          <t>Protetor bucal recreativo branco</t>
        </is>
      </c>
      <c r="E363" s="107" t="n">
        <v>41.7</v>
      </c>
      <c r="F363" s="108" t="n">
        <v>50</v>
      </c>
      <c r="G363" s="107">
        <f>ROUND(E363*(1+IF(ABS(F363)&lt;=1,F363,F363/100)),2)</f>
        <v/>
      </c>
      <c r="H363" s="105" t="n">
        <v>15</v>
      </c>
      <c r="I363" s="105" t="n">
        <v>5</v>
      </c>
      <c r="J363" s="105">
        <f>IF(OR(UPPER(C363)="SERVIÇO",UPPER(C363)="SERVICO"),"SERVIÇO",IF(H363&lt;=0,"ZERADO",IF(H363&lt;=I363,"ESTOQUE BAIXO","NORMAL")))</f>
        <v/>
      </c>
      <c r="K363" s="107">
        <f>IF(OR(UPPER(C363)="SERVIÇO",UPPER(C363)="SERVICO"),0,N(H363)*N(E363))</f>
        <v/>
      </c>
      <c r="L363" s="107">
        <f>IF(OR(UPPER(C363)="SERVIÇO",UPPER(C363)="SERVICO"),0,N(H363)*N(G363))</f>
        <v/>
      </c>
      <c r="M363" s="107">
        <f>IF(OR(UPPER(C363)="SERVIÇO",UPPER(C363)="SERVICO"),0,L363-K363)</f>
        <v/>
      </c>
    </row>
    <row r="364" ht="15" customHeight="1">
      <c r="B364" s="105" t="n">
        <v>353</v>
      </c>
      <c r="C364" s="105" t="inlineStr">
        <is>
          <t>Produto</t>
        </is>
      </c>
      <c r="D364" s="106" t="inlineStr">
        <is>
          <t>Bicicleta urbana resistente branco</t>
        </is>
      </c>
      <c r="E364" s="107" t="n">
        <v>957.34</v>
      </c>
      <c r="F364" s="108" t="n">
        <v>50</v>
      </c>
      <c r="G364" s="107">
        <f>ROUND(E364*(1+IF(ABS(F364)&lt;=1,F364,F364/100)),2)</f>
        <v/>
      </c>
      <c r="H364" s="105" t="n">
        <v>15</v>
      </c>
      <c r="I364" s="105" t="n">
        <v>5</v>
      </c>
      <c r="J364" s="105">
        <f>IF(OR(UPPER(C364)="SERVIÇO",UPPER(C364)="SERVICO"),"SERVIÇO",IF(H364&lt;=0,"ZERADO",IF(H364&lt;=I364,"ESTOQUE BAIXO","NORMAL")))</f>
        <v/>
      </c>
      <c r="K364" s="107">
        <f>IF(OR(UPPER(C364)="SERVIÇO",UPPER(C364)="SERVICO"),0,N(H364)*N(E364))</f>
        <v/>
      </c>
      <c r="L364" s="107">
        <f>IF(OR(UPPER(C364)="SERVIÇO",UPPER(C364)="SERVICO"),0,N(H364)*N(G364))</f>
        <v/>
      </c>
      <c r="M364" s="107">
        <f>IF(OR(UPPER(C364)="SERVIÇO",UPPER(C364)="SERVICO"),0,L364-K364)</f>
        <v/>
      </c>
    </row>
    <row r="365" ht="15" customHeight="1">
      <c r="B365" s="105" t="n">
        <v>354</v>
      </c>
      <c r="C365" s="105" t="inlineStr">
        <is>
          <t>Produto</t>
        </is>
      </c>
      <c r="D365" s="106" t="inlineStr">
        <is>
          <t>Banco de musculação unissex vermelho</t>
        </is>
      </c>
      <c r="E365" s="107" t="n">
        <v>1193.41</v>
      </c>
      <c r="F365" s="108" t="n">
        <v>50</v>
      </c>
      <c r="G365" s="107">
        <f>ROUND(E365*(1+IF(ABS(F365)&lt;=1,F365,F365/100)),2)</f>
        <v/>
      </c>
      <c r="H365" s="105" t="n">
        <v>15</v>
      </c>
      <c r="I365" s="105" t="n">
        <v>5</v>
      </c>
      <c r="J365" s="105">
        <f>IF(OR(UPPER(C365)="SERVIÇO",UPPER(C365)="SERVICO"),"SERVIÇO",IF(H365&lt;=0,"ZERADO",IF(H365&lt;=I365,"ESTOQUE BAIXO","NORMAL")))</f>
        <v/>
      </c>
      <c r="K365" s="107">
        <f>IF(OR(UPPER(C365)="SERVIÇO",UPPER(C365)="SERVICO"),0,N(H365)*N(E365))</f>
        <v/>
      </c>
      <c r="L365" s="107">
        <f>IF(OR(UPPER(C365)="SERVIÇO",UPPER(C365)="SERVICO"),0,N(H365)*N(G365))</f>
        <v/>
      </c>
      <c r="M365" s="107">
        <f>IF(OR(UPPER(C365)="SERVIÇO",UPPER(C365)="SERVICO"),0,L365-K365)</f>
        <v/>
      </c>
    </row>
    <row r="366" ht="15" customHeight="1">
      <c r="B366" s="105" t="n">
        <v>355</v>
      </c>
      <c r="C366" s="105" t="inlineStr">
        <is>
          <t>Produto</t>
        </is>
      </c>
      <c r="D366" s="106" t="inlineStr">
        <is>
          <t>Chuteira de campo resistente preto tam. M</t>
        </is>
      </c>
      <c r="E366" s="107" t="n">
        <v>314.41</v>
      </c>
      <c r="F366" s="108" t="n">
        <v>50</v>
      </c>
      <c r="G366" s="107">
        <f>ROUND(E366*(1+IF(ABS(F366)&lt;=1,F366,F366/100)),2)</f>
        <v/>
      </c>
      <c r="H366" s="105" t="n">
        <v>15</v>
      </c>
      <c r="I366" s="105" t="n">
        <v>5</v>
      </c>
      <c r="J366" s="105">
        <f>IF(OR(UPPER(C366)="SERVIÇO",UPPER(C366)="SERVICO"),"SERVIÇO",IF(H366&lt;=0,"ZERADO",IF(H366&lt;=I366,"ESTOQUE BAIXO","NORMAL")))</f>
        <v/>
      </c>
      <c r="K366" s="107">
        <f>IF(OR(UPPER(C366)="SERVIÇO",UPPER(C366)="SERVICO"),0,N(H366)*N(E366))</f>
        <v/>
      </c>
      <c r="L366" s="107">
        <f>IF(OR(UPPER(C366)="SERVIÇO",UPPER(C366)="SERVICO"),0,N(H366)*N(G366))</f>
        <v/>
      </c>
      <c r="M366" s="107">
        <f>IF(OR(UPPER(C366)="SERVIÇO",UPPER(C366)="SERVICO"),0,L366-K366)</f>
        <v/>
      </c>
    </row>
    <row r="367" ht="15" customHeight="1">
      <c r="B367" s="105" t="n">
        <v>356</v>
      </c>
      <c r="C367" s="105" t="inlineStr">
        <is>
          <t>Produto</t>
        </is>
      </c>
      <c r="D367" s="106" t="inlineStr">
        <is>
          <t>Coqueteleira leve branco</t>
        </is>
      </c>
      <c r="E367" s="107" t="n">
        <v>51.2</v>
      </c>
      <c r="F367" s="108" t="n">
        <v>50</v>
      </c>
      <c r="G367" s="107">
        <f>ROUND(E367*(1+IF(ABS(F367)&lt;=1,F367,F367/100)),2)</f>
        <v/>
      </c>
      <c r="H367" s="105" t="n">
        <v>15</v>
      </c>
      <c r="I367" s="105" t="n">
        <v>5</v>
      </c>
      <c r="J367" s="105">
        <f>IF(OR(UPPER(C367)="SERVIÇO",UPPER(C367)="SERVICO"),"SERVIÇO",IF(H367&lt;=0,"ZERADO",IF(H367&lt;=I367,"ESTOQUE BAIXO","NORMAL")))</f>
        <v/>
      </c>
      <c r="K367" s="107">
        <f>IF(OR(UPPER(C367)="SERVIÇO",UPPER(C367)="SERVICO"),0,N(H367)*N(E367))</f>
        <v/>
      </c>
      <c r="L367" s="107">
        <f>IF(OR(UPPER(C367)="SERVIÇO",UPPER(C367)="SERVICO"),0,N(H367)*N(G367))</f>
        <v/>
      </c>
      <c r="M367" s="107">
        <f>IF(OR(UPPER(C367)="SERVIÇO",UPPER(C367)="SERVICO"),0,L367-K367)</f>
        <v/>
      </c>
    </row>
    <row r="368" ht="15" customHeight="1">
      <c r="B368" s="105" t="n">
        <v>357</v>
      </c>
      <c r="C368" s="105" t="inlineStr">
        <is>
          <t>Produto</t>
        </is>
      </c>
      <c r="D368" s="106" t="inlineStr">
        <is>
          <t>Jaqueta esportiva resistente cinza tam. M</t>
        </is>
      </c>
      <c r="E368" s="107" t="n">
        <v>115.59</v>
      </c>
      <c r="F368" s="108" t="n">
        <v>50</v>
      </c>
      <c r="G368" s="107">
        <f>ROUND(E368*(1+IF(ABS(F368)&lt;=1,F368,F368/100)),2)</f>
        <v/>
      </c>
      <c r="H368" s="105" t="n">
        <v>15</v>
      </c>
      <c r="I368" s="105" t="n">
        <v>5</v>
      </c>
      <c r="J368" s="105">
        <f>IF(OR(UPPER(C368)="SERVIÇO",UPPER(C368)="SERVICO"),"SERVIÇO",IF(H368&lt;=0,"ZERADO",IF(H368&lt;=I368,"ESTOQUE BAIXO","NORMAL")))</f>
        <v/>
      </c>
      <c r="K368" s="107">
        <f>IF(OR(UPPER(C368)="SERVIÇO",UPPER(C368)="SERVICO"),0,N(H368)*N(E368))</f>
        <v/>
      </c>
      <c r="L368" s="107">
        <f>IF(OR(UPPER(C368)="SERVIÇO",UPPER(C368)="SERVICO"),0,N(H368)*N(G368))</f>
        <v/>
      </c>
      <c r="M368" s="107">
        <f>IF(OR(UPPER(C368)="SERVIÇO",UPPER(C368)="SERVICO"),0,L368-K368)</f>
        <v/>
      </c>
    </row>
    <row r="369" ht="15" customHeight="1">
      <c r="B369" s="105" t="n">
        <v>358</v>
      </c>
      <c r="C369" s="105" t="inlineStr">
        <is>
          <t>Produto</t>
        </is>
      </c>
      <c r="D369" s="106" t="inlineStr">
        <is>
          <t>Touca de natação premium vermelho tam. 34</t>
        </is>
      </c>
      <c r="E369" s="107" t="n">
        <v>40.28</v>
      </c>
      <c r="F369" s="108" t="n">
        <v>50</v>
      </c>
      <c r="G369" s="107">
        <f>ROUND(E369*(1+IF(ABS(F369)&lt;=1,F369,F369/100)),2)</f>
        <v/>
      </c>
      <c r="H369" s="105" t="n">
        <v>15</v>
      </c>
      <c r="I369" s="105" t="n">
        <v>5</v>
      </c>
      <c r="J369" s="105">
        <f>IF(OR(UPPER(C369)="SERVIÇO",UPPER(C369)="SERVICO"),"SERVIÇO",IF(H369&lt;=0,"ZERADO",IF(H369&lt;=I369,"ESTOQUE BAIXO","NORMAL")))</f>
        <v/>
      </c>
      <c r="K369" s="107">
        <f>IF(OR(UPPER(C369)="SERVIÇO",UPPER(C369)="SERVICO"),0,N(H369)*N(E369))</f>
        <v/>
      </c>
      <c r="L369" s="107">
        <f>IF(OR(UPPER(C369)="SERVIÇO",UPPER(C369)="SERVICO"),0,N(H369)*N(G369))</f>
        <v/>
      </c>
      <c r="M369" s="107">
        <f>IF(OR(UPPER(C369)="SERVIÇO",UPPER(C369)="SERVICO"),0,L369-K369)</f>
        <v/>
      </c>
    </row>
    <row r="370" ht="15" customHeight="1">
      <c r="B370" s="105" t="n">
        <v>359</v>
      </c>
      <c r="C370" s="105" t="inlineStr">
        <is>
          <t>Produto</t>
        </is>
      </c>
      <c r="D370" s="106" t="inlineStr">
        <is>
          <t>Raquete de badminton leve vermelho</t>
        </is>
      </c>
      <c r="E370" s="107" t="n">
        <v>65.89</v>
      </c>
      <c r="F370" s="108" t="n">
        <v>50</v>
      </c>
      <c r="G370" s="107">
        <f>ROUND(E370*(1+IF(ABS(F370)&lt;=1,F370,F370/100)),2)</f>
        <v/>
      </c>
      <c r="H370" s="105" t="n">
        <v>15</v>
      </c>
      <c r="I370" s="105" t="n">
        <v>5</v>
      </c>
      <c r="J370" s="105">
        <f>IF(OR(UPPER(C370)="SERVIÇO",UPPER(C370)="SERVICO"),"SERVIÇO",IF(H370&lt;=0,"ZERADO",IF(H370&lt;=I370,"ESTOQUE BAIXO","NORMAL")))</f>
        <v/>
      </c>
      <c r="K370" s="107">
        <f>IF(OR(UPPER(C370)="SERVIÇO",UPPER(C370)="SERVICO"),0,N(H370)*N(E370))</f>
        <v/>
      </c>
      <c r="L370" s="107">
        <f>IF(OR(UPPER(C370)="SERVIÇO",UPPER(C370)="SERVICO"),0,N(H370)*N(G370))</f>
        <v/>
      </c>
      <c r="M370" s="107">
        <f>IF(OR(UPPER(C370)="SERVIÇO",UPPER(C370)="SERVICO"),0,L370-K370)</f>
        <v/>
      </c>
    </row>
    <row r="371" ht="15" customHeight="1">
      <c r="B371" s="105" t="n">
        <v>360</v>
      </c>
      <c r="C371" s="105" t="inlineStr">
        <is>
          <t>Produto</t>
        </is>
      </c>
      <c r="D371" s="106" t="inlineStr">
        <is>
          <t>Kimono de judô modelo básico preto tam. P</t>
        </is>
      </c>
      <c r="E371" s="107" t="n">
        <v>84.31</v>
      </c>
      <c r="F371" s="108" t="n">
        <v>50</v>
      </c>
      <c r="G371" s="107">
        <f>ROUND(E371*(1+IF(ABS(F371)&lt;=1,F371,F371/100)),2)</f>
        <v/>
      </c>
      <c r="H371" s="105" t="n">
        <v>15</v>
      </c>
      <c r="I371" s="105" t="n">
        <v>5</v>
      </c>
      <c r="J371" s="105">
        <f>IF(OR(UPPER(C371)="SERVIÇO",UPPER(C371)="SERVICO"),"SERVIÇO",IF(H371&lt;=0,"ZERADO",IF(H371&lt;=I371,"ESTOQUE BAIXO","NORMAL")))</f>
        <v/>
      </c>
      <c r="K371" s="107">
        <f>IF(OR(UPPER(C371)="SERVIÇO",UPPER(C371)="SERVICO"),0,N(H371)*N(E371))</f>
        <v/>
      </c>
      <c r="L371" s="107">
        <f>IF(OR(UPPER(C371)="SERVIÇO",UPPER(C371)="SERVICO"),0,N(H371)*N(G371))</f>
        <v/>
      </c>
      <c r="M371" s="107">
        <f>IF(OR(UPPER(C371)="SERVIÇO",UPPER(C371)="SERVICO"),0,L371-K371)</f>
        <v/>
      </c>
    </row>
    <row r="372" ht="15" customHeight="1">
      <c r="B372" s="105" t="n">
        <v>361</v>
      </c>
      <c r="C372" s="105" t="inlineStr">
        <is>
          <t>Produto</t>
        </is>
      </c>
      <c r="D372" s="106" t="inlineStr">
        <is>
          <t>Óculos de natação premium verde</t>
        </is>
      </c>
      <c r="E372" s="107" t="n">
        <v>117.78</v>
      </c>
      <c r="F372" s="108" t="n">
        <v>50</v>
      </c>
      <c r="G372" s="107">
        <f>ROUND(E372*(1+IF(ABS(F372)&lt;=1,F372,F372/100)),2)</f>
        <v/>
      </c>
      <c r="H372" s="105" t="n">
        <v>15</v>
      </c>
      <c r="I372" s="105" t="n">
        <v>5</v>
      </c>
      <c r="J372" s="105">
        <f>IF(OR(UPPER(C372)="SERVIÇO",UPPER(C372)="SERVICO"),"SERVIÇO",IF(H372&lt;=0,"ZERADO",IF(H372&lt;=I372,"ESTOQUE BAIXO","NORMAL")))</f>
        <v/>
      </c>
      <c r="K372" s="107">
        <f>IF(OR(UPPER(C372)="SERVIÇO",UPPER(C372)="SERVICO"),0,N(H372)*N(E372))</f>
        <v/>
      </c>
      <c r="L372" s="107">
        <f>IF(OR(UPPER(C372)="SERVIÇO",UPPER(C372)="SERVICO"),0,N(H372)*N(G372))</f>
        <v/>
      </c>
      <c r="M372" s="107">
        <f>IF(OR(UPPER(C372)="SERVIÇO",UPPER(C372)="SERVICO"),0,L372-K372)</f>
        <v/>
      </c>
    </row>
    <row r="373" ht="15" customHeight="1">
      <c r="B373" s="105" t="n">
        <v>362</v>
      </c>
      <c r="C373" s="105" t="inlineStr">
        <is>
          <t>Produto</t>
        </is>
      </c>
      <c r="D373" s="106" t="inlineStr">
        <is>
          <t>Corda de pular adulto rosa</t>
        </is>
      </c>
      <c r="E373" s="107" t="n">
        <v>80.95</v>
      </c>
      <c r="F373" s="108" t="n">
        <v>50</v>
      </c>
      <c r="G373" s="107">
        <f>ROUND(E373*(1+IF(ABS(F373)&lt;=1,F373,F373/100)),2)</f>
        <v/>
      </c>
      <c r="H373" s="105" t="n">
        <v>15</v>
      </c>
      <c r="I373" s="105" t="n">
        <v>5</v>
      </c>
      <c r="J373" s="105">
        <f>IF(OR(UPPER(C373)="SERVIÇO",UPPER(C373)="SERVICO"),"SERVIÇO",IF(H373&lt;=0,"ZERADO",IF(H373&lt;=I373,"ESTOQUE BAIXO","NORMAL")))</f>
        <v/>
      </c>
      <c r="K373" s="107">
        <f>IF(OR(UPPER(C373)="SERVIÇO",UPPER(C373)="SERVICO"),0,N(H373)*N(E373))</f>
        <v/>
      </c>
      <c r="L373" s="107">
        <f>IF(OR(UPPER(C373)="SERVIÇO",UPPER(C373)="SERVICO"),0,N(H373)*N(G373))</f>
        <v/>
      </c>
      <c r="M373" s="107">
        <f>IF(OR(UPPER(C373)="SERVIÇO",UPPER(C373)="SERVICO"),0,L373-K373)</f>
        <v/>
      </c>
    </row>
    <row r="374" ht="15" customHeight="1">
      <c r="B374" s="105" t="n">
        <v>363</v>
      </c>
      <c r="C374" s="105" t="inlineStr">
        <is>
          <t>Produto</t>
        </is>
      </c>
      <c r="D374" s="106" t="inlineStr">
        <is>
          <t>Caneleira de futebol iniciante rosa</t>
        </is>
      </c>
      <c r="E374" s="107" t="n">
        <v>31.04</v>
      </c>
      <c r="F374" s="108" t="n">
        <v>50</v>
      </c>
      <c r="G374" s="107">
        <f>ROUND(E374*(1+IF(ABS(F374)&lt;=1,F374,F374/100)),2)</f>
        <v/>
      </c>
      <c r="H374" s="105" t="n">
        <v>15</v>
      </c>
      <c r="I374" s="105" t="n">
        <v>5</v>
      </c>
      <c r="J374" s="105">
        <f>IF(OR(UPPER(C374)="SERVIÇO",UPPER(C374)="SERVICO"),"SERVIÇO",IF(H374&lt;=0,"ZERADO",IF(H374&lt;=I374,"ESTOQUE BAIXO","NORMAL")))</f>
        <v/>
      </c>
      <c r="K374" s="107">
        <f>IF(OR(UPPER(C374)="SERVIÇO",UPPER(C374)="SERVICO"),0,N(H374)*N(E374))</f>
        <v/>
      </c>
      <c r="L374" s="107">
        <f>IF(OR(UPPER(C374)="SERVIÇO",UPPER(C374)="SERVICO"),0,N(H374)*N(G374))</f>
        <v/>
      </c>
      <c r="M374" s="107">
        <f>IF(OR(UPPER(C374)="SERVIÇO",UPPER(C374)="SERVICO"),0,L374-K374)</f>
        <v/>
      </c>
    </row>
    <row r="375" ht="15" customHeight="1">
      <c r="B375" s="105" t="n">
        <v>364</v>
      </c>
      <c r="C375" s="105" t="inlineStr">
        <is>
          <t>Produto</t>
        </is>
      </c>
      <c r="D375" s="106" t="inlineStr">
        <is>
          <t>Nadadeira iniciante rosa</t>
        </is>
      </c>
      <c r="E375" s="107" t="n">
        <v>35.32</v>
      </c>
      <c r="F375" s="108" t="n">
        <v>50</v>
      </c>
      <c r="G375" s="107">
        <f>ROUND(E375*(1+IF(ABS(F375)&lt;=1,F375,F375/100)),2)</f>
        <v/>
      </c>
      <c r="H375" s="105" t="n">
        <v>15</v>
      </c>
      <c r="I375" s="105" t="n">
        <v>5</v>
      </c>
      <c r="J375" s="105">
        <f>IF(OR(UPPER(C375)="SERVIÇO",UPPER(C375)="SERVICO"),"SERVIÇO",IF(H375&lt;=0,"ZERADO",IF(H375&lt;=I375,"ESTOQUE BAIXO","NORMAL")))</f>
        <v/>
      </c>
      <c r="K375" s="107">
        <f>IF(OR(UPPER(C375)="SERVIÇO",UPPER(C375)="SERVICO"),0,N(H375)*N(E375))</f>
        <v/>
      </c>
      <c r="L375" s="107">
        <f>IF(OR(UPPER(C375)="SERVIÇO",UPPER(C375)="SERVICO"),0,N(H375)*N(G375))</f>
        <v/>
      </c>
      <c r="M375" s="107">
        <f>IF(OR(UPPER(C375)="SERVIÇO",UPPER(C375)="SERVICO"),0,L375-K375)</f>
        <v/>
      </c>
    </row>
    <row r="376" ht="15" customHeight="1">
      <c r="B376" s="105" t="n">
        <v>365</v>
      </c>
      <c r="C376" s="105" t="inlineStr">
        <is>
          <t>Produto</t>
        </is>
      </c>
      <c r="D376" s="106" t="inlineStr">
        <is>
          <t>Raquete de tênis com ajuste laranja tam. 40</t>
        </is>
      </c>
      <c r="E376" s="107" t="n">
        <v>279.66</v>
      </c>
      <c r="F376" s="108" t="n">
        <v>50</v>
      </c>
      <c r="G376" s="107">
        <f>ROUND(E376*(1+IF(ABS(F376)&lt;=1,F376,F376/100)),2)</f>
        <v/>
      </c>
      <c r="H376" s="105" t="n">
        <v>15</v>
      </c>
      <c r="I376" s="105" t="n">
        <v>5</v>
      </c>
      <c r="J376" s="105">
        <f>IF(OR(UPPER(C376)="SERVIÇO",UPPER(C376)="SERVICO"),"SERVIÇO",IF(H376&lt;=0,"ZERADO",IF(H376&lt;=I376,"ESTOQUE BAIXO","NORMAL")))</f>
        <v/>
      </c>
      <c r="K376" s="107">
        <f>IF(OR(UPPER(C376)="SERVIÇO",UPPER(C376)="SERVICO"),0,N(H376)*N(E376))</f>
        <v/>
      </c>
      <c r="L376" s="107">
        <f>IF(OR(UPPER(C376)="SERVIÇO",UPPER(C376)="SERVICO"),0,N(H376)*N(G376))</f>
        <v/>
      </c>
      <c r="M376" s="107">
        <f>IF(OR(UPPER(C376)="SERVIÇO",UPPER(C376)="SERVICO"),0,L376-K376)</f>
        <v/>
      </c>
    </row>
    <row r="377" ht="15" customHeight="1">
      <c r="B377" s="105" t="n">
        <v>366</v>
      </c>
      <c r="C377" s="105" t="inlineStr">
        <is>
          <t>Produto</t>
        </is>
      </c>
      <c r="D377" s="106" t="inlineStr">
        <is>
          <t>Kettlebell recreativo branco</t>
        </is>
      </c>
      <c r="E377" s="107" t="n">
        <v>210.85</v>
      </c>
      <c r="F377" s="108" t="n">
        <v>50</v>
      </c>
      <c r="G377" s="107">
        <f>ROUND(E377*(1+IF(ABS(F377)&lt;=1,F377,F377/100)),2)</f>
        <v/>
      </c>
      <c r="H377" s="105" t="n">
        <v>15</v>
      </c>
      <c r="I377" s="105" t="n">
        <v>5</v>
      </c>
      <c r="J377" s="105">
        <f>IF(OR(UPPER(C377)="SERVIÇO",UPPER(C377)="SERVICO"),"SERVIÇO",IF(H377&lt;=0,"ZERADO",IF(H377&lt;=I377,"ESTOQUE BAIXO","NORMAL")))</f>
        <v/>
      </c>
      <c r="K377" s="107">
        <f>IF(OR(UPPER(C377)="SERVIÇO",UPPER(C377)="SERVICO"),0,N(H377)*N(E377))</f>
        <v/>
      </c>
      <c r="L377" s="107">
        <f>IF(OR(UPPER(C377)="SERVIÇO",UPPER(C377)="SERVICO"),0,N(H377)*N(G377))</f>
        <v/>
      </c>
      <c r="M377" s="107">
        <f>IF(OR(UPPER(C377)="SERVIÇO",UPPER(C377)="SERVICO"),0,L377-K377)</f>
        <v/>
      </c>
    </row>
    <row r="378" ht="15" customHeight="1">
      <c r="B378" s="105" t="n">
        <v>367</v>
      </c>
      <c r="C378" s="105" t="inlineStr">
        <is>
          <t>Produto</t>
        </is>
      </c>
      <c r="D378" s="106" t="inlineStr">
        <is>
          <t>Halter para uso diário vermelho</t>
        </is>
      </c>
      <c r="E378" s="107" t="n">
        <v>116.91</v>
      </c>
      <c r="F378" s="108" t="n">
        <v>50</v>
      </c>
      <c r="G378" s="107">
        <f>ROUND(E378*(1+IF(ABS(F378)&lt;=1,F378,F378/100)),2)</f>
        <v/>
      </c>
      <c r="H378" s="105" t="n">
        <v>15</v>
      </c>
      <c r="I378" s="105" t="n">
        <v>5</v>
      </c>
      <c r="J378" s="105">
        <f>IF(OR(UPPER(C378)="SERVIÇO",UPPER(C378)="SERVICO"),"SERVIÇO",IF(H378&lt;=0,"ZERADO",IF(H378&lt;=I378,"ESTOQUE BAIXO","NORMAL")))</f>
        <v/>
      </c>
      <c r="K378" s="107">
        <f>IF(OR(UPPER(C378)="SERVIÇO",UPPER(C378)="SERVICO"),0,N(H378)*N(E378))</f>
        <v/>
      </c>
      <c r="L378" s="107">
        <f>IF(OR(UPPER(C378)="SERVIÇO",UPPER(C378)="SERVICO"),0,N(H378)*N(G378))</f>
        <v/>
      </c>
      <c r="M378" s="107">
        <f>IF(OR(UPPER(C378)="SERVIÇO",UPPER(C378)="SERVICO"),0,L378-K378)</f>
        <v/>
      </c>
    </row>
    <row r="379" ht="15" customHeight="1">
      <c r="B379" s="105" t="n">
        <v>368</v>
      </c>
      <c r="C379" s="105" t="inlineStr">
        <is>
          <t>Produto</t>
        </is>
      </c>
      <c r="D379" s="106" t="inlineStr">
        <is>
          <t>Relógio esportivo treino branco</t>
        </is>
      </c>
      <c r="E379" s="107" t="n">
        <v>408.04</v>
      </c>
      <c r="F379" s="108" t="n">
        <v>50</v>
      </c>
      <c r="G379" s="107">
        <f>ROUND(E379*(1+IF(ABS(F379)&lt;=1,F379,F379/100)),2)</f>
        <v/>
      </c>
      <c r="H379" s="105" t="n">
        <v>15</v>
      </c>
      <c r="I379" s="105" t="n">
        <v>5</v>
      </c>
      <c r="J379" s="105">
        <f>IF(OR(UPPER(C379)="SERVIÇO",UPPER(C379)="SERVICO"),"SERVIÇO",IF(H379&lt;=0,"ZERADO",IF(H379&lt;=I379,"ESTOQUE BAIXO","NORMAL")))</f>
        <v/>
      </c>
      <c r="K379" s="107">
        <f>IF(OR(UPPER(C379)="SERVIÇO",UPPER(C379)="SERVICO"),0,N(H379)*N(E379))</f>
        <v/>
      </c>
      <c r="L379" s="107">
        <f>IF(OR(UPPER(C379)="SERVIÇO",UPPER(C379)="SERVICO"),0,N(H379)*N(G379))</f>
        <v/>
      </c>
      <c r="M379" s="107">
        <f>IF(OR(UPPER(C379)="SERVIÇO",UPPER(C379)="SERVICO"),0,L379-K379)</f>
        <v/>
      </c>
    </row>
    <row r="380" ht="15" customHeight="1">
      <c r="B380" s="105" t="n">
        <v>369</v>
      </c>
      <c r="C380" s="105" t="inlineStr">
        <is>
          <t>Produto</t>
        </is>
      </c>
      <c r="D380" s="106" t="inlineStr">
        <is>
          <t>Tênis para quadra com ajuste verde tam. G</t>
        </is>
      </c>
      <c r="E380" s="107" t="n">
        <v>116.86</v>
      </c>
      <c r="F380" s="108" t="n">
        <v>50</v>
      </c>
      <c r="G380" s="107">
        <f>ROUND(E380*(1+IF(ABS(F380)&lt;=1,F380,F380/100)),2)</f>
        <v/>
      </c>
      <c r="H380" s="105" t="n">
        <v>15</v>
      </c>
      <c r="I380" s="105" t="n">
        <v>5</v>
      </c>
      <c r="J380" s="105">
        <f>IF(OR(UPPER(C380)="SERVIÇO",UPPER(C380)="SERVICO"),"SERVIÇO",IF(H380&lt;=0,"ZERADO",IF(H380&lt;=I380,"ESTOQUE BAIXO","NORMAL")))</f>
        <v/>
      </c>
      <c r="K380" s="107">
        <f>IF(OR(UPPER(C380)="SERVIÇO",UPPER(C380)="SERVICO"),0,N(H380)*N(E380))</f>
        <v/>
      </c>
      <c r="L380" s="107">
        <f>IF(OR(UPPER(C380)="SERVIÇO",UPPER(C380)="SERVICO"),0,N(H380)*N(G380))</f>
        <v/>
      </c>
      <c r="M380" s="107">
        <f>IF(OR(UPPER(C380)="SERVIÇO",UPPER(C380)="SERVICO"),0,L380-K380)</f>
        <v/>
      </c>
    </row>
    <row r="381" ht="15" customHeight="1">
      <c r="B381" s="105" t="n">
        <v>370</v>
      </c>
      <c r="C381" s="105" t="inlineStr">
        <is>
          <t>Produto</t>
        </is>
      </c>
      <c r="D381" s="106" t="inlineStr">
        <is>
          <t>Garrafa squeeze versão 2026 laranja</t>
        </is>
      </c>
      <c r="E381" s="107" t="n">
        <v>21.6</v>
      </c>
      <c r="F381" s="108" t="n">
        <v>50</v>
      </c>
      <c r="G381" s="107">
        <f>ROUND(E381*(1+IF(ABS(F381)&lt;=1,F381,F381/100)),2)</f>
        <v/>
      </c>
      <c r="H381" s="105" t="n">
        <v>15</v>
      </c>
      <c r="I381" s="105" t="n">
        <v>5</v>
      </c>
      <c r="J381" s="105">
        <f>IF(OR(UPPER(C381)="SERVIÇO",UPPER(C381)="SERVICO"),"SERVIÇO",IF(H381&lt;=0,"ZERADO",IF(H381&lt;=I381,"ESTOQUE BAIXO","NORMAL")))</f>
        <v/>
      </c>
      <c r="K381" s="107">
        <f>IF(OR(UPPER(C381)="SERVIÇO",UPPER(C381)="SERVICO"),0,N(H381)*N(E381))</f>
        <v/>
      </c>
      <c r="L381" s="107">
        <f>IF(OR(UPPER(C381)="SERVIÇO",UPPER(C381)="SERVICO"),0,N(H381)*N(G381))</f>
        <v/>
      </c>
      <c r="M381" s="107">
        <f>IF(OR(UPPER(C381)="SERVIÇO",UPPER(C381)="SERVICO"),0,L381-K381)</f>
        <v/>
      </c>
    </row>
    <row r="382" ht="15" customHeight="1">
      <c r="B382" s="105" t="n">
        <v>371</v>
      </c>
      <c r="C382" s="105" t="inlineStr">
        <is>
          <t>Produto</t>
        </is>
      </c>
      <c r="D382" s="106" t="inlineStr">
        <is>
          <t>Camiseta esportiva unissex branco tam. GG</t>
        </is>
      </c>
      <c r="E382" s="107" t="n">
        <v>95.78</v>
      </c>
      <c r="F382" s="108" t="n">
        <v>50</v>
      </c>
      <c r="G382" s="107">
        <f>ROUND(E382*(1+IF(ABS(F382)&lt;=1,F382,F382/100)),2)</f>
        <v/>
      </c>
      <c r="H382" s="105" t="n">
        <v>15</v>
      </c>
      <c r="I382" s="105" t="n">
        <v>5</v>
      </c>
      <c r="J382" s="105">
        <f>IF(OR(UPPER(C382)="SERVIÇO",UPPER(C382)="SERVICO"),"SERVIÇO",IF(H382&lt;=0,"ZERADO",IF(H382&lt;=I382,"ESTOQUE BAIXO","NORMAL")))</f>
        <v/>
      </c>
      <c r="K382" s="107">
        <f>IF(OR(UPPER(C382)="SERVIÇO",UPPER(C382)="SERVICO"),0,N(H382)*N(E382))</f>
        <v/>
      </c>
      <c r="L382" s="107">
        <f>IF(OR(UPPER(C382)="SERVIÇO",UPPER(C382)="SERVICO"),0,N(H382)*N(G382))</f>
        <v/>
      </c>
      <c r="M382" s="107">
        <f>IF(OR(UPPER(C382)="SERVIÇO",UPPER(C382)="SERVICO"),0,L382-K382)</f>
        <v/>
      </c>
    </row>
    <row r="383" ht="15" customHeight="1">
      <c r="B383" s="105" t="n">
        <v>372</v>
      </c>
      <c r="C383" s="105" t="inlineStr">
        <is>
          <t>Produto</t>
        </is>
      </c>
      <c r="D383" s="106" t="inlineStr">
        <is>
          <t>Óculos esportivos com ajuste rosa</t>
        </is>
      </c>
      <c r="E383" s="107" t="n">
        <v>372.05</v>
      </c>
      <c r="F383" s="108" t="n">
        <v>50</v>
      </c>
      <c r="G383" s="107">
        <f>ROUND(E383*(1+IF(ABS(F383)&lt;=1,F383,F383/100)),2)</f>
        <v/>
      </c>
      <c r="H383" s="105" t="n">
        <v>15</v>
      </c>
      <c r="I383" s="105" t="n">
        <v>5</v>
      </c>
      <c r="J383" s="105">
        <f>IF(OR(UPPER(C383)="SERVIÇO",UPPER(C383)="SERVICO"),"SERVIÇO",IF(H383&lt;=0,"ZERADO",IF(H383&lt;=I383,"ESTOQUE BAIXO","NORMAL")))</f>
        <v/>
      </c>
      <c r="K383" s="107">
        <f>IF(OR(UPPER(C383)="SERVIÇO",UPPER(C383)="SERVICO"),0,N(H383)*N(E383))</f>
        <v/>
      </c>
      <c r="L383" s="107">
        <f>IF(OR(UPPER(C383)="SERVIÇO",UPPER(C383)="SERVICO"),0,N(H383)*N(G383))</f>
        <v/>
      </c>
      <c r="M383" s="107">
        <f>IF(OR(UPPER(C383)="SERVIÇO",UPPER(C383)="SERVICO"),0,L383-K383)</f>
        <v/>
      </c>
    </row>
    <row r="384" ht="15" customHeight="1">
      <c r="B384" s="105" t="n">
        <v>373</v>
      </c>
      <c r="C384" s="105" t="inlineStr">
        <is>
          <t>Produto</t>
        </is>
      </c>
      <c r="D384" s="106" t="inlineStr">
        <is>
          <t>Óculos esportivos profissional laranja</t>
        </is>
      </c>
      <c r="E384" s="107" t="n">
        <v>224.09</v>
      </c>
      <c r="F384" s="108" t="n">
        <v>50</v>
      </c>
      <c r="G384" s="107">
        <f>ROUND(E384*(1+IF(ABS(F384)&lt;=1,F384,F384/100)),2)</f>
        <v/>
      </c>
      <c r="H384" s="105" t="n">
        <v>15</v>
      </c>
      <c r="I384" s="105" t="n">
        <v>5</v>
      </c>
      <c r="J384" s="105">
        <f>IF(OR(UPPER(C384)="SERVIÇO",UPPER(C384)="SERVICO"),"SERVIÇO",IF(H384&lt;=0,"ZERADO",IF(H384&lt;=I384,"ESTOQUE BAIXO","NORMAL")))</f>
        <v/>
      </c>
      <c r="K384" s="107">
        <f>IF(OR(UPPER(C384)="SERVIÇO",UPPER(C384)="SERVICO"),0,N(H384)*N(E384))</f>
        <v/>
      </c>
      <c r="L384" s="107">
        <f>IF(OR(UPPER(C384)="SERVIÇO",UPPER(C384)="SERVICO"),0,N(H384)*N(G384))</f>
        <v/>
      </c>
      <c r="M384" s="107">
        <f>IF(OR(UPPER(C384)="SERVIÇO",UPPER(C384)="SERVICO"),0,L384-K384)</f>
        <v/>
      </c>
    </row>
    <row r="385" ht="15" customHeight="1">
      <c r="B385" s="105" t="n">
        <v>374</v>
      </c>
      <c r="C385" s="105" t="inlineStr">
        <is>
          <t>Produto</t>
        </is>
      </c>
      <c r="D385" s="106" t="inlineStr">
        <is>
          <t>Meias esportivas unissex branco tam. P</t>
        </is>
      </c>
      <c r="E385" s="107" t="n">
        <v>7.76</v>
      </c>
      <c r="F385" s="108" t="n">
        <v>50</v>
      </c>
      <c r="G385" s="107">
        <f>ROUND(E385*(1+IF(ABS(F385)&lt;=1,F385,F385/100)),2)</f>
        <v/>
      </c>
      <c r="H385" s="105" t="n">
        <v>15</v>
      </c>
      <c r="I385" s="105" t="n">
        <v>5</v>
      </c>
      <c r="J385" s="105">
        <f>IF(OR(UPPER(C385)="SERVIÇO",UPPER(C385)="SERVICO"),"SERVIÇO",IF(H385&lt;=0,"ZERADO",IF(H385&lt;=I385,"ESTOQUE BAIXO","NORMAL")))</f>
        <v/>
      </c>
      <c r="K385" s="107">
        <f>IF(OR(UPPER(C385)="SERVIÇO",UPPER(C385)="SERVICO"),0,N(H385)*N(E385))</f>
        <v/>
      </c>
      <c r="L385" s="107">
        <f>IF(OR(UPPER(C385)="SERVIÇO",UPPER(C385)="SERVICO"),0,N(H385)*N(G385))</f>
        <v/>
      </c>
      <c r="M385" s="107">
        <f>IF(OR(UPPER(C385)="SERVIÇO",UPPER(C385)="SERVICO"),0,L385-K385)</f>
        <v/>
      </c>
    </row>
    <row r="386" ht="15" customHeight="1">
      <c r="B386" s="105" t="n">
        <v>375</v>
      </c>
      <c r="C386" s="105" t="inlineStr">
        <is>
          <t>Produto</t>
        </is>
      </c>
      <c r="D386" s="106" t="inlineStr">
        <is>
          <t>Óculos esportivos ergonômico cinza</t>
        </is>
      </c>
      <c r="E386" s="107" t="n">
        <v>236.47</v>
      </c>
      <c r="F386" s="108" t="n">
        <v>50</v>
      </c>
      <c r="G386" s="107">
        <f>ROUND(E386*(1+IF(ABS(F386)&lt;=1,F386,F386/100)),2)</f>
        <v/>
      </c>
      <c r="H386" s="105" t="n">
        <v>15</v>
      </c>
      <c r="I386" s="105" t="n">
        <v>5</v>
      </c>
      <c r="J386" s="105">
        <f>IF(OR(UPPER(C386)="SERVIÇO",UPPER(C386)="SERVICO"),"SERVIÇO",IF(H386&lt;=0,"ZERADO",IF(H386&lt;=I386,"ESTOQUE BAIXO","NORMAL")))</f>
        <v/>
      </c>
      <c r="K386" s="107">
        <f>IF(OR(UPPER(C386)="SERVIÇO",UPPER(C386)="SERVICO"),0,N(H386)*N(E386))</f>
        <v/>
      </c>
      <c r="L386" s="107">
        <f>IF(OR(UPPER(C386)="SERVIÇO",UPPER(C386)="SERVICO"),0,N(H386)*N(G386))</f>
        <v/>
      </c>
      <c r="M386" s="107">
        <f>IF(OR(UPPER(C386)="SERVIÇO",UPPER(C386)="SERVICO"),0,L386-K386)</f>
        <v/>
      </c>
    </row>
    <row r="387" ht="15" customHeight="1">
      <c r="B387" s="105" t="n">
        <v>376</v>
      </c>
      <c r="C387" s="105" t="inlineStr">
        <is>
          <t>Produto</t>
        </is>
      </c>
      <c r="D387" s="106" t="inlineStr">
        <is>
          <t>Tênis de corrida recreativo cinza tam. 36</t>
        </is>
      </c>
      <c r="E387" s="107" t="n">
        <v>479.51</v>
      </c>
      <c r="F387" s="108" t="n">
        <v>50</v>
      </c>
      <c r="G387" s="107">
        <f>ROUND(E387*(1+IF(ABS(F387)&lt;=1,F387,F387/100)),2)</f>
        <v/>
      </c>
      <c r="H387" s="105" t="n">
        <v>15</v>
      </c>
      <c r="I387" s="105" t="n">
        <v>5</v>
      </c>
      <c r="J387" s="105">
        <f>IF(OR(UPPER(C387)="SERVIÇO",UPPER(C387)="SERVICO"),"SERVIÇO",IF(H387&lt;=0,"ZERADO",IF(H387&lt;=I387,"ESTOQUE BAIXO","NORMAL")))</f>
        <v/>
      </c>
      <c r="K387" s="107">
        <f>IF(OR(UPPER(C387)="SERVIÇO",UPPER(C387)="SERVICO"),0,N(H387)*N(E387))</f>
        <v/>
      </c>
      <c r="L387" s="107">
        <f>IF(OR(UPPER(C387)="SERVIÇO",UPPER(C387)="SERVICO"),0,N(H387)*N(G387))</f>
        <v/>
      </c>
      <c r="M387" s="107">
        <f>IF(OR(UPPER(C387)="SERVIÇO",UPPER(C387)="SERVICO"),0,L387-K387)</f>
        <v/>
      </c>
    </row>
    <row r="388" ht="15" customHeight="1">
      <c r="B388" s="105" t="n">
        <v>377</v>
      </c>
      <c r="C388" s="105" t="inlineStr">
        <is>
          <t>Produto</t>
        </is>
      </c>
      <c r="D388" s="106" t="inlineStr">
        <is>
          <t>Tapete de yoga para uso diário preto</t>
        </is>
      </c>
      <c r="E388" s="107" t="n">
        <v>112.9</v>
      </c>
      <c r="F388" s="108" t="n">
        <v>50</v>
      </c>
      <c r="G388" s="107">
        <f>ROUND(E388*(1+IF(ABS(F388)&lt;=1,F388,F388/100)),2)</f>
        <v/>
      </c>
      <c r="H388" s="105" t="n">
        <v>15</v>
      </c>
      <c r="I388" s="105" t="n">
        <v>5</v>
      </c>
      <c r="J388" s="105">
        <f>IF(OR(UPPER(C388)="SERVIÇO",UPPER(C388)="SERVICO"),"SERVIÇO",IF(H388&lt;=0,"ZERADO",IF(H388&lt;=I388,"ESTOQUE BAIXO","NORMAL")))</f>
        <v/>
      </c>
      <c r="K388" s="107">
        <f>IF(OR(UPPER(C388)="SERVIÇO",UPPER(C388)="SERVICO"),0,N(H388)*N(E388))</f>
        <v/>
      </c>
      <c r="L388" s="107">
        <f>IF(OR(UPPER(C388)="SERVIÇO",UPPER(C388)="SERVICO"),0,N(H388)*N(G388))</f>
        <v/>
      </c>
      <c r="M388" s="107">
        <f>IF(OR(UPPER(C388)="SERVIÇO",UPPER(C388)="SERVICO"),0,L388-K388)</f>
        <v/>
      </c>
    </row>
    <row r="389" ht="15" customHeight="1">
      <c r="B389" s="105" t="n">
        <v>378</v>
      </c>
      <c r="C389" s="105" t="inlineStr">
        <is>
          <t>Produto</t>
        </is>
      </c>
      <c r="D389" s="106" t="inlineStr">
        <is>
          <t>Short esportivo ventilado cinza tam. M</t>
        </is>
      </c>
      <c r="E389" s="107" t="n">
        <v>52.71</v>
      </c>
      <c r="F389" s="108" t="n">
        <v>50</v>
      </c>
      <c r="G389" s="107">
        <f>ROUND(E389*(1+IF(ABS(F389)&lt;=1,F389,F389/100)),2)</f>
        <v/>
      </c>
      <c r="H389" s="105" t="n">
        <v>15</v>
      </c>
      <c r="I389" s="105" t="n">
        <v>5</v>
      </c>
      <c r="J389" s="105">
        <f>IF(OR(UPPER(C389)="SERVIÇO",UPPER(C389)="SERVICO"),"SERVIÇO",IF(H389&lt;=0,"ZERADO",IF(H389&lt;=I389,"ESTOQUE BAIXO","NORMAL")))</f>
        <v/>
      </c>
      <c r="K389" s="107">
        <f>IF(OR(UPPER(C389)="SERVIÇO",UPPER(C389)="SERVICO"),0,N(H389)*N(E389))</f>
        <v/>
      </c>
      <c r="L389" s="107">
        <f>IF(OR(UPPER(C389)="SERVIÇO",UPPER(C389)="SERVICO"),0,N(H389)*N(G389))</f>
        <v/>
      </c>
      <c r="M389" s="107">
        <f>IF(OR(UPPER(C389)="SERVIÇO",UPPER(C389)="SERVICO"),0,L389-K389)</f>
        <v/>
      </c>
    </row>
    <row r="390" ht="15" customHeight="1">
      <c r="B390" s="105" t="n">
        <v>379</v>
      </c>
      <c r="C390" s="105" t="inlineStr">
        <is>
          <t>Produto</t>
        </is>
      </c>
      <c r="D390" s="106" t="inlineStr">
        <is>
          <t>Bicicleta urbana premium azul</t>
        </is>
      </c>
      <c r="E390" s="107" t="n">
        <v>958.5700000000001</v>
      </c>
      <c r="F390" s="108" t="n">
        <v>50</v>
      </c>
      <c r="G390" s="107">
        <f>ROUND(E390*(1+IF(ABS(F390)&lt;=1,F390,F390/100)),2)</f>
        <v/>
      </c>
      <c r="H390" s="105" t="n">
        <v>15</v>
      </c>
      <c r="I390" s="105" t="n">
        <v>5</v>
      </c>
      <c r="J390" s="105">
        <f>IF(OR(UPPER(C390)="SERVIÇO",UPPER(C390)="SERVICO"),"SERVIÇO",IF(H390&lt;=0,"ZERADO",IF(H390&lt;=I390,"ESTOQUE BAIXO","NORMAL")))</f>
        <v/>
      </c>
      <c r="K390" s="107">
        <f>IF(OR(UPPER(C390)="SERVIÇO",UPPER(C390)="SERVICO"),0,N(H390)*N(E390))</f>
        <v/>
      </c>
      <c r="L390" s="107">
        <f>IF(OR(UPPER(C390)="SERVIÇO",UPPER(C390)="SERVICO"),0,N(H390)*N(G390))</f>
        <v/>
      </c>
      <c r="M390" s="107">
        <f>IF(OR(UPPER(C390)="SERVIÇO",UPPER(C390)="SERVICO"),0,L390-K390)</f>
        <v/>
      </c>
    </row>
    <row r="391" ht="15" customHeight="1">
      <c r="B391" s="105" t="n">
        <v>380</v>
      </c>
      <c r="C391" s="105" t="inlineStr">
        <is>
          <t>Produto</t>
        </is>
      </c>
      <c r="D391" s="106" t="inlineStr">
        <is>
          <t>Tênis de corrida modelo avançado branco tam. 42</t>
        </is>
      </c>
      <c r="E391" s="107" t="n">
        <v>568.8099999999999</v>
      </c>
      <c r="F391" s="108" t="n">
        <v>50</v>
      </c>
      <c r="G391" s="107">
        <f>ROUND(E391*(1+IF(ABS(F391)&lt;=1,F391,F391/100)),2)</f>
        <v/>
      </c>
      <c r="H391" s="105" t="n">
        <v>15</v>
      </c>
      <c r="I391" s="105" t="n">
        <v>5</v>
      </c>
      <c r="J391" s="105">
        <f>IF(OR(UPPER(C391)="SERVIÇO",UPPER(C391)="SERVICO"),"SERVIÇO",IF(H391&lt;=0,"ZERADO",IF(H391&lt;=I391,"ESTOQUE BAIXO","NORMAL")))</f>
        <v/>
      </c>
      <c r="K391" s="107">
        <f>IF(OR(UPPER(C391)="SERVIÇO",UPPER(C391)="SERVICO"),0,N(H391)*N(E391))</f>
        <v/>
      </c>
      <c r="L391" s="107">
        <f>IF(OR(UPPER(C391)="SERVIÇO",UPPER(C391)="SERVICO"),0,N(H391)*N(G391))</f>
        <v/>
      </c>
      <c r="M391" s="107">
        <f>IF(OR(UPPER(C391)="SERVIÇO",UPPER(C391)="SERVICO"),0,L391-K391)</f>
        <v/>
      </c>
    </row>
    <row r="392" ht="15" customHeight="1">
      <c r="B392" s="105" t="n">
        <v>381</v>
      </c>
      <c r="C392" s="105" t="inlineStr">
        <is>
          <t>Produto</t>
        </is>
      </c>
      <c r="D392" s="106" t="inlineStr">
        <is>
          <t>Step de ginástica reforçado laranja</t>
        </is>
      </c>
      <c r="E392" s="107" t="n">
        <v>179.96</v>
      </c>
      <c r="F392" s="108" t="n">
        <v>50</v>
      </c>
      <c r="G392" s="107">
        <f>ROUND(E392*(1+IF(ABS(F392)&lt;=1,F392,F392/100)),2)</f>
        <v/>
      </c>
      <c r="H392" s="105" t="n">
        <v>15</v>
      </c>
      <c r="I392" s="105" t="n">
        <v>5</v>
      </c>
      <c r="J392" s="105">
        <f>IF(OR(UPPER(C392)="SERVIÇO",UPPER(C392)="SERVICO"),"SERVIÇO",IF(H392&lt;=0,"ZERADO",IF(H392&lt;=I392,"ESTOQUE BAIXO","NORMAL")))</f>
        <v/>
      </c>
      <c r="K392" s="107">
        <f>IF(OR(UPPER(C392)="SERVIÇO",UPPER(C392)="SERVICO"),0,N(H392)*N(E392))</f>
        <v/>
      </c>
      <c r="L392" s="107">
        <f>IF(OR(UPPER(C392)="SERVIÇO",UPPER(C392)="SERVICO"),0,N(H392)*N(G392))</f>
        <v/>
      </c>
      <c r="M392" s="107">
        <f>IF(OR(UPPER(C392)="SERVIÇO",UPPER(C392)="SERVICO"),0,L392-K392)</f>
        <v/>
      </c>
    </row>
    <row r="393" ht="15" customHeight="1">
      <c r="B393" s="105" t="n">
        <v>382</v>
      </c>
      <c r="C393" s="105" t="inlineStr">
        <is>
          <t>Produto</t>
        </is>
      </c>
      <c r="D393" s="106" t="inlineStr">
        <is>
          <t>Bola de vôlei recreativo branco</t>
        </is>
      </c>
      <c r="E393" s="107" t="n">
        <v>91.48</v>
      </c>
      <c r="F393" s="108" t="n">
        <v>50</v>
      </c>
      <c r="G393" s="107">
        <f>ROUND(E393*(1+IF(ABS(F393)&lt;=1,F393,F393/100)),2)</f>
        <v/>
      </c>
      <c r="H393" s="105" t="n">
        <v>15</v>
      </c>
      <c r="I393" s="105" t="n">
        <v>5</v>
      </c>
      <c r="J393" s="105">
        <f>IF(OR(UPPER(C393)="SERVIÇO",UPPER(C393)="SERVICO"),"SERVIÇO",IF(H393&lt;=0,"ZERADO",IF(H393&lt;=I393,"ESTOQUE BAIXO","NORMAL")))</f>
        <v/>
      </c>
      <c r="K393" s="107">
        <f>IF(OR(UPPER(C393)="SERVIÇO",UPPER(C393)="SERVICO"),0,N(H393)*N(E393))</f>
        <v/>
      </c>
      <c r="L393" s="107">
        <f>IF(OR(UPPER(C393)="SERVIÇO",UPPER(C393)="SERVICO"),0,N(H393)*N(G393))</f>
        <v/>
      </c>
      <c r="M393" s="107">
        <f>IF(OR(UPPER(C393)="SERVIÇO",UPPER(C393)="SERVICO"),0,L393-K393)</f>
        <v/>
      </c>
    </row>
    <row r="394" ht="15" customHeight="1">
      <c r="B394" s="105" t="n">
        <v>383</v>
      </c>
      <c r="C394" s="105" t="inlineStr">
        <is>
          <t>Produto</t>
        </is>
      </c>
      <c r="D394" s="106" t="inlineStr">
        <is>
          <t>Monitor cardíaco recreativo vermelho</t>
        </is>
      </c>
      <c r="E394" s="107" t="n">
        <v>233.01</v>
      </c>
      <c r="F394" s="108" t="n">
        <v>50</v>
      </c>
      <c r="G394" s="107">
        <f>ROUND(E394*(1+IF(ABS(F394)&lt;=1,F394,F394/100)),2)</f>
        <v/>
      </c>
      <c r="H394" s="105" t="n">
        <v>15</v>
      </c>
      <c r="I394" s="105" t="n">
        <v>5</v>
      </c>
      <c r="J394" s="105">
        <f>IF(OR(UPPER(C394)="SERVIÇO",UPPER(C394)="SERVICO"),"SERVIÇO",IF(H394&lt;=0,"ZERADO",IF(H394&lt;=I394,"ESTOQUE BAIXO","NORMAL")))</f>
        <v/>
      </c>
      <c r="K394" s="107">
        <f>IF(OR(UPPER(C394)="SERVIÇO",UPPER(C394)="SERVICO"),0,N(H394)*N(E394))</f>
        <v/>
      </c>
      <c r="L394" s="107">
        <f>IF(OR(UPPER(C394)="SERVIÇO",UPPER(C394)="SERVICO"),0,N(H394)*N(G394))</f>
        <v/>
      </c>
      <c r="M394" s="107">
        <f>IF(OR(UPPER(C394)="SERVIÇO",UPPER(C394)="SERVICO"),0,L394-K394)</f>
        <v/>
      </c>
    </row>
    <row r="395" ht="15" customHeight="1">
      <c r="B395" s="105" t="n">
        <v>384</v>
      </c>
      <c r="C395" s="105" t="inlineStr">
        <is>
          <t>Produto</t>
        </is>
      </c>
      <c r="D395" s="106" t="inlineStr">
        <is>
          <t>Kimono de judô leve laranja tam. 44</t>
        </is>
      </c>
      <c r="E395" s="107" t="n">
        <v>281.74</v>
      </c>
      <c r="F395" s="108" t="n">
        <v>50</v>
      </c>
      <c r="G395" s="107">
        <f>ROUND(E395*(1+IF(ABS(F395)&lt;=1,F395,F395/100)),2)</f>
        <v/>
      </c>
      <c r="H395" s="105" t="n">
        <v>15</v>
      </c>
      <c r="I395" s="105" t="n">
        <v>5</v>
      </c>
      <c r="J395" s="105">
        <f>IF(OR(UPPER(C395)="SERVIÇO",UPPER(C395)="SERVICO"),"SERVIÇO",IF(H395&lt;=0,"ZERADO",IF(H395&lt;=I395,"ESTOQUE BAIXO","NORMAL")))</f>
        <v/>
      </c>
      <c r="K395" s="107">
        <f>IF(OR(UPPER(C395)="SERVIÇO",UPPER(C395)="SERVICO"),0,N(H395)*N(E395))</f>
        <v/>
      </c>
      <c r="L395" s="107">
        <f>IF(OR(UPPER(C395)="SERVIÇO",UPPER(C395)="SERVICO"),0,N(H395)*N(G395))</f>
        <v/>
      </c>
      <c r="M395" s="107">
        <f>IF(OR(UPPER(C395)="SERVIÇO",UPPER(C395)="SERVICO"),0,L395-K395)</f>
        <v/>
      </c>
    </row>
    <row r="396" ht="15" customHeight="1">
      <c r="B396" s="105" t="n">
        <v>385</v>
      </c>
      <c r="C396" s="105" t="inlineStr">
        <is>
          <t>Produto</t>
        </is>
      </c>
      <c r="D396" s="106" t="inlineStr">
        <is>
          <t>Coqueteleira modelo básico rosa</t>
        </is>
      </c>
      <c r="E396" s="107" t="n">
        <v>41.71</v>
      </c>
      <c r="F396" s="108" t="n">
        <v>50</v>
      </c>
      <c r="G396" s="107">
        <f>ROUND(E396*(1+IF(ABS(F396)&lt;=1,F396,F396/100)),2)</f>
        <v/>
      </c>
      <c r="H396" s="105" t="n">
        <v>15</v>
      </c>
      <c r="I396" s="105" t="n">
        <v>5</v>
      </c>
      <c r="J396" s="105">
        <f>IF(OR(UPPER(C396)="SERVIÇO",UPPER(C396)="SERVICO"),"SERVIÇO",IF(H396&lt;=0,"ZERADO",IF(H396&lt;=I396,"ESTOQUE BAIXO","NORMAL")))</f>
        <v/>
      </c>
      <c r="K396" s="107">
        <f>IF(OR(UPPER(C396)="SERVIÇO",UPPER(C396)="SERVICO"),0,N(H396)*N(E396))</f>
        <v/>
      </c>
      <c r="L396" s="107">
        <f>IF(OR(UPPER(C396)="SERVIÇO",UPPER(C396)="SERVICO"),0,N(H396)*N(G396))</f>
        <v/>
      </c>
      <c r="M396" s="107">
        <f>IF(OR(UPPER(C396)="SERVIÇO",UPPER(C396)="SERVICO"),0,L396-K396)</f>
        <v/>
      </c>
    </row>
    <row r="397" ht="15" customHeight="1">
      <c r="B397" s="105" t="n">
        <v>386</v>
      </c>
      <c r="C397" s="105" t="inlineStr">
        <is>
          <t>Produto</t>
        </is>
      </c>
      <c r="D397" s="106" t="inlineStr">
        <is>
          <t>Coqueteleira adulto branco</t>
        </is>
      </c>
      <c r="E397" s="107" t="n">
        <v>25.85</v>
      </c>
      <c r="F397" s="108" t="n">
        <v>50</v>
      </c>
      <c r="G397" s="107">
        <f>ROUND(E397*(1+IF(ABS(F397)&lt;=1,F397,F397/100)),2)</f>
        <v/>
      </c>
      <c r="H397" s="105" t="n">
        <v>15</v>
      </c>
      <c r="I397" s="105" t="n">
        <v>5</v>
      </c>
      <c r="J397" s="105">
        <f>IF(OR(UPPER(C397)="SERVIÇO",UPPER(C397)="SERVICO"),"SERVIÇO",IF(H397&lt;=0,"ZERADO",IF(H397&lt;=I397,"ESTOQUE BAIXO","NORMAL")))</f>
        <v/>
      </c>
      <c r="K397" s="107">
        <f>IF(OR(UPPER(C397)="SERVIÇO",UPPER(C397)="SERVICO"),0,N(H397)*N(E397))</f>
        <v/>
      </c>
      <c r="L397" s="107">
        <f>IF(OR(UPPER(C397)="SERVIÇO",UPPER(C397)="SERVICO"),0,N(H397)*N(G397))</f>
        <v/>
      </c>
      <c r="M397" s="107">
        <f>IF(OR(UPPER(C397)="SERVIÇO",UPPER(C397)="SERVICO"),0,L397-K397)</f>
        <v/>
      </c>
    </row>
    <row r="398" ht="15" customHeight="1">
      <c r="B398" s="105" t="n">
        <v>387</v>
      </c>
      <c r="C398" s="105" t="inlineStr">
        <is>
          <t>Produto</t>
        </is>
      </c>
      <c r="D398" s="106" t="inlineStr">
        <is>
          <t>Tênis para quadra unissex cinza tam. P</t>
        </is>
      </c>
      <c r="E398" s="107" t="n">
        <v>317.9</v>
      </c>
      <c r="F398" s="108" t="n">
        <v>50</v>
      </c>
      <c r="G398" s="107">
        <f>ROUND(E398*(1+IF(ABS(F398)&lt;=1,F398,F398/100)),2)</f>
        <v/>
      </c>
      <c r="H398" s="105" t="n">
        <v>15</v>
      </c>
      <c r="I398" s="105" t="n">
        <v>5</v>
      </c>
      <c r="J398" s="105">
        <f>IF(OR(UPPER(C398)="SERVIÇO",UPPER(C398)="SERVICO"),"SERVIÇO",IF(H398&lt;=0,"ZERADO",IF(H398&lt;=I398,"ESTOQUE BAIXO","NORMAL")))</f>
        <v/>
      </c>
      <c r="K398" s="107">
        <f>IF(OR(UPPER(C398)="SERVIÇO",UPPER(C398)="SERVICO"),0,N(H398)*N(E398))</f>
        <v/>
      </c>
      <c r="L398" s="107">
        <f>IF(OR(UPPER(C398)="SERVIÇO",UPPER(C398)="SERVICO"),0,N(H398)*N(G398))</f>
        <v/>
      </c>
      <c r="M398" s="107">
        <f>IF(OR(UPPER(C398)="SERVIÇO",UPPER(C398)="SERVICO"),0,L398-K398)</f>
        <v/>
      </c>
    </row>
    <row r="399" ht="15" customHeight="1">
      <c r="B399" s="105" t="n">
        <v>388</v>
      </c>
      <c r="C399" s="105" t="inlineStr">
        <is>
          <t>Produto</t>
        </is>
      </c>
      <c r="D399" s="106" t="inlineStr">
        <is>
          <t>Mochila esportiva unissex verde</t>
        </is>
      </c>
      <c r="E399" s="107" t="n">
        <v>183.11</v>
      </c>
      <c r="F399" s="108" t="n">
        <v>50</v>
      </c>
      <c r="G399" s="107">
        <f>ROUND(E399*(1+IF(ABS(F399)&lt;=1,F399,F399/100)),2)</f>
        <v/>
      </c>
      <c r="H399" s="105" t="n">
        <v>15</v>
      </c>
      <c r="I399" s="105" t="n">
        <v>5</v>
      </c>
      <c r="J399" s="105">
        <f>IF(OR(UPPER(C399)="SERVIÇO",UPPER(C399)="SERVICO"),"SERVIÇO",IF(H399&lt;=0,"ZERADO",IF(H399&lt;=I399,"ESTOQUE BAIXO","NORMAL")))</f>
        <v/>
      </c>
      <c r="K399" s="107">
        <f>IF(OR(UPPER(C399)="SERVIÇO",UPPER(C399)="SERVICO"),0,N(H399)*N(E399))</f>
        <v/>
      </c>
      <c r="L399" s="107">
        <f>IF(OR(UPPER(C399)="SERVIÇO",UPPER(C399)="SERVICO"),0,N(H399)*N(G399))</f>
        <v/>
      </c>
      <c r="M399" s="107">
        <f>IF(OR(UPPER(C399)="SERVIÇO",UPPER(C399)="SERVICO"),0,L399-K399)</f>
        <v/>
      </c>
    </row>
    <row r="400" ht="15" customHeight="1">
      <c r="B400" s="105" t="n">
        <v>389</v>
      </c>
      <c r="C400" s="105" t="inlineStr">
        <is>
          <t>Produto</t>
        </is>
      </c>
      <c r="D400" s="106" t="inlineStr">
        <is>
          <t>Luva de boxe leve laranja tam. G</t>
        </is>
      </c>
      <c r="E400" s="107" t="n">
        <v>253.93</v>
      </c>
      <c r="F400" s="108" t="n">
        <v>50</v>
      </c>
      <c r="G400" s="107">
        <f>ROUND(E400*(1+IF(ABS(F400)&lt;=1,F400,F400/100)),2)</f>
        <v/>
      </c>
      <c r="H400" s="105" t="n">
        <v>15</v>
      </c>
      <c r="I400" s="105" t="n">
        <v>5</v>
      </c>
      <c r="J400" s="105">
        <f>IF(OR(UPPER(C400)="SERVIÇO",UPPER(C400)="SERVICO"),"SERVIÇO",IF(H400&lt;=0,"ZERADO",IF(H400&lt;=I400,"ESTOQUE BAIXO","NORMAL")))</f>
        <v/>
      </c>
      <c r="K400" s="107">
        <f>IF(OR(UPPER(C400)="SERVIÇO",UPPER(C400)="SERVICO"),0,N(H400)*N(E400))</f>
        <v/>
      </c>
      <c r="L400" s="107">
        <f>IF(OR(UPPER(C400)="SERVIÇO",UPPER(C400)="SERVICO"),0,N(H400)*N(G400))</f>
        <v/>
      </c>
      <c r="M400" s="107">
        <f>IF(OR(UPPER(C400)="SERVIÇO",UPPER(C400)="SERVICO"),0,L400-K400)</f>
        <v/>
      </c>
    </row>
    <row r="401" ht="15" customHeight="1">
      <c r="B401" s="105" t="n">
        <v>390</v>
      </c>
      <c r="C401" s="105" t="inlineStr">
        <is>
          <t>Produto</t>
        </is>
      </c>
      <c r="D401" s="106" t="inlineStr">
        <is>
          <t>Meias esportivas unissex azul tam. GG</t>
        </is>
      </c>
      <c r="E401" s="107" t="n">
        <v>6.62</v>
      </c>
      <c r="F401" s="108" t="n">
        <v>50</v>
      </c>
      <c r="G401" s="107">
        <f>ROUND(E401*(1+IF(ABS(F401)&lt;=1,F401,F401/100)),2)</f>
        <v/>
      </c>
      <c r="H401" s="105" t="n">
        <v>15</v>
      </c>
      <c r="I401" s="105" t="n">
        <v>5</v>
      </c>
      <c r="J401" s="105">
        <f>IF(OR(UPPER(C401)="SERVIÇO",UPPER(C401)="SERVICO"),"SERVIÇO",IF(H401&lt;=0,"ZERADO",IF(H401&lt;=I401,"ESTOQUE BAIXO","NORMAL")))</f>
        <v/>
      </c>
      <c r="K401" s="107">
        <f>IF(OR(UPPER(C401)="SERVIÇO",UPPER(C401)="SERVICO"),0,N(H401)*N(E401))</f>
        <v/>
      </c>
      <c r="L401" s="107">
        <f>IF(OR(UPPER(C401)="SERVIÇO",UPPER(C401)="SERVICO"),0,N(H401)*N(G401))</f>
        <v/>
      </c>
      <c r="M401" s="107">
        <f>IF(OR(UPPER(C401)="SERVIÇO",UPPER(C401)="SERVICO"),0,L401-K401)</f>
        <v/>
      </c>
    </row>
    <row r="402" ht="15" customHeight="1">
      <c r="B402" s="105" t="n">
        <v>391</v>
      </c>
      <c r="C402" s="105" t="inlineStr">
        <is>
          <t>Produto</t>
        </is>
      </c>
      <c r="D402" s="106" t="inlineStr">
        <is>
          <t>Halter recreativo laranja</t>
        </is>
      </c>
      <c r="E402" s="107" t="n">
        <v>107.23</v>
      </c>
      <c r="F402" s="108" t="n">
        <v>50</v>
      </c>
      <c r="G402" s="107">
        <f>ROUND(E402*(1+IF(ABS(F402)&lt;=1,F402,F402/100)),2)</f>
        <v/>
      </c>
      <c r="H402" s="105" t="n">
        <v>15</v>
      </c>
      <c r="I402" s="105" t="n">
        <v>5</v>
      </c>
      <c r="J402" s="105">
        <f>IF(OR(UPPER(C402)="SERVIÇO",UPPER(C402)="SERVICO"),"SERVIÇO",IF(H402&lt;=0,"ZERADO",IF(H402&lt;=I402,"ESTOQUE BAIXO","NORMAL")))</f>
        <v/>
      </c>
      <c r="K402" s="107">
        <f>IF(OR(UPPER(C402)="SERVIÇO",UPPER(C402)="SERVICO"),0,N(H402)*N(E402))</f>
        <v/>
      </c>
      <c r="L402" s="107">
        <f>IF(OR(UPPER(C402)="SERVIÇO",UPPER(C402)="SERVICO"),0,N(H402)*N(G402))</f>
        <v/>
      </c>
      <c r="M402" s="107">
        <f>IF(OR(UPPER(C402)="SERVIÇO",UPPER(C402)="SERVICO"),0,L402-K402)</f>
        <v/>
      </c>
    </row>
    <row r="403" ht="15" customHeight="1">
      <c r="B403" s="105" t="n">
        <v>392</v>
      </c>
      <c r="C403" s="105" t="inlineStr">
        <is>
          <t>Produto</t>
        </is>
      </c>
      <c r="D403" s="106" t="inlineStr">
        <is>
          <t>Corda de pular versão 2026 rosa</t>
        </is>
      </c>
      <c r="E403" s="107" t="n">
        <v>79.64</v>
      </c>
      <c r="F403" s="108" t="n">
        <v>50</v>
      </c>
      <c r="G403" s="107">
        <f>ROUND(E403*(1+IF(ABS(F403)&lt;=1,F403,F403/100)),2)</f>
        <v/>
      </c>
      <c r="H403" s="105" t="n">
        <v>15</v>
      </c>
      <c r="I403" s="105" t="n">
        <v>5</v>
      </c>
      <c r="J403" s="105">
        <f>IF(OR(UPPER(C403)="SERVIÇO",UPPER(C403)="SERVICO"),"SERVIÇO",IF(H403&lt;=0,"ZERADO",IF(H403&lt;=I403,"ESTOQUE BAIXO","NORMAL")))</f>
        <v/>
      </c>
      <c r="K403" s="107">
        <f>IF(OR(UPPER(C403)="SERVIÇO",UPPER(C403)="SERVICO"),0,N(H403)*N(E403))</f>
        <v/>
      </c>
      <c r="L403" s="107">
        <f>IF(OR(UPPER(C403)="SERVIÇO",UPPER(C403)="SERVICO"),0,N(H403)*N(G403))</f>
        <v/>
      </c>
      <c r="M403" s="107">
        <f>IF(OR(UPPER(C403)="SERVIÇO",UPPER(C403)="SERVICO"),0,L403-K403)</f>
        <v/>
      </c>
    </row>
    <row r="404" ht="15" customHeight="1">
      <c r="B404" s="105" t="n">
        <v>393</v>
      </c>
      <c r="C404" s="105" t="inlineStr">
        <is>
          <t>Produto</t>
        </is>
      </c>
      <c r="D404" s="106" t="inlineStr">
        <is>
          <t>Bola de pilates recreativo verde</t>
        </is>
      </c>
      <c r="E404" s="107" t="n">
        <v>77.78</v>
      </c>
      <c r="F404" s="108" t="n">
        <v>50</v>
      </c>
      <c r="G404" s="107">
        <f>ROUND(E404*(1+IF(ABS(F404)&lt;=1,F404,F404/100)),2)</f>
        <v/>
      </c>
      <c r="H404" s="105" t="n">
        <v>15</v>
      </c>
      <c r="I404" s="105" t="n">
        <v>5</v>
      </c>
      <c r="J404" s="105">
        <f>IF(OR(UPPER(C404)="SERVIÇO",UPPER(C404)="SERVICO"),"SERVIÇO",IF(H404&lt;=0,"ZERADO",IF(H404&lt;=I404,"ESTOQUE BAIXO","NORMAL")))</f>
        <v/>
      </c>
      <c r="K404" s="107">
        <f>IF(OR(UPPER(C404)="SERVIÇO",UPPER(C404)="SERVICO"),0,N(H404)*N(E404))</f>
        <v/>
      </c>
      <c r="L404" s="107">
        <f>IF(OR(UPPER(C404)="SERVIÇO",UPPER(C404)="SERVICO"),0,N(H404)*N(G404))</f>
        <v/>
      </c>
      <c r="M404" s="107">
        <f>IF(OR(UPPER(C404)="SERVIÇO",UPPER(C404)="SERVICO"),0,L404-K404)</f>
        <v/>
      </c>
    </row>
    <row r="405" ht="15" customHeight="1">
      <c r="B405" s="105" t="n">
        <v>394</v>
      </c>
      <c r="C405" s="105" t="inlineStr">
        <is>
          <t>Produto</t>
        </is>
      </c>
      <c r="D405" s="106" t="inlineStr">
        <is>
          <t>Prancha de natação resistente laranja</t>
        </is>
      </c>
      <c r="E405" s="107" t="n">
        <v>46.18</v>
      </c>
      <c r="F405" s="108" t="n">
        <v>50</v>
      </c>
      <c r="G405" s="107">
        <f>ROUND(E405*(1+IF(ABS(F405)&lt;=1,F405,F405/100)),2)</f>
        <v/>
      </c>
      <c r="H405" s="105" t="n">
        <v>15</v>
      </c>
      <c r="I405" s="105" t="n">
        <v>5</v>
      </c>
      <c r="J405" s="105">
        <f>IF(OR(UPPER(C405)="SERVIÇO",UPPER(C405)="SERVICO"),"SERVIÇO",IF(H405&lt;=0,"ZERADO",IF(H405&lt;=I405,"ESTOQUE BAIXO","NORMAL")))</f>
        <v/>
      </c>
      <c r="K405" s="107">
        <f>IF(OR(UPPER(C405)="SERVIÇO",UPPER(C405)="SERVICO"),0,N(H405)*N(E405))</f>
        <v/>
      </c>
      <c r="L405" s="107">
        <f>IF(OR(UPPER(C405)="SERVIÇO",UPPER(C405)="SERVICO"),0,N(H405)*N(G405))</f>
        <v/>
      </c>
      <c r="M405" s="107">
        <f>IF(OR(UPPER(C405)="SERVIÇO",UPPER(C405)="SERVICO"),0,L405-K405)</f>
        <v/>
      </c>
    </row>
    <row r="406" ht="15" customHeight="1">
      <c r="B406" s="105" t="n">
        <v>395</v>
      </c>
      <c r="C406" s="105" t="inlineStr">
        <is>
          <t>Produto</t>
        </is>
      </c>
      <c r="D406" s="106" t="inlineStr">
        <is>
          <t>Regata esportiva ventilado branco tam. 42</t>
        </is>
      </c>
      <c r="E406" s="107" t="n">
        <v>37.26</v>
      </c>
      <c r="F406" s="108" t="n">
        <v>50</v>
      </c>
      <c r="G406" s="107">
        <f>ROUND(E406*(1+IF(ABS(F406)&lt;=1,F406,F406/100)),2)</f>
        <v/>
      </c>
      <c r="H406" s="105" t="n">
        <v>15</v>
      </c>
      <c r="I406" s="105" t="n">
        <v>5</v>
      </c>
      <c r="J406" s="105">
        <f>IF(OR(UPPER(C406)="SERVIÇO",UPPER(C406)="SERVICO"),"SERVIÇO",IF(H406&lt;=0,"ZERADO",IF(H406&lt;=I406,"ESTOQUE BAIXO","NORMAL")))</f>
        <v/>
      </c>
      <c r="K406" s="107">
        <f>IF(OR(UPPER(C406)="SERVIÇO",UPPER(C406)="SERVICO"),0,N(H406)*N(E406))</f>
        <v/>
      </c>
      <c r="L406" s="107">
        <f>IF(OR(UPPER(C406)="SERVIÇO",UPPER(C406)="SERVICO"),0,N(H406)*N(G406))</f>
        <v/>
      </c>
      <c r="M406" s="107">
        <f>IF(OR(UPPER(C406)="SERVIÇO",UPPER(C406)="SERVICO"),0,L406-K406)</f>
        <v/>
      </c>
    </row>
    <row r="407" ht="15" customHeight="1">
      <c r="B407" s="105" t="n">
        <v>396</v>
      </c>
      <c r="C407" s="105" t="inlineStr">
        <is>
          <t>Produto</t>
        </is>
      </c>
      <c r="D407" s="106" t="inlineStr">
        <is>
          <t>Banco de musculação versão 2026 rosa</t>
        </is>
      </c>
      <c r="E407" s="107" t="n">
        <v>433.73</v>
      </c>
      <c r="F407" s="108" t="n">
        <v>50</v>
      </c>
      <c r="G407" s="107">
        <f>ROUND(E407*(1+IF(ABS(F407)&lt;=1,F407,F407/100)),2)</f>
        <v/>
      </c>
      <c r="H407" s="105" t="n">
        <v>15</v>
      </c>
      <c r="I407" s="105" t="n">
        <v>5</v>
      </c>
      <c r="J407" s="105">
        <f>IF(OR(UPPER(C407)="SERVIÇO",UPPER(C407)="SERVICO"),"SERVIÇO",IF(H407&lt;=0,"ZERADO",IF(H407&lt;=I407,"ESTOQUE BAIXO","NORMAL")))</f>
        <v/>
      </c>
      <c r="K407" s="107">
        <f>IF(OR(UPPER(C407)="SERVIÇO",UPPER(C407)="SERVICO"),0,N(H407)*N(E407))</f>
        <v/>
      </c>
      <c r="L407" s="107">
        <f>IF(OR(UPPER(C407)="SERVIÇO",UPPER(C407)="SERVICO"),0,N(H407)*N(G407))</f>
        <v/>
      </c>
      <c r="M407" s="107">
        <f>IF(OR(UPPER(C407)="SERVIÇO",UPPER(C407)="SERVICO"),0,L407-K407)</f>
        <v/>
      </c>
    </row>
    <row r="408" ht="15" customHeight="1">
      <c r="B408" s="105" t="n">
        <v>397</v>
      </c>
      <c r="C408" s="105" t="inlineStr">
        <is>
          <t>Produto</t>
        </is>
      </c>
      <c r="D408" s="106" t="inlineStr">
        <is>
          <t>Meias esportivas ventilado cinza tam. GG</t>
        </is>
      </c>
      <c r="E408" s="107" t="n">
        <v>39.83</v>
      </c>
      <c r="F408" s="108" t="n">
        <v>50</v>
      </c>
      <c r="G408" s="107">
        <f>ROUND(E408*(1+IF(ABS(F408)&lt;=1,F408,F408/100)),2)</f>
        <v/>
      </c>
      <c r="H408" s="105" t="n">
        <v>15</v>
      </c>
      <c r="I408" s="105" t="n">
        <v>5</v>
      </c>
      <c r="J408" s="105">
        <f>IF(OR(UPPER(C408)="SERVIÇO",UPPER(C408)="SERVICO"),"SERVIÇO",IF(H408&lt;=0,"ZERADO",IF(H408&lt;=I408,"ESTOQUE BAIXO","NORMAL")))</f>
        <v/>
      </c>
      <c r="K408" s="107">
        <f>IF(OR(UPPER(C408)="SERVIÇO",UPPER(C408)="SERVICO"),0,N(H408)*N(E408))</f>
        <v/>
      </c>
      <c r="L408" s="107">
        <f>IF(OR(UPPER(C408)="SERVIÇO",UPPER(C408)="SERVICO"),0,N(H408)*N(G408))</f>
        <v/>
      </c>
      <c r="M408" s="107">
        <f>IF(OR(UPPER(C408)="SERVIÇO",UPPER(C408)="SERVICO"),0,L408-K408)</f>
        <v/>
      </c>
    </row>
    <row r="409" ht="15" customHeight="1">
      <c r="B409" s="105" t="n">
        <v>398</v>
      </c>
      <c r="C409" s="105" t="inlineStr">
        <is>
          <t>Produto</t>
        </is>
      </c>
      <c r="D409" s="106" t="inlineStr">
        <is>
          <t>Coqueteleira reforçado rosa</t>
        </is>
      </c>
      <c r="E409" s="107" t="n">
        <v>25.25</v>
      </c>
      <c r="F409" s="108" t="n">
        <v>50</v>
      </c>
      <c r="G409" s="107">
        <f>ROUND(E409*(1+IF(ABS(F409)&lt;=1,F409,F409/100)),2)</f>
        <v/>
      </c>
      <c r="H409" s="105" t="n">
        <v>15</v>
      </c>
      <c r="I409" s="105" t="n">
        <v>5</v>
      </c>
      <c r="J409" s="105">
        <f>IF(OR(UPPER(C409)="SERVIÇO",UPPER(C409)="SERVICO"),"SERVIÇO",IF(H409&lt;=0,"ZERADO",IF(H409&lt;=I409,"ESTOQUE BAIXO","NORMAL")))</f>
        <v/>
      </c>
      <c r="K409" s="107">
        <f>IF(OR(UPPER(C409)="SERVIÇO",UPPER(C409)="SERVICO"),0,N(H409)*N(E409))</f>
        <v/>
      </c>
      <c r="L409" s="107">
        <f>IF(OR(UPPER(C409)="SERVIÇO",UPPER(C409)="SERVICO"),0,N(H409)*N(G409))</f>
        <v/>
      </c>
      <c r="M409" s="107">
        <f>IF(OR(UPPER(C409)="SERVIÇO",UPPER(C409)="SERVICO"),0,L409-K409)</f>
        <v/>
      </c>
    </row>
    <row r="410" ht="15" customHeight="1">
      <c r="B410" s="105" t="n">
        <v>399</v>
      </c>
      <c r="C410" s="105" t="inlineStr">
        <is>
          <t>Produto</t>
        </is>
      </c>
      <c r="D410" s="106" t="inlineStr">
        <is>
          <t>Colchonete de exercício premium cinza</t>
        </is>
      </c>
      <c r="E410" s="107" t="n">
        <v>35.64</v>
      </c>
      <c r="F410" s="108" t="n">
        <v>50</v>
      </c>
      <c r="G410" s="107">
        <f>ROUND(E410*(1+IF(ABS(F410)&lt;=1,F410,F410/100)),2)</f>
        <v/>
      </c>
      <c r="H410" s="105" t="n">
        <v>15</v>
      </c>
      <c r="I410" s="105" t="n">
        <v>5</v>
      </c>
      <c r="J410" s="105">
        <f>IF(OR(UPPER(C410)="SERVIÇO",UPPER(C410)="SERVICO"),"SERVIÇO",IF(H410&lt;=0,"ZERADO",IF(H410&lt;=I410,"ESTOQUE BAIXO","NORMAL")))</f>
        <v/>
      </c>
      <c r="K410" s="107">
        <f>IF(OR(UPPER(C410)="SERVIÇO",UPPER(C410)="SERVICO"),0,N(H410)*N(E410))</f>
        <v/>
      </c>
      <c r="L410" s="107">
        <f>IF(OR(UPPER(C410)="SERVIÇO",UPPER(C410)="SERVICO"),0,N(H410)*N(G410))</f>
        <v/>
      </c>
      <c r="M410" s="107">
        <f>IF(OR(UPPER(C410)="SERVIÇO",UPPER(C410)="SERVICO"),0,L410-K410)</f>
        <v/>
      </c>
    </row>
    <row r="411" ht="15" customHeight="1">
      <c r="B411" s="105" t="n">
        <v>400</v>
      </c>
      <c r="C411" s="105" t="inlineStr">
        <is>
          <t>Produto</t>
        </is>
      </c>
      <c r="D411" s="106" t="inlineStr">
        <is>
          <t>Nadadeira para uso diário laranja</t>
        </is>
      </c>
      <c r="E411" s="107" t="n">
        <v>151.61</v>
      </c>
      <c r="F411" s="108" t="n">
        <v>50</v>
      </c>
      <c r="G411" s="107">
        <f>ROUND(E411*(1+IF(ABS(F411)&lt;=1,F411,F411/100)),2)</f>
        <v/>
      </c>
      <c r="H411" s="105" t="n">
        <v>15</v>
      </c>
      <c r="I411" s="105" t="n">
        <v>5</v>
      </c>
      <c r="J411" s="105">
        <f>IF(OR(UPPER(C411)="SERVIÇO",UPPER(C411)="SERVICO"),"SERVIÇO",IF(H411&lt;=0,"ZERADO",IF(H411&lt;=I411,"ESTOQUE BAIXO","NORMAL")))</f>
        <v/>
      </c>
      <c r="K411" s="107">
        <f>IF(OR(UPPER(C411)="SERVIÇO",UPPER(C411)="SERVICO"),0,N(H411)*N(E411))</f>
        <v/>
      </c>
      <c r="L411" s="107">
        <f>IF(OR(UPPER(C411)="SERVIÇO",UPPER(C411)="SERVICO"),0,N(H411)*N(G411))</f>
        <v/>
      </c>
      <c r="M411" s="107">
        <f>IF(OR(UPPER(C411)="SERVIÇO",UPPER(C411)="SERVICO"),0,L411-K411)</f>
        <v/>
      </c>
    </row>
    <row r="412" ht="15" customHeight="1">
      <c r="B412" s="105" t="n">
        <v>401</v>
      </c>
      <c r="C412" s="105" t="inlineStr">
        <is>
          <t>Produto</t>
        </is>
      </c>
      <c r="D412" s="106" t="inlineStr">
        <is>
          <t>Banco de musculação iniciante preto</t>
        </is>
      </c>
      <c r="E412" s="107" t="n">
        <v>559.61</v>
      </c>
      <c r="F412" s="108" t="n">
        <v>50</v>
      </c>
      <c r="G412" s="107">
        <f>ROUND(E412*(1+IF(ABS(F412)&lt;=1,F412,F412/100)),2)</f>
        <v/>
      </c>
      <c r="H412" s="105" t="n">
        <v>15</v>
      </c>
      <c r="I412" s="105" t="n">
        <v>5</v>
      </c>
      <c r="J412" s="105">
        <f>IF(OR(UPPER(C412)="SERVIÇO",UPPER(C412)="SERVICO"),"SERVIÇO",IF(H412&lt;=0,"ZERADO",IF(H412&lt;=I412,"ESTOQUE BAIXO","NORMAL")))</f>
        <v/>
      </c>
      <c r="K412" s="107">
        <f>IF(OR(UPPER(C412)="SERVIÇO",UPPER(C412)="SERVICO"),0,N(H412)*N(E412))</f>
        <v/>
      </c>
      <c r="L412" s="107">
        <f>IF(OR(UPPER(C412)="SERVIÇO",UPPER(C412)="SERVICO"),0,N(H412)*N(G412))</f>
        <v/>
      </c>
      <c r="M412" s="107">
        <f>IF(OR(UPPER(C412)="SERVIÇO",UPPER(C412)="SERVICO"),0,L412-K412)</f>
        <v/>
      </c>
    </row>
    <row r="413" ht="15" customHeight="1">
      <c r="B413" s="105" t="n">
        <v>402</v>
      </c>
      <c r="C413" s="105" t="inlineStr">
        <is>
          <t>Produto</t>
        </is>
      </c>
      <c r="D413" s="106" t="inlineStr">
        <is>
          <t>Patins modelo avançado rosa</t>
        </is>
      </c>
      <c r="E413" s="107" t="n">
        <v>552.88</v>
      </c>
      <c r="F413" s="108" t="n">
        <v>50</v>
      </c>
      <c r="G413" s="107">
        <f>ROUND(E413*(1+IF(ABS(F413)&lt;=1,F413,F413/100)),2)</f>
        <v/>
      </c>
      <c r="H413" s="105" t="n">
        <v>15</v>
      </c>
      <c r="I413" s="105" t="n">
        <v>5</v>
      </c>
      <c r="J413" s="105">
        <f>IF(OR(UPPER(C413)="SERVIÇO",UPPER(C413)="SERVICO"),"SERVIÇO",IF(H413&lt;=0,"ZERADO",IF(H413&lt;=I413,"ESTOQUE BAIXO","NORMAL")))</f>
        <v/>
      </c>
      <c r="K413" s="107">
        <f>IF(OR(UPPER(C413)="SERVIÇO",UPPER(C413)="SERVICO"),0,N(H413)*N(E413))</f>
        <v/>
      </c>
      <c r="L413" s="107">
        <f>IF(OR(UPPER(C413)="SERVIÇO",UPPER(C413)="SERVICO"),0,N(H413)*N(G413))</f>
        <v/>
      </c>
      <c r="M413" s="107">
        <f>IF(OR(UPPER(C413)="SERVIÇO",UPPER(C413)="SERVICO"),0,L413-K413)</f>
        <v/>
      </c>
    </row>
    <row r="414" ht="15" customHeight="1">
      <c r="B414" s="105" t="n">
        <v>403</v>
      </c>
      <c r="C414" s="105" t="inlineStr">
        <is>
          <t>Produto</t>
        </is>
      </c>
      <c r="D414" s="106" t="inlineStr">
        <is>
          <t>Bola de pilates reforçado verde</t>
        </is>
      </c>
      <c r="E414" s="107" t="n">
        <v>103.42</v>
      </c>
      <c r="F414" s="108" t="n">
        <v>50</v>
      </c>
      <c r="G414" s="107">
        <f>ROUND(E414*(1+IF(ABS(F414)&lt;=1,F414,F414/100)),2)</f>
        <v/>
      </c>
      <c r="H414" s="105" t="n">
        <v>15</v>
      </c>
      <c r="I414" s="105" t="n">
        <v>5</v>
      </c>
      <c r="J414" s="105">
        <f>IF(OR(UPPER(C414)="SERVIÇO",UPPER(C414)="SERVICO"),"SERVIÇO",IF(H414&lt;=0,"ZERADO",IF(H414&lt;=I414,"ESTOQUE BAIXO","NORMAL")))</f>
        <v/>
      </c>
      <c r="K414" s="107">
        <f>IF(OR(UPPER(C414)="SERVIÇO",UPPER(C414)="SERVICO"),0,N(H414)*N(E414))</f>
        <v/>
      </c>
      <c r="L414" s="107">
        <f>IF(OR(UPPER(C414)="SERVIÇO",UPPER(C414)="SERVICO"),0,N(H414)*N(G414))</f>
        <v/>
      </c>
      <c r="M414" s="107">
        <f>IF(OR(UPPER(C414)="SERVIÇO",UPPER(C414)="SERVICO"),0,L414-K414)</f>
        <v/>
      </c>
    </row>
    <row r="415" ht="15" customHeight="1">
      <c r="B415" s="105" t="n">
        <v>404</v>
      </c>
      <c r="C415" s="105" t="inlineStr">
        <is>
          <t>Produto</t>
        </is>
      </c>
      <c r="D415" s="106" t="inlineStr">
        <is>
          <t>Bolsa de academia premium vermelho</t>
        </is>
      </c>
      <c r="E415" s="107" t="n">
        <v>46.33</v>
      </c>
      <c r="F415" s="108" t="n">
        <v>50</v>
      </c>
      <c r="G415" s="107">
        <f>ROUND(E415*(1+IF(ABS(F415)&lt;=1,F415,F415/100)),2)</f>
        <v/>
      </c>
      <c r="H415" s="105" t="n">
        <v>15</v>
      </c>
      <c r="I415" s="105" t="n">
        <v>5</v>
      </c>
      <c r="J415" s="105">
        <f>IF(OR(UPPER(C415)="SERVIÇO",UPPER(C415)="SERVICO"),"SERVIÇO",IF(H415&lt;=0,"ZERADO",IF(H415&lt;=I415,"ESTOQUE BAIXO","NORMAL")))</f>
        <v/>
      </c>
      <c r="K415" s="107">
        <f>IF(OR(UPPER(C415)="SERVIÇO",UPPER(C415)="SERVICO"),0,N(H415)*N(E415))</f>
        <v/>
      </c>
      <c r="L415" s="107">
        <f>IF(OR(UPPER(C415)="SERVIÇO",UPPER(C415)="SERVICO"),0,N(H415)*N(G415))</f>
        <v/>
      </c>
      <c r="M415" s="107">
        <f>IF(OR(UPPER(C415)="SERVIÇO",UPPER(C415)="SERVICO"),0,L415-K415)</f>
        <v/>
      </c>
    </row>
    <row r="416" ht="15" customHeight="1">
      <c r="B416" s="105" t="n">
        <v>405</v>
      </c>
      <c r="C416" s="105" t="inlineStr">
        <is>
          <t>Produto</t>
        </is>
      </c>
      <c r="D416" s="106" t="inlineStr">
        <is>
          <t>Bola de pilates compacto verde</t>
        </is>
      </c>
      <c r="E416" s="107" t="n">
        <v>28.81</v>
      </c>
      <c r="F416" s="108" t="n">
        <v>50</v>
      </c>
      <c r="G416" s="107">
        <f>ROUND(E416*(1+IF(ABS(F416)&lt;=1,F416,F416/100)),2)</f>
        <v/>
      </c>
      <c r="H416" s="105" t="n">
        <v>15</v>
      </c>
      <c r="I416" s="105" t="n">
        <v>5</v>
      </c>
      <c r="J416" s="105">
        <f>IF(OR(UPPER(C416)="SERVIÇO",UPPER(C416)="SERVICO"),"SERVIÇO",IF(H416&lt;=0,"ZERADO",IF(H416&lt;=I416,"ESTOQUE BAIXO","NORMAL")))</f>
        <v/>
      </c>
      <c r="K416" s="107">
        <f>IF(OR(UPPER(C416)="SERVIÇO",UPPER(C416)="SERVICO"),0,N(H416)*N(E416))</f>
        <v/>
      </c>
      <c r="L416" s="107">
        <f>IF(OR(UPPER(C416)="SERVIÇO",UPPER(C416)="SERVICO"),0,N(H416)*N(G416))</f>
        <v/>
      </c>
      <c r="M416" s="107">
        <f>IF(OR(UPPER(C416)="SERVIÇO",UPPER(C416)="SERVICO"),0,L416-K416)</f>
        <v/>
      </c>
    </row>
    <row r="417" ht="15" customHeight="1">
      <c r="B417" s="105" t="n">
        <v>406</v>
      </c>
      <c r="C417" s="105" t="inlineStr">
        <is>
          <t>Produto</t>
        </is>
      </c>
      <c r="D417" s="106" t="inlineStr">
        <is>
          <t>Monitor cardíaco compacto preto</t>
        </is>
      </c>
      <c r="E417" s="107" t="n">
        <v>108.65</v>
      </c>
      <c r="F417" s="108" t="n">
        <v>50</v>
      </c>
      <c r="G417" s="107">
        <f>ROUND(E417*(1+IF(ABS(F417)&lt;=1,F417,F417/100)),2)</f>
        <v/>
      </c>
      <c r="H417" s="105" t="n">
        <v>15</v>
      </c>
      <c r="I417" s="105" t="n">
        <v>5</v>
      </c>
      <c r="J417" s="105">
        <f>IF(OR(UPPER(C417)="SERVIÇO",UPPER(C417)="SERVICO"),"SERVIÇO",IF(H417&lt;=0,"ZERADO",IF(H417&lt;=I417,"ESTOQUE BAIXO","NORMAL")))</f>
        <v/>
      </c>
      <c r="K417" s="107">
        <f>IF(OR(UPPER(C417)="SERVIÇO",UPPER(C417)="SERVICO"),0,N(H417)*N(E417))</f>
        <v/>
      </c>
      <c r="L417" s="107">
        <f>IF(OR(UPPER(C417)="SERVIÇO",UPPER(C417)="SERVICO"),0,N(H417)*N(G417))</f>
        <v/>
      </c>
      <c r="M417" s="107">
        <f>IF(OR(UPPER(C417)="SERVIÇO",UPPER(C417)="SERVICO"),0,L417-K417)</f>
        <v/>
      </c>
    </row>
    <row r="418" ht="15" customHeight="1">
      <c r="B418" s="105" t="n">
        <v>407</v>
      </c>
      <c r="C418" s="105" t="inlineStr">
        <is>
          <t>Produto</t>
        </is>
      </c>
      <c r="D418" s="106" t="inlineStr">
        <is>
          <t>Kettlebell treino vermelho</t>
        </is>
      </c>
      <c r="E418" s="107" t="n">
        <v>31.03</v>
      </c>
      <c r="F418" s="108" t="n">
        <v>50</v>
      </c>
      <c r="G418" s="107">
        <f>ROUND(E418*(1+IF(ABS(F418)&lt;=1,F418,F418/100)),2)</f>
        <v/>
      </c>
      <c r="H418" s="105" t="n">
        <v>15</v>
      </c>
      <c r="I418" s="105" t="n">
        <v>5</v>
      </c>
      <c r="J418" s="105">
        <f>IF(OR(UPPER(C418)="SERVIÇO",UPPER(C418)="SERVICO"),"SERVIÇO",IF(H418&lt;=0,"ZERADO",IF(H418&lt;=I418,"ESTOQUE BAIXO","NORMAL")))</f>
        <v/>
      </c>
      <c r="K418" s="107">
        <f>IF(OR(UPPER(C418)="SERVIÇO",UPPER(C418)="SERVICO"),0,N(H418)*N(E418))</f>
        <v/>
      </c>
      <c r="L418" s="107">
        <f>IF(OR(UPPER(C418)="SERVIÇO",UPPER(C418)="SERVICO"),0,N(H418)*N(G418))</f>
        <v/>
      </c>
      <c r="M418" s="107">
        <f>IF(OR(UPPER(C418)="SERVIÇO",UPPER(C418)="SERVICO"),0,L418-K418)</f>
        <v/>
      </c>
    </row>
    <row r="419" ht="15" customHeight="1">
      <c r="B419" s="105" t="n">
        <v>408</v>
      </c>
      <c r="C419" s="105" t="inlineStr">
        <is>
          <t>Produto</t>
        </is>
      </c>
      <c r="D419" s="106" t="inlineStr">
        <is>
          <t>Luva de goleiro alta performance rosa tam. 40</t>
        </is>
      </c>
      <c r="E419" s="107" t="n">
        <v>164.45</v>
      </c>
      <c r="F419" s="108" t="n">
        <v>50</v>
      </c>
      <c r="G419" s="107">
        <f>ROUND(E419*(1+IF(ABS(F419)&lt;=1,F419,F419/100)),2)</f>
        <v/>
      </c>
      <c r="H419" s="105" t="n">
        <v>15</v>
      </c>
      <c r="I419" s="105" t="n">
        <v>5</v>
      </c>
      <c r="J419" s="105">
        <f>IF(OR(UPPER(C419)="SERVIÇO",UPPER(C419)="SERVICO"),"SERVIÇO",IF(H419&lt;=0,"ZERADO",IF(H419&lt;=I419,"ESTOQUE BAIXO","NORMAL")))</f>
        <v/>
      </c>
      <c r="K419" s="107">
        <f>IF(OR(UPPER(C419)="SERVIÇO",UPPER(C419)="SERVICO"),0,N(H419)*N(E419))</f>
        <v/>
      </c>
      <c r="L419" s="107">
        <f>IF(OR(UPPER(C419)="SERVIÇO",UPPER(C419)="SERVICO"),0,N(H419)*N(G419))</f>
        <v/>
      </c>
      <c r="M419" s="107">
        <f>IF(OR(UPPER(C419)="SERVIÇO",UPPER(C419)="SERVICO"),0,L419-K419)</f>
        <v/>
      </c>
    </row>
    <row r="420" ht="15" customHeight="1">
      <c r="B420" s="105" t="n">
        <v>409</v>
      </c>
      <c r="C420" s="105" t="inlineStr">
        <is>
          <t>Produto</t>
        </is>
      </c>
      <c r="D420" s="106" t="inlineStr">
        <is>
          <t>Step de ginástica modelo básico cinza</t>
        </is>
      </c>
      <c r="E420" s="107" t="n">
        <v>214.96</v>
      </c>
      <c r="F420" s="108" t="n">
        <v>50</v>
      </c>
      <c r="G420" s="107">
        <f>ROUND(E420*(1+IF(ABS(F420)&lt;=1,F420,F420/100)),2)</f>
        <v/>
      </c>
      <c r="H420" s="105" t="n">
        <v>15</v>
      </c>
      <c r="I420" s="105" t="n">
        <v>5</v>
      </c>
      <c r="J420" s="105">
        <f>IF(OR(UPPER(C420)="SERVIÇO",UPPER(C420)="SERVICO"),"SERVIÇO",IF(H420&lt;=0,"ZERADO",IF(H420&lt;=I420,"ESTOQUE BAIXO","NORMAL")))</f>
        <v/>
      </c>
      <c r="K420" s="107">
        <f>IF(OR(UPPER(C420)="SERVIÇO",UPPER(C420)="SERVICO"),0,N(H420)*N(E420))</f>
        <v/>
      </c>
      <c r="L420" s="107">
        <f>IF(OR(UPPER(C420)="SERVIÇO",UPPER(C420)="SERVICO"),0,N(H420)*N(G420))</f>
        <v/>
      </c>
      <c r="M420" s="107">
        <f>IF(OR(UPPER(C420)="SERVIÇO",UPPER(C420)="SERVICO"),0,L420-K420)</f>
        <v/>
      </c>
    </row>
    <row r="421" ht="15" customHeight="1">
      <c r="B421" s="105" t="n">
        <v>410</v>
      </c>
      <c r="C421" s="105" t="inlineStr">
        <is>
          <t>Produto</t>
        </is>
      </c>
      <c r="D421" s="106" t="inlineStr">
        <is>
          <t>Banco de musculação unissex verde</t>
        </is>
      </c>
      <c r="E421" s="107" t="n">
        <v>886.34</v>
      </c>
      <c r="F421" s="108" t="n">
        <v>50</v>
      </c>
      <c r="G421" s="107">
        <f>ROUND(E421*(1+IF(ABS(F421)&lt;=1,F421,F421/100)),2)</f>
        <v/>
      </c>
      <c r="H421" s="105" t="n">
        <v>15</v>
      </c>
      <c r="I421" s="105" t="n">
        <v>5</v>
      </c>
      <c r="J421" s="105">
        <f>IF(OR(UPPER(C421)="SERVIÇO",UPPER(C421)="SERVICO"),"SERVIÇO",IF(H421&lt;=0,"ZERADO",IF(H421&lt;=I421,"ESTOQUE BAIXO","NORMAL")))</f>
        <v/>
      </c>
      <c r="K421" s="107">
        <f>IF(OR(UPPER(C421)="SERVIÇO",UPPER(C421)="SERVICO"),0,N(H421)*N(E421))</f>
        <v/>
      </c>
      <c r="L421" s="107">
        <f>IF(OR(UPPER(C421)="SERVIÇO",UPPER(C421)="SERVICO"),0,N(H421)*N(G421))</f>
        <v/>
      </c>
      <c r="M421" s="107">
        <f>IF(OR(UPPER(C421)="SERVIÇO",UPPER(C421)="SERVICO"),0,L421-K421)</f>
        <v/>
      </c>
    </row>
    <row r="422" ht="15" customHeight="1">
      <c r="B422" s="105" t="n">
        <v>411</v>
      </c>
      <c r="C422" s="105" t="inlineStr">
        <is>
          <t>Produto</t>
        </is>
      </c>
      <c r="D422" s="106" t="inlineStr">
        <is>
          <t>Bastão de caminhada leve laranja</t>
        </is>
      </c>
      <c r="E422" s="107" t="n">
        <v>162.28</v>
      </c>
      <c r="F422" s="108" t="n">
        <v>50</v>
      </c>
      <c r="G422" s="107">
        <f>ROUND(E422*(1+IF(ABS(F422)&lt;=1,F422,F422/100)),2)</f>
        <v/>
      </c>
      <c r="H422" s="105" t="n">
        <v>15</v>
      </c>
      <c r="I422" s="105" t="n">
        <v>5</v>
      </c>
      <c r="J422" s="105">
        <f>IF(OR(UPPER(C422)="SERVIÇO",UPPER(C422)="SERVICO"),"SERVIÇO",IF(H422&lt;=0,"ZERADO",IF(H422&lt;=I422,"ESTOQUE BAIXO","NORMAL")))</f>
        <v/>
      </c>
      <c r="K422" s="107">
        <f>IF(OR(UPPER(C422)="SERVIÇO",UPPER(C422)="SERVICO"),0,N(H422)*N(E422))</f>
        <v/>
      </c>
      <c r="L422" s="107">
        <f>IF(OR(UPPER(C422)="SERVIÇO",UPPER(C422)="SERVICO"),0,N(H422)*N(G422))</f>
        <v/>
      </c>
      <c r="M422" s="107">
        <f>IF(OR(UPPER(C422)="SERVIÇO",UPPER(C422)="SERVICO"),0,L422-K422)</f>
        <v/>
      </c>
    </row>
    <row r="423" ht="15" customHeight="1">
      <c r="B423" s="105" t="n">
        <v>412</v>
      </c>
      <c r="C423" s="105" t="inlineStr">
        <is>
          <t>Produto</t>
        </is>
      </c>
      <c r="D423" s="106" t="inlineStr">
        <is>
          <t>Regata esportiva para uso diário rosa tam. G</t>
        </is>
      </c>
      <c r="E423" s="107" t="n">
        <v>73.94</v>
      </c>
      <c r="F423" s="108" t="n">
        <v>50</v>
      </c>
      <c r="G423" s="107">
        <f>ROUND(E423*(1+IF(ABS(F423)&lt;=1,F423,F423/100)),2)</f>
        <v/>
      </c>
      <c r="H423" s="105" t="n">
        <v>15</v>
      </c>
      <c r="I423" s="105" t="n">
        <v>5</v>
      </c>
      <c r="J423" s="105">
        <f>IF(OR(UPPER(C423)="SERVIÇO",UPPER(C423)="SERVICO"),"SERVIÇO",IF(H423&lt;=0,"ZERADO",IF(H423&lt;=I423,"ESTOQUE BAIXO","NORMAL")))</f>
        <v/>
      </c>
      <c r="K423" s="107">
        <f>IF(OR(UPPER(C423)="SERVIÇO",UPPER(C423)="SERVICO"),0,N(H423)*N(E423))</f>
        <v/>
      </c>
      <c r="L423" s="107">
        <f>IF(OR(UPPER(C423)="SERVIÇO",UPPER(C423)="SERVICO"),0,N(H423)*N(G423))</f>
        <v/>
      </c>
      <c r="M423" s="107">
        <f>IF(OR(UPPER(C423)="SERVIÇO",UPPER(C423)="SERVICO"),0,L423-K423)</f>
        <v/>
      </c>
    </row>
    <row r="424" ht="15" customHeight="1">
      <c r="B424" s="105" t="n">
        <v>413</v>
      </c>
      <c r="C424" s="105" t="inlineStr">
        <is>
          <t>Produto</t>
        </is>
      </c>
      <c r="D424" s="106" t="inlineStr">
        <is>
          <t>Garrafa squeeze adulto cinza</t>
        </is>
      </c>
      <c r="E424" s="107" t="n">
        <v>37.91</v>
      </c>
      <c r="F424" s="108" t="n">
        <v>50</v>
      </c>
      <c r="G424" s="107">
        <f>ROUND(E424*(1+IF(ABS(F424)&lt;=1,F424,F424/100)),2)</f>
        <v/>
      </c>
      <c r="H424" s="105" t="n">
        <v>15</v>
      </c>
      <c r="I424" s="105" t="n">
        <v>5</v>
      </c>
      <c r="J424" s="105">
        <f>IF(OR(UPPER(C424)="SERVIÇO",UPPER(C424)="SERVICO"),"SERVIÇO",IF(H424&lt;=0,"ZERADO",IF(H424&lt;=I424,"ESTOQUE BAIXO","NORMAL")))</f>
        <v/>
      </c>
      <c r="K424" s="107">
        <f>IF(OR(UPPER(C424)="SERVIÇO",UPPER(C424)="SERVICO"),0,N(H424)*N(E424))</f>
        <v/>
      </c>
      <c r="L424" s="107">
        <f>IF(OR(UPPER(C424)="SERVIÇO",UPPER(C424)="SERVICO"),0,N(H424)*N(G424))</f>
        <v/>
      </c>
      <c r="M424" s="107">
        <f>IF(OR(UPPER(C424)="SERVIÇO",UPPER(C424)="SERVICO"),0,L424-K424)</f>
        <v/>
      </c>
    </row>
    <row r="425" ht="15" customHeight="1">
      <c r="B425" s="105" t="n">
        <v>414</v>
      </c>
      <c r="C425" s="105" t="inlineStr">
        <is>
          <t>Produto</t>
        </is>
      </c>
      <c r="D425" s="106" t="inlineStr">
        <is>
          <t>Tênis de corrida iniciante rosa tam. 42</t>
        </is>
      </c>
      <c r="E425" s="107" t="n">
        <v>357.34</v>
      </c>
      <c r="F425" s="108" t="n">
        <v>50</v>
      </c>
      <c r="G425" s="107">
        <f>ROUND(E425*(1+IF(ABS(F425)&lt;=1,F425,F425/100)),2)</f>
        <v/>
      </c>
      <c r="H425" s="105" t="n">
        <v>15</v>
      </c>
      <c r="I425" s="105" t="n">
        <v>5</v>
      </c>
      <c r="J425" s="105">
        <f>IF(OR(UPPER(C425)="SERVIÇO",UPPER(C425)="SERVICO"),"SERVIÇO",IF(H425&lt;=0,"ZERADO",IF(H425&lt;=I425,"ESTOQUE BAIXO","NORMAL")))</f>
        <v/>
      </c>
      <c r="K425" s="107">
        <f>IF(OR(UPPER(C425)="SERVIÇO",UPPER(C425)="SERVICO"),0,N(H425)*N(E425))</f>
        <v/>
      </c>
      <c r="L425" s="107">
        <f>IF(OR(UPPER(C425)="SERVIÇO",UPPER(C425)="SERVICO"),0,N(H425)*N(G425))</f>
        <v/>
      </c>
      <c r="M425" s="107">
        <f>IF(OR(UPPER(C425)="SERVIÇO",UPPER(C425)="SERVICO"),0,L425-K425)</f>
        <v/>
      </c>
    </row>
    <row r="426" ht="15" customHeight="1">
      <c r="B426" s="105" t="n">
        <v>415</v>
      </c>
      <c r="C426" s="105" t="inlineStr">
        <is>
          <t>Produto</t>
        </is>
      </c>
      <c r="D426" s="106" t="inlineStr">
        <is>
          <t>Chuteira de campo com ajuste cinza tam. GG</t>
        </is>
      </c>
      <c r="E426" s="107" t="n">
        <v>450.46</v>
      </c>
      <c r="F426" s="108" t="n">
        <v>50</v>
      </c>
      <c r="G426" s="107">
        <f>ROUND(E426*(1+IF(ABS(F426)&lt;=1,F426,F426/100)),2)</f>
        <v/>
      </c>
      <c r="H426" s="105" t="n">
        <v>15</v>
      </c>
      <c r="I426" s="105" t="n">
        <v>5</v>
      </c>
      <c r="J426" s="105">
        <f>IF(OR(UPPER(C426)="SERVIÇO",UPPER(C426)="SERVICO"),"SERVIÇO",IF(H426&lt;=0,"ZERADO",IF(H426&lt;=I426,"ESTOQUE BAIXO","NORMAL")))</f>
        <v/>
      </c>
      <c r="K426" s="107">
        <f>IF(OR(UPPER(C426)="SERVIÇO",UPPER(C426)="SERVICO"),0,N(H426)*N(E426))</f>
        <v/>
      </c>
      <c r="L426" s="107">
        <f>IF(OR(UPPER(C426)="SERVIÇO",UPPER(C426)="SERVICO"),0,N(H426)*N(G426))</f>
        <v/>
      </c>
      <c r="M426" s="107">
        <f>IF(OR(UPPER(C426)="SERVIÇO",UPPER(C426)="SERVICO"),0,L426-K426)</f>
        <v/>
      </c>
    </row>
    <row r="427" ht="15" customHeight="1">
      <c r="B427" s="105" t="n">
        <v>416</v>
      </c>
      <c r="C427" s="105" t="inlineStr">
        <is>
          <t>Produto</t>
        </is>
      </c>
      <c r="D427" s="106" t="inlineStr">
        <is>
          <t>Kettlebell com ajuste cinza</t>
        </is>
      </c>
      <c r="E427" s="107" t="n">
        <v>180.85</v>
      </c>
      <c r="F427" s="108" t="n">
        <v>50</v>
      </c>
      <c r="G427" s="107">
        <f>ROUND(E427*(1+IF(ABS(F427)&lt;=1,F427,F427/100)),2)</f>
        <v/>
      </c>
      <c r="H427" s="105" t="n">
        <v>15</v>
      </c>
      <c r="I427" s="105" t="n">
        <v>5</v>
      </c>
      <c r="J427" s="105">
        <f>IF(OR(UPPER(C427)="SERVIÇO",UPPER(C427)="SERVICO"),"SERVIÇO",IF(H427&lt;=0,"ZERADO",IF(H427&lt;=I427,"ESTOQUE BAIXO","NORMAL")))</f>
        <v/>
      </c>
      <c r="K427" s="107">
        <f>IF(OR(UPPER(C427)="SERVIÇO",UPPER(C427)="SERVICO"),0,N(H427)*N(E427))</f>
        <v/>
      </c>
      <c r="L427" s="107">
        <f>IF(OR(UPPER(C427)="SERVIÇO",UPPER(C427)="SERVICO"),0,N(H427)*N(G427))</f>
        <v/>
      </c>
      <c r="M427" s="107">
        <f>IF(OR(UPPER(C427)="SERVIÇO",UPPER(C427)="SERVICO"),0,L427-K427)</f>
        <v/>
      </c>
    </row>
    <row r="428" ht="15" customHeight="1">
      <c r="B428" s="105" t="n">
        <v>417</v>
      </c>
      <c r="C428" s="105" t="inlineStr">
        <is>
          <t>Produto</t>
        </is>
      </c>
      <c r="D428" s="106" t="inlineStr">
        <is>
          <t>Bola de futebol iniciante verde</t>
        </is>
      </c>
      <c r="E428" s="107" t="n">
        <v>56.26</v>
      </c>
      <c r="F428" s="108" t="n">
        <v>50</v>
      </c>
      <c r="G428" s="107">
        <f>ROUND(E428*(1+IF(ABS(F428)&lt;=1,F428,F428/100)),2)</f>
        <v/>
      </c>
      <c r="H428" s="105" t="n">
        <v>15</v>
      </c>
      <c r="I428" s="105" t="n">
        <v>5</v>
      </c>
      <c r="J428" s="105">
        <f>IF(OR(UPPER(C428)="SERVIÇO",UPPER(C428)="SERVICO"),"SERVIÇO",IF(H428&lt;=0,"ZERADO",IF(H428&lt;=I428,"ESTOQUE BAIXO","NORMAL")))</f>
        <v/>
      </c>
      <c r="K428" s="107">
        <f>IF(OR(UPPER(C428)="SERVIÇO",UPPER(C428)="SERVICO"),0,N(H428)*N(E428))</f>
        <v/>
      </c>
      <c r="L428" s="107">
        <f>IF(OR(UPPER(C428)="SERVIÇO",UPPER(C428)="SERVICO"),0,N(H428)*N(G428))</f>
        <v/>
      </c>
      <c r="M428" s="107">
        <f>IF(OR(UPPER(C428)="SERVIÇO",UPPER(C428)="SERVICO"),0,L428-K428)</f>
        <v/>
      </c>
    </row>
    <row r="429" ht="15" customHeight="1">
      <c r="B429" s="105" t="n">
        <v>418</v>
      </c>
      <c r="C429" s="105" t="inlineStr">
        <is>
          <t>Produto</t>
        </is>
      </c>
      <c r="D429" s="106" t="inlineStr">
        <is>
          <t>Touca de natação alta performance branco tam. M</t>
        </is>
      </c>
      <c r="E429" s="107" t="n">
        <v>29.38</v>
      </c>
      <c r="F429" s="108" t="n">
        <v>50</v>
      </c>
      <c r="G429" s="107">
        <f>ROUND(E429*(1+IF(ABS(F429)&lt;=1,F429,F429/100)),2)</f>
        <v/>
      </c>
      <c r="H429" s="105" t="n">
        <v>15</v>
      </c>
      <c r="I429" s="105" t="n">
        <v>5</v>
      </c>
      <c r="J429" s="105">
        <f>IF(OR(UPPER(C429)="SERVIÇO",UPPER(C429)="SERVICO"),"SERVIÇO",IF(H429&lt;=0,"ZERADO",IF(H429&lt;=I429,"ESTOQUE BAIXO","NORMAL")))</f>
        <v/>
      </c>
      <c r="K429" s="107">
        <f>IF(OR(UPPER(C429)="SERVIÇO",UPPER(C429)="SERVICO"),0,N(H429)*N(E429))</f>
        <v/>
      </c>
      <c r="L429" s="107">
        <f>IF(OR(UPPER(C429)="SERVIÇO",UPPER(C429)="SERVICO"),0,N(H429)*N(G429))</f>
        <v/>
      </c>
      <c r="M429" s="107">
        <f>IF(OR(UPPER(C429)="SERVIÇO",UPPER(C429)="SERVICO"),0,L429-K429)</f>
        <v/>
      </c>
    </row>
    <row r="430" ht="15" customHeight="1">
      <c r="B430" s="105" t="n">
        <v>419</v>
      </c>
      <c r="C430" s="105" t="inlineStr">
        <is>
          <t>Produto</t>
        </is>
      </c>
      <c r="D430" s="106" t="inlineStr">
        <is>
          <t>Tênis de corrida recreativo rosa tam. 36</t>
        </is>
      </c>
      <c r="E430" s="107" t="n">
        <v>567.21</v>
      </c>
      <c r="F430" s="108" t="n">
        <v>50</v>
      </c>
      <c r="G430" s="107">
        <f>ROUND(E430*(1+IF(ABS(F430)&lt;=1,F430,F430/100)),2)</f>
        <v/>
      </c>
      <c r="H430" s="105" t="n">
        <v>15</v>
      </c>
      <c r="I430" s="105" t="n">
        <v>5</v>
      </c>
      <c r="J430" s="105">
        <f>IF(OR(UPPER(C430)="SERVIÇO",UPPER(C430)="SERVICO"),"SERVIÇO",IF(H430&lt;=0,"ZERADO",IF(H430&lt;=I430,"ESTOQUE BAIXO","NORMAL")))</f>
        <v/>
      </c>
      <c r="K430" s="107">
        <f>IF(OR(UPPER(C430)="SERVIÇO",UPPER(C430)="SERVICO"),0,N(H430)*N(E430))</f>
        <v/>
      </c>
      <c r="L430" s="107">
        <f>IF(OR(UPPER(C430)="SERVIÇO",UPPER(C430)="SERVICO"),0,N(H430)*N(G430))</f>
        <v/>
      </c>
      <c r="M430" s="107">
        <f>IF(OR(UPPER(C430)="SERVIÇO",UPPER(C430)="SERVICO"),0,L430-K430)</f>
        <v/>
      </c>
    </row>
    <row r="431" ht="15" customHeight="1">
      <c r="B431" s="105" t="n">
        <v>420</v>
      </c>
      <c r="C431" s="105" t="inlineStr">
        <is>
          <t>Produto</t>
        </is>
      </c>
      <c r="D431" s="106" t="inlineStr">
        <is>
          <t>Bola de futebol para uso diário verde</t>
        </is>
      </c>
      <c r="E431" s="107" t="n">
        <v>96.95</v>
      </c>
      <c r="F431" s="108" t="n">
        <v>50</v>
      </c>
      <c r="G431" s="107">
        <f>ROUND(E431*(1+IF(ABS(F431)&lt;=1,F431,F431/100)),2)</f>
        <v/>
      </c>
      <c r="H431" s="105" t="n">
        <v>15</v>
      </c>
      <c r="I431" s="105" t="n">
        <v>5</v>
      </c>
      <c r="J431" s="105">
        <f>IF(OR(UPPER(C431)="SERVIÇO",UPPER(C431)="SERVICO"),"SERVIÇO",IF(H431&lt;=0,"ZERADO",IF(H431&lt;=I431,"ESTOQUE BAIXO","NORMAL")))</f>
        <v/>
      </c>
      <c r="K431" s="107">
        <f>IF(OR(UPPER(C431)="SERVIÇO",UPPER(C431)="SERVICO"),0,N(H431)*N(E431))</f>
        <v/>
      </c>
      <c r="L431" s="107">
        <f>IF(OR(UPPER(C431)="SERVIÇO",UPPER(C431)="SERVICO"),0,N(H431)*N(G431))</f>
        <v/>
      </c>
      <c r="M431" s="107">
        <f>IF(OR(UPPER(C431)="SERVIÇO",UPPER(C431)="SERVICO"),0,L431-K431)</f>
        <v/>
      </c>
    </row>
    <row r="432" ht="15" customHeight="1">
      <c r="B432" s="105" t="n">
        <v>421</v>
      </c>
      <c r="C432" s="105" t="inlineStr">
        <is>
          <t>Produto</t>
        </is>
      </c>
      <c r="D432" s="106" t="inlineStr">
        <is>
          <t>Bolsa de academia iniciante preto</t>
        </is>
      </c>
      <c r="E432" s="107" t="n">
        <v>69.17</v>
      </c>
      <c r="F432" s="108" t="n">
        <v>50</v>
      </c>
      <c r="G432" s="107">
        <f>ROUND(E432*(1+IF(ABS(F432)&lt;=1,F432,F432/100)),2)</f>
        <v/>
      </c>
      <c r="H432" s="105" t="n">
        <v>15</v>
      </c>
      <c r="I432" s="105" t="n">
        <v>5</v>
      </c>
      <c r="J432" s="105">
        <f>IF(OR(UPPER(C432)="SERVIÇO",UPPER(C432)="SERVICO"),"SERVIÇO",IF(H432&lt;=0,"ZERADO",IF(H432&lt;=I432,"ESTOQUE BAIXO","NORMAL")))</f>
        <v/>
      </c>
      <c r="K432" s="107">
        <f>IF(OR(UPPER(C432)="SERVIÇO",UPPER(C432)="SERVICO"),0,N(H432)*N(E432))</f>
        <v/>
      </c>
      <c r="L432" s="107">
        <f>IF(OR(UPPER(C432)="SERVIÇO",UPPER(C432)="SERVICO"),0,N(H432)*N(G432))</f>
        <v/>
      </c>
      <c r="M432" s="107">
        <f>IF(OR(UPPER(C432)="SERVIÇO",UPPER(C432)="SERVICO"),0,L432-K432)</f>
        <v/>
      </c>
    </row>
    <row r="433" ht="15" customHeight="1">
      <c r="B433" s="105" t="n">
        <v>422</v>
      </c>
      <c r="C433" s="105" t="inlineStr">
        <is>
          <t>Produto</t>
        </is>
      </c>
      <c r="D433" s="106" t="inlineStr">
        <is>
          <t>Tapete de yoga juvenil azul</t>
        </is>
      </c>
      <c r="E433" s="107" t="n">
        <v>96.54000000000001</v>
      </c>
      <c r="F433" s="108" t="n">
        <v>50</v>
      </c>
      <c r="G433" s="107">
        <f>ROUND(E433*(1+IF(ABS(F433)&lt;=1,F433,F433/100)),2)</f>
        <v/>
      </c>
      <c r="H433" s="105" t="n">
        <v>15</v>
      </c>
      <c r="I433" s="105" t="n">
        <v>5</v>
      </c>
      <c r="J433" s="105">
        <f>IF(OR(UPPER(C433)="SERVIÇO",UPPER(C433)="SERVICO"),"SERVIÇO",IF(H433&lt;=0,"ZERADO",IF(H433&lt;=I433,"ESTOQUE BAIXO","NORMAL")))</f>
        <v/>
      </c>
      <c r="K433" s="107">
        <f>IF(OR(UPPER(C433)="SERVIÇO",UPPER(C433)="SERVICO"),0,N(H433)*N(E433))</f>
        <v/>
      </c>
      <c r="L433" s="107">
        <f>IF(OR(UPPER(C433)="SERVIÇO",UPPER(C433)="SERVICO"),0,N(H433)*N(G433))</f>
        <v/>
      </c>
      <c r="M433" s="107">
        <f>IF(OR(UPPER(C433)="SERVIÇO",UPPER(C433)="SERVICO"),0,L433-K433)</f>
        <v/>
      </c>
    </row>
    <row r="434" ht="15" customHeight="1">
      <c r="B434" s="105" t="n">
        <v>423</v>
      </c>
      <c r="C434" s="105" t="inlineStr">
        <is>
          <t>Produto</t>
        </is>
      </c>
      <c r="D434" s="106" t="inlineStr">
        <is>
          <t>Camiseta esportiva resistente cinza tam. M</t>
        </is>
      </c>
      <c r="E434" s="107" t="n">
        <v>83.09</v>
      </c>
      <c r="F434" s="108" t="n">
        <v>50</v>
      </c>
      <c r="G434" s="107">
        <f>ROUND(E434*(1+IF(ABS(F434)&lt;=1,F434,F434/100)),2)</f>
        <v/>
      </c>
      <c r="H434" s="105" t="n">
        <v>15</v>
      </c>
      <c r="I434" s="105" t="n">
        <v>5</v>
      </c>
      <c r="J434" s="105">
        <f>IF(OR(UPPER(C434)="SERVIÇO",UPPER(C434)="SERVICO"),"SERVIÇO",IF(H434&lt;=0,"ZERADO",IF(H434&lt;=I434,"ESTOQUE BAIXO","NORMAL")))</f>
        <v/>
      </c>
      <c r="K434" s="107">
        <f>IF(OR(UPPER(C434)="SERVIÇO",UPPER(C434)="SERVICO"),0,N(H434)*N(E434))</f>
        <v/>
      </c>
      <c r="L434" s="107">
        <f>IF(OR(UPPER(C434)="SERVIÇO",UPPER(C434)="SERVICO"),0,N(H434)*N(G434))</f>
        <v/>
      </c>
      <c r="M434" s="107">
        <f>IF(OR(UPPER(C434)="SERVIÇO",UPPER(C434)="SERVICO"),0,L434-K434)</f>
        <v/>
      </c>
    </row>
    <row r="435" ht="15" customHeight="1">
      <c r="B435" s="105" t="n">
        <v>424</v>
      </c>
      <c r="C435" s="105" t="inlineStr">
        <is>
          <t>Produto</t>
        </is>
      </c>
      <c r="D435" s="106" t="inlineStr">
        <is>
          <t>Garrafa squeeze versão 2026 verde</t>
        </is>
      </c>
      <c r="E435" s="107" t="n">
        <v>20.12</v>
      </c>
      <c r="F435" s="108" t="n">
        <v>50</v>
      </c>
      <c r="G435" s="107">
        <f>ROUND(E435*(1+IF(ABS(F435)&lt;=1,F435,F435/100)),2)</f>
        <v/>
      </c>
      <c r="H435" s="105" t="n">
        <v>15</v>
      </c>
      <c r="I435" s="105" t="n">
        <v>5</v>
      </c>
      <c r="J435" s="105">
        <f>IF(OR(UPPER(C435)="SERVIÇO",UPPER(C435)="SERVICO"),"SERVIÇO",IF(H435&lt;=0,"ZERADO",IF(H435&lt;=I435,"ESTOQUE BAIXO","NORMAL")))</f>
        <v/>
      </c>
      <c r="K435" s="107">
        <f>IF(OR(UPPER(C435)="SERVIÇO",UPPER(C435)="SERVICO"),0,N(H435)*N(E435))</f>
        <v/>
      </c>
      <c r="L435" s="107">
        <f>IF(OR(UPPER(C435)="SERVIÇO",UPPER(C435)="SERVICO"),0,N(H435)*N(G435))</f>
        <v/>
      </c>
      <c r="M435" s="107">
        <f>IF(OR(UPPER(C435)="SERVIÇO",UPPER(C435)="SERVICO"),0,L435-K435)</f>
        <v/>
      </c>
    </row>
    <row r="436" ht="15" customHeight="1">
      <c r="B436" s="105" t="n">
        <v>425</v>
      </c>
      <c r="C436" s="105" t="inlineStr">
        <is>
          <t>Produto</t>
        </is>
      </c>
      <c r="D436" s="106" t="inlineStr">
        <is>
          <t>Chuteira de campo recreativo rosa tam. 44</t>
        </is>
      </c>
      <c r="E436" s="107" t="n">
        <v>246.8</v>
      </c>
      <c r="F436" s="108" t="n">
        <v>50</v>
      </c>
      <c r="G436" s="107">
        <f>ROUND(E436*(1+IF(ABS(F436)&lt;=1,F436,F436/100)),2)</f>
        <v/>
      </c>
      <c r="H436" s="105" t="n">
        <v>15</v>
      </c>
      <c r="I436" s="105" t="n">
        <v>5</v>
      </c>
      <c r="J436" s="105">
        <f>IF(OR(UPPER(C436)="SERVIÇO",UPPER(C436)="SERVICO"),"SERVIÇO",IF(H436&lt;=0,"ZERADO",IF(H436&lt;=I436,"ESTOQUE BAIXO","NORMAL")))</f>
        <v/>
      </c>
      <c r="K436" s="107">
        <f>IF(OR(UPPER(C436)="SERVIÇO",UPPER(C436)="SERVICO"),0,N(H436)*N(E436))</f>
        <v/>
      </c>
      <c r="L436" s="107">
        <f>IF(OR(UPPER(C436)="SERVIÇO",UPPER(C436)="SERVICO"),0,N(H436)*N(G436))</f>
        <v/>
      </c>
      <c r="M436" s="107">
        <f>IF(OR(UPPER(C436)="SERVIÇO",UPPER(C436)="SERVICO"),0,L436-K436)</f>
        <v/>
      </c>
    </row>
    <row r="437" ht="15" customHeight="1">
      <c r="B437" s="105" t="n">
        <v>426</v>
      </c>
      <c r="C437" s="105" t="inlineStr">
        <is>
          <t>Produto</t>
        </is>
      </c>
      <c r="D437" s="106" t="inlineStr">
        <is>
          <t>Skate ergonômico verde</t>
        </is>
      </c>
      <c r="E437" s="107" t="n">
        <v>478.49</v>
      </c>
      <c r="F437" s="108" t="n">
        <v>50</v>
      </c>
      <c r="G437" s="107">
        <f>ROUND(E437*(1+IF(ABS(F437)&lt;=1,F437,F437/100)),2)</f>
        <v/>
      </c>
      <c r="H437" s="105" t="n">
        <v>15</v>
      </c>
      <c r="I437" s="105" t="n">
        <v>5</v>
      </c>
      <c r="J437" s="105">
        <f>IF(OR(UPPER(C437)="SERVIÇO",UPPER(C437)="SERVICO"),"SERVIÇO",IF(H437&lt;=0,"ZERADO",IF(H437&lt;=I437,"ESTOQUE BAIXO","NORMAL")))</f>
        <v/>
      </c>
      <c r="K437" s="107">
        <f>IF(OR(UPPER(C437)="SERVIÇO",UPPER(C437)="SERVICO"),0,N(H437)*N(E437))</f>
        <v/>
      </c>
      <c r="L437" s="107">
        <f>IF(OR(UPPER(C437)="SERVIÇO",UPPER(C437)="SERVICO"),0,N(H437)*N(G437))</f>
        <v/>
      </c>
      <c r="M437" s="107">
        <f>IF(OR(UPPER(C437)="SERVIÇO",UPPER(C437)="SERVICO"),0,L437-K437)</f>
        <v/>
      </c>
    </row>
    <row r="438" ht="15" customHeight="1">
      <c r="B438" s="105" t="n">
        <v>427</v>
      </c>
      <c r="C438" s="105" t="inlineStr">
        <is>
          <t>Produto</t>
        </is>
      </c>
      <c r="D438" s="106" t="inlineStr">
        <is>
          <t>Nadadeira profissional rosa</t>
        </is>
      </c>
      <c r="E438" s="107" t="n">
        <v>106.34</v>
      </c>
      <c r="F438" s="108" t="n">
        <v>50</v>
      </c>
      <c r="G438" s="107">
        <f>ROUND(E438*(1+IF(ABS(F438)&lt;=1,F438,F438/100)),2)</f>
        <v/>
      </c>
      <c r="H438" s="105" t="n">
        <v>15</v>
      </c>
      <c r="I438" s="105" t="n">
        <v>5</v>
      </c>
      <c r="J438" s="105">
        <f>IF(OR(UPPER(C438)="SERVIÇO",UPPER(C438)="SERVICO"),"SERVIÇO",IF(H438&lt;=0,"ZERADO",IF(H438&lt;=I438,"ESTOQUE BAIXO","NORMAL")))</f>
        <v/>
      </c>
      <c r="K438" s="107">
        <f>IF(OR(UPPER(C438)="SERVIÇO",UPPER(C438)="SERVICO"),0,N(H438)*N(E438))</f>
        <v/>
      </c>
      <c r="L438" s="107">
        <f>IF(OR(UPPER(C438)="SERVIÇO",UPPER(C438)="SERVICO"),0,N(H438)*N(G438))</f>
        <v/>
      </c>
      <c r="M438" s="107">
        <f>IF(OR(UPPER(C438)="SERVIÇO",UPPER(C438)="SERVICO"),0,L438-K438)</f>
        <v/>
      </c>
    </row>
    <row r="439" ht="15" customHeight="1">
      <c r="B439" s="105" t="n">
        <v>428</v>
      </c>
      <c r="C439" s="105" t="inlineStr">
        <is>
          <t>Produto</t>
        </is>
      </c>
      <c r="D439" s="106" t="inlineStr">
        <is>
          <t>Tapete de yoga unissex azul</t>
        </is>
      </c>
      <c r="E439" s="107" t="n">
        <v>33.58</v>
      </c>
      <c r="F439" s="108" t="n">
        <v>50</v>
      </c>
      <c r="G439" s="107">
        <f>ROUND(E439*(1+IF(ABS(F439)&lt;=1,F439,F439/100)),2)</f>
        <v/>
      </c>
      <c r="H439" s="105" t="n">
        <v>15</v>
      </c>
      <c r="I439" s="105" t="n">
        <v>5</v>
      </c>
      <c r="J439" s="105">
        <f>IF(OR(UPPER(C439)="SERVIÇO",UPPER(C439)="SERVICO"),"SERVIÇO",IF(H439&lt;=0,"ZERADO",IF(H439&lt;=I439,"ESTOQUE BAIXO","NORMAL")))</f>
        <v/>
      </c>
      <c r="K439" s="107">
        <f>IF(OR(UPPER(C439)="SERVIÇO",UPPER(C439)="SERVICO"),0,N(H439)*N(E439))</f>
        <v/>
      </c>
      <c r="L439" s="107">
        <f>IF(OR(UPPER(C439)="SERVIÇO",UPPER(C439)="SERVICO"),0,N(H439)*N(G439))</f>
        <v/>
      </c>
      <c r="M439" s="107">
        <f>IF(OR(UPPER(C439)="SERVIÇO",UPPER(C439)="SERVICO"),0,L439-K439)</f>
        <v/>
      </c>
    </row>
    <row r="440" ht="15" customHeight="1">
      <c r="B440" s="105" t="n">
        <v>429</v>
      </c>
      <c r="C440" s="105" t="inlineStr">
        <is>
          <t>Produto</t>
        </is>
      </c>
      <c r="D440" s="106" t="inlineStr">
        <is>
          <t>Luva de goleiro reforçado vermelho tam. G</t>
        </is>
      </c>
      <c r="E440" s="107" t="n">
        <v>94.81</v>
      </c>
      <c r="F440" s="108" t="n">
        <v>50</v>
      </c>
      <c r="G440" s="107">
        <f>ROUND(E440*(1+IF(ABS(F440)&lt;=1,F440,F440/100)),2)</f>
        <v/>
      </c>
      <c r="H440" s="105" t="n">
        <v>15</v>
      </c>
      <c r="I440" s="105" t="n">
        <v>5</v>
      </c>
      <c r="J440" s="105">
        <f>IF(OR(UPPER(C440)="SERVIÇO",UPPER(C440)="SERVICO"),"SERVIÇO",IF(H440&lt;=0,"ZERADO",IF(H440&lt;=I440,"ESTOQUE BAIXO","NORMAL")))</f>
        <v/>
      </c>
      <c r="K440" s="107">
        <f>IF(OR(UPPER(C440)="SERVIÇO",UPPER(C440)="SERVICO"),0,N(H440)*N(E440))</f>
        <v/>
      </c>
      <c r="L440" s="107">
        <f>IF(OR(UPPER(C440)="SERVIÇO",UPPER(C440)="SERVICO"),0,N(H440)*N(G440))</f>
        <v/>
      </c>
      <c r="M440" s="107">
        <f>IF(OR(UPPER(C440)="SERVIÇO",UPPER(C440)="SERVICO"),0,L440-K440)</f>
        <v/>
      </c>
    </row>
    <row r="441" ht="15" customHeight="1">
      <c r="B441" s="105" t="n">
        <v>430</v>
      </c>
      <c r="C441" s="105" t="inlineStr">
        <is>
          <t>Produto</t>
        </is>
      </c>
      <c r="D441" s="106" t="inlineStr">
        <is>
          <t>Monitor cardíaco treino verde</t>
        </is>
      </c>
      <c r="E441" s="107" t="n">
        <v>445.38</v>
      </c>
      <c r="F441" s="108" t="n">
        <v>50</v>
      </c>
      <c r="G441" s="107">
        <f>ROUND(E441*(1+IF(ABS(F441)&lt;=1,F441,F441/100)),2)</f>
        <v/>
      </c>
      <c r="H441" s="105" t="n">
        <v>15</v>
      </c>
      <c r="I441" s="105" t="n">
        <v>5</v>
      </c>
      <c r="J441" s="105">
        <f>IF(OR(UPPER(C441)="SERVIÇO",UPPER(C441)="SERVICO"),"SERVIÇO",IF(H441&lt;=0,"ZERADO",IF(H441&lt;=I441,"ESTOQUE BAIXO","NORMAL")))</f>
        <v/>
      </c>
      <c r="K441" s="107">
        <f>IF(OR(UPPER(C441)="SERVIÇO",UPPER(C441)="SERVICO"),0,N(H441)*N(E441))</f>
        <v/>
      </c>
      <c r="L441" s="107">
        <f>IF(OR(UPPER(C441)="SERVIÇO",UPPER(C441)="SERVICO"),0,N(H441)*N(G441))</f>
        <v/>
      </c>
      <c r="M441" s="107">
        <f>IF(OR(UPPER(C441)="SERVIÇO",UPPER(C441)="SERVICO"),0,L441-K441)</f>
        <v/>
      </c>
    </row>
    <row r="442" ht="15" customHeight="1">
      <c r="B442" s="105" t="n">
        <v>431</v>
      </c>
      <c r="C442" s="105" t="inlineStr">
        <is>
          <t>Produto</t>
        </is>
      </c>
      <c r="D442" s="106" t="inlineStr">
        <is>
          <t>Óculos esportivos resistente rosa</t>
        </is>
      </c>
      <c r="E442" s="107" t="n">
        <v>344.18</v>
      </c>
      <c r="F442" s="108" t="n">
        <v>50</v>
      </c>
      <c r="G442" s="107">
        <f>ROUND(E442*(1+IF(ABS(F442)&lt;=1,F442,F442/100)),2)</f>
        <v/>
      </c>
      <c r="H442" s="105" t="n">
        <v>15</v>
      </c>
      <c r="I442" s="105" t="n">
        <v>5</v>
      </c>
      <c r="J442" s="105">
        <f>IF(OR(UPPER(C442)="SERVIÇO",UPPER(C442)="SERVICO"),"SERVIÇO",IF(H442&lt;=0,"ZERADO",IF(H442&lt;=I442,"ESTOQUE BAIXO","NORMAL")))</f>
        <v/>
      </c>
      <c r="K442" s="107">
        <f>IF(OR(UPPER(C442)="SERVIÇO",UPPER(C442)="SERVICO"),0,N(H442)*N(E442))</f>
        <v/>
      </c>
      <c r="L442" s="107">
        <f>IF(OR(UPPER(C442)="SERVIÇO",UPPER(C442)="SERVICO"),0,N(H442)*N(G442))</f>
        <v/>
      </c>
      <c r="M442" s="107">
        <f>IF(OR(UPPER(C442)="SERVIÇO",UPPER(C442)="SERVICO"),0,L442-K442)</f>
        <v/>
      </c>
    </row>
    <row r="443" ht="15" customHeight="1">
      <c r="B443" s="105" t="n">
        <v>432</v>
      </c>
      <c r="C443" s="105" t="inlineStr">
        <is>
          <t>Produto</t>
        </is>
      </c>
      <c r="D443" s="106" t="inlineStr">
        <is>
          <t>Capacete de ciclismo resistente laranja</t>
        </is>
      </c>
      <c r="E443" s="107" t="n">
        <v>190.46</v>
      </c>
      <c r="F443" s="108" t="n">
        <v>50</v>
      </c>
      <c r="G443" s="107">
        <f>ROUND(E443*(1+IF(ABS(F443)&lt;=1,F443,F443/100)),2)</f>
        <v/>
      </c>
      <c r="H443" s="105" t="n">
        <v>15</v>
      </c>
      <c r="I443" s="105" t="n">
        <v>5</v>
      </c>
      <c r="J443" s="105">
        <f>IF(OR(UPPER(C443)="SERVIÇO",UPPER(C443)="SERVICO"),"SERVIÇO",IF(H443&lt;=0,"ZERADO",IF(H443&lt;=I443,"ESTOQUE BAIXO","NORMAL")))</f>
        <v/>
      </c>
      <c r="K443" s="107">
        <f>IF(OR(UPPER(C443)="SERVIÇO",UPPER(C443)="SERVICO"),0,N(H443)*N(E443))</f>
        <v/>
      </c>
      <c r="L443" s="107">
        <f>IF(OR(UPPER(C443)="SERVIÇO",UPPER(C443)="SERVICO"),0,N(H443)*N(G443))</f>
        <v/>
      </c>
      <c r="M443" s="107">
        <f>IF(OR(UPPER(C443)="SERVIÇO",UPPER(C443)="SERVICO"),0,L443-K443)</f>
        <v/>
      </c>
    </row>
    <row r="444" ht="15" customHeight="1">
      <c r="B444" s="105" t="n">
        <v>433</v>
      </c>
      <c r="C444" s="105" t="inlineStr">
        <is>
          <t>Produto</t>
        </is>
      </c>
      <c r="D444" s="106" t="inlineStr">
        <is>
          <t>Raquete de tênis com ajuste cinza tam. P</t>
        </is>
      </c>
      <c r="E444" s="107" t="n">
        <v>246.37</v>
      </c>
      <c r="F444" s="108" t="n">
        <v>50</v>
      </c>
      <c r="G444" s="107">
        <f>ROUND(E444*(1+IF(ABS(F444)&lt;=1,F444,F444/100)),2)</f>
        <v/>
      </c>
      <c r="H444" s="105" t="n">
        <v>15</v>
      </c>
      <c r="I444" s="105" t="n">
        <v>5</v>
      </c>
      <c r="J444" s="105">
        <f>IF(OR(UPPER(C444)="SERVIÇO",UPPER(C444)="SERVICO"),"SERVIÇO",IF(H444&lt;=0,"ZERADO",IF(H444&lt;=I444,"ESTOQUE BAIXO","NORMAL")))</f>
        <v/>
      </c>
      <c r="K444" s="107">
        <f>IF(OR(UPPER(C444)="SERVIÇO",UPPER(C444)="SERVICO"),0,N(H444)*N(E444))</f>
        <v/>
      </c>
      <c r="L444" s="107">
        <f>IF(OR(UPPER(C444)="SERVIÇO",UPPER(C444)="SERVICO"),0,N(H444)*N(G444))</f>
        <v/>
      </c>
      <c r="M444" s="107">
        <f>IF(OR(UPPER(C444)="SERVIÇO",UPPER(C444)="SERVICO"),0,L444-K444)</f>
        <v/>
      </c>
    </row>
    <row r="445" ht="15" customHeight="1">
      <c r="B445" s="105" t="n">
        <v>434</v>
      </c>
      <c r="C445" s="105" t="inlineStr">
        <is>
          <t>Produto</t>
        </is>
      </c>
      <c r="D445" s="106" t="inlineStr">
        <is>
          <t>Bola de futebol unissex azul</t>
        </is>
      </c>
      <c r="E445" s="107" t="n">
        <v>36.73</v>
      </c>
      <c r="F445" s="108" t="n">
        <v>50</v>
      </c>
      <c r="G445" s="107">
        <f>ROUND(E445*(1+IF(ABS(F445)&lt;=1,F445,F445/100)),2)</f>
        <v/>
      </c>
      <c r="H445" s="105" t="n">
        <v>15</v>
      </c>
      <c r="I445" s="105" t="n">
        <v>5</v>
      </c>
      <c r="J445" s="105">
        <f>IF(OR(UPPER(C445)="SERVIÇO",UPPER(C445)="SERVICO"),"SERVIÇO",IF(H445&lt;=0,"ZERADO",IF(H445&lt;=I445,"ESTOQUE BAIXO","NORMAL")))</f>
        <v/>
      </c>
      <c r="K445" s="107">
        <f>IF(OR(UPPER(C445)="SERVIÇO",UPPER(C445)="SERVICO"),0,N(H445)*N(E445))</f>
        <v/>
      </c>
      <c r="L445" s="107">
        <f>IF(OR(UPPER(C445)="SERVIÇO",UPPER(C445)="SERVICO"),0,N(H445)*N(G445))</f>
        <v/>
      </c>
      <c r="M445" s="107">
        <f>IF(OR(UPPER(C445)="SERVIÇO",UPPER(C445)="SERVICO"),0,L445-K445)</f>
        <v/>
      </c>
    </row>
    <row r="446" ht="15" customHeight="1">
      <c r="B446" s="105" t="n">
        <v>435</v>
      </c>
      <c r="C446" s="105" t="inlineStr">
        <is>
          <t>Produto</t>
        </is>
      </c>
      <c r="D446" s="106" t="inlineStr">
        <is>
          <t>Colchonete de exercício ventilado preto</t>
        </is>
      </c>
      <c r="E446" s="107" t="n">
        <v>113.66</v>
      </c>
      <c r="F446" s="108" t="n">
        <v>50</v>
      </c>
      <c r="G446" s="107">
        <f>ROUND(E446*(1+IF(ABS(F446)&lt;=1,F446,F446/100)),2)</f>
        <v/>
      </c>
      <c r="H446" s="105" t="n">
        <v>15</v>
      </c>
      <c r="I446" s="105" t="n">
        <v>5</v>
      </c>
      <c r="J446" s="105">
        <f>IF(OR(UPPER(C446)="SERVIÇO",UPPER(C446)="SERVICO"),"SERVIÇO",IF(H446&lt;=0,"ZERADO",IF(H446&lt;=I446,"ESTOQUE BAIXO","NORMAL")))</f>
        <v/>
      </c>
      <c r="K446" s="107">
        <f>IF(OR(UPPER(C446)="SERVIÇO",UPPER(C446)="SERVICO"),0,N(H446)*N(E446))</f>
        <v/>
      </c>
      <c r="L446" s="107">
        <f>IF(OR(UPPER(C446)="SERVIÇO",UPPER(C446)="SERVICO"),0,N(H446)*N(G446))</f>
        <v/>
      </c>
      <c r="M446" s="107">
        <f>IF(OR(UPPER(C446)="SERVIÇO",UPPER(C446)="SERVICO"),0,L446-K446)</f>
        <v/>
      </c>
    </row>
    <row r="447" ht="15" customHeight="1">
      <c r="B447" s="105" t="n">
        <v>436</v>
      </c>
      <c r="C447" s="105" t="inlineStr">
        <is>
          <t>Produto</t>
        </is>
      </c>
      <c r="D447" s="106" t="inlineStr">
        <is>
          <t>Raquete de beach tennis juvenil cinza</t>
        </is>
      </c>
      <c r="E447" s="107" t="n">
        <v>364.96</v>
      </c>
      <c r="F447" s="108" t="n">
        <v>50</v>
      </c>
      <c r="G447" s="107">
        <f>ROUND(E447*(1+IF(ABS(F447)&lt;=1,F447,F447/100)),2)</f>
        <v/>
      </c>
      <c r="H447" s="105" t="n">
        <v>15</v>
      </c>
      <c r="I447" s="105" t="n">
        <v>5</v>
      </c>
      <c r="J447" s="105">
        <f>IF(OR(UPPER(C447)="SERVIÇO",UPPER(C447)="SERVICO"),"SERVIÇO",IF(H447&lt;=0,"ZERADO",IF(H447&lt;=I447,"ESTOQUE BAIXO","NORMAL")))</f>
        <v/>
      </c>
      <c r="K447" s="107">
        <f>IF(OR(UPPER(C447)="SERVIÇO",UPPER(C447)="SERVICO"),0,N(H447)*N(E447))</f>
        <v/>
      </c>
      <c r="L447" s="107">
        <f>IF(OR(UPPER(C447)="SERVIÇO",UPPER(C447)="SERVICO"),0,N(H447)*N(G447))</f>
        <v/>
      </c>
      <c r="M447" s="107">
        <f>IF(OR(UPPER(C447)="SERVIÇO",UPPER(C447)="SERVICO"),0,L447-K447)</f>
        <v/>
      </c>
    </row>
    <row r="448" ht="15" customHeight="1">
      <c r="B448" s="105" t="n">
        <v>437</v>
      </c>
      <c r="C448" s="105" t="inlineStr">
        <is>
          <t>Produto</t>
        </is>
      </c>
      <c r="D448" s="106" t="inlineStr">
        <is>
          <t>Banco de musculação alta performance branco</t>
        </is>
      </c>
      <c r="E448" s="107" t="n">
        <v>1490.51</v>
      </c>
      <c r="F448" s="108" t="n">
        <v>50</v>
      </c>
      <c r="G448" s="107">
        <f>ROUND(E448*(1+IF(ABS(F448)&lt;=1,F448,F448/100)),2)</f>
        <v/>
      </c>
      <c r="H448" s="105" t="n">
        <v>15</v>
      </c>
      <c r="I448" s="105" t="n">
        <v>5</v>
      </c>
      <c r="J448" s="105">
        <f>IF(OR(UPPER(C448)="SERVIÇO",UPPER(C448)="SERVICO"),"SERVIÇO",IF(H448&lt;=0,"ZERADO",IF(H448&lt;=I448,"ESTOQUE BAIXO","NORMAL")))</f>
        <v/>
      </c>
      <c r="K448" s="107">
        <f>IF(OR(UPPER(C448)="SERVIÇO",UPPER(C448)="SERVICO"),0,N(H448)*N(E448))</f>
        <v/>
      </c>
      <c r="L448" s="107">
        <f>IF(OR(UPPER(C448)="SERVIÇO",UPPER(C448)="SERVICO"),0,N(H448)*N(G448))</f>
        <v/>
      </c>
      <c r="M448" s="107">
        <f>IF(OR(UPPER(C448)="SERVIÇO",UPPER(C448)="SERVICO"),0,L448-K448)</f>
        <v/>
      </c>
    </row>
    <row r="449" ht="15" customHeight="1">
      <c r="B449" s="105" t="n">
        <v>438</v>
      </c>
      <c r="C449" s="105" t="inlineStr">
        <is>
          <t>Produto</t>
        </is>
      </c>
      <c r="D449" s="106" t="inlineStr">
        <is>
          <t>Bloco para yoga para uso diário laranja</t>
        </is>
      </c>
      <c r="E449" s="107" t="n">
        <v>12.07</v>
      </c>
      <c r="F449" s="108" t="n">
        <v>50</v>
      </c>
      <c r="G449" s="107">
        <f>ROUND(E449*(1+IF(ABS(F449)&lt;=1,F449,F449/100)),2)</f>
        <v/>
      </c>
      <c r="H449" s="105" t="n">
        <v>15</v>
      </c>
      <c r="I449" s="105" t="n">
        <v>5</v>
      </c>
      <c r="J449" s="105">
        <f>IF(OR(UPPER(C449)="SERVIÇO",UPPER(C449)="SERVICO"),"SERVIÇO",IF(H449&lt;=0,"ZERADO",IF(H449&lt;=I449,"ESTOQUE BAIXO","NORMAL")))</f>
        <v/>
      </c>
      <c r="K449" s="107">
        <f>IF(OR(UPPER(C449)="SERVIÇO",UPPER(C449)="SERVICO"),0,N(H449)*N(E449))</f>
        <v/>
      </c>
      <c r="L449" s="107">
        <f>IF(OR(UPPER(C449)="SERVIÇO",UPPER(C449)="SERVICO"),0,N(H449)*N(G449))</f>
        <v/>
      </c>
      <c r="M449" s="107">
        <f>IF(OR(UPPER(C449)="SERVIÇO",UPPER(C449)="SERVICO"),0,L449-K449)</f>
        <v/>
      </c>
    </row>
    <row r="450" ht="15" customHeight="1">
      <c r="B450" s="105" t="n">
        <v>439</v>
      </c>
      <c r="C450" s="105" t="inlineStr">
        <is>
          <t>Produto</t>
        </is>
      </c>
      <c r="D450" s="106" t="inlineStr">
        <is>
          <t>Prancha de natação recreativo branco</t>
        </is>
      </c>
      <c r="E450" s="107" t="n">
        <v>28.61</v>
      </c>
      <c r="F450" s="108" t="n">
        <v>50</v>
      </c>
      <c r="G450" s="107">
        <f>ROUND(E450*(1+IF(ABS(F450)&lt;=1,F450,F450/100)),2)</f>
        <v/>
      </c>
      <c r="H450" s="105" t="n">
        <v>15</v>
      </c>
      <c r="I450" s="105" t="n">
        <v>5</v>
      </c>
      <c r="J450" s="105">
        <f>IF(OR(UPPER(C450)="SERVIÇO",UPPER(C450)="SERVICO"),"SERVIÇO",IF(H450&lt;=0,"ZERADO",IF(H450&lt;=I450,"ESTOQUE BAIXO","NORMAL")))</f>
        <v/>
      </c>
      <c r="K450" s="107">
        <f>IF(OR(UPPER(C450)="SERVIÇO",UPPER(C450)="SERVICO"),0,N(H450)*N(E450))</f>
        <v/>
      </c>
      <c r="L450" s="107">
        <f>IF(OR(UPPER(C450)="SERVIÇO",UPPER(C450)="SERVICO"),0,N(H450)*N(G450))</f>
        <v/>
      </c>
      <c r="M450" s="107">
        <f>IF(OR(UPPER(C450)="SERVIÇO",UPPER(C450)="SERVICO"),0,L450-K450)</f>
        <v/>
      </c>
    </row>
    <row r="451" ht="15" customHeight="1">
      <c r="B451" s="105" t="n">
        <v>440</v>
      </c>
      <c r="C451" s="105" t="inlineStr">
        <is>
          <t>Produto</t>
        </is>
      </c>
      <c r="D451" s="106" t="inlineStr">
        <is>
          <t>Caneleira de futebol resistente vermelho</t>
        </is>
      </c>
      <c r="E451" s="107" t="n">
        <v>68.70999999999999</v>
      </c>
      <c r="F451" s="108" t="n">
        <v>50</v>
      </c>
      <c r="G451" s="107">
        <f>ROUND(E451*(1+IF(ABS(F451)&lt;=1,F451,F451/100)),2)</f>
        <v/>
      </c>
      <c r="H451" s="105" t="n">
        <v>15</v>
      </c>
      <c r="I451" s="105" t="n">
        <v>5</v>
      </c>
      <c r="J451" s="105">
        <f>IF(OR(UPPER(C451)="SERVIÇO",UPPER(C451)="SERVICO"),"SERVIÇO",IF(H451&lt;=0,"ZERADO",IF(H451&lt;=I451,"ESTOQUE BAIXO","NORMAL")))</f>
        <v/>
      </c>
      <c r="K451" s="107">
        <f>IF(OR(UPPER(C451)="SERVIÇO",UPPER(C451)="SERVICO"),0,N(H451)*N(E451))</f>
        <v/>
      </c>
      <c r="L451" s="107">
        <f>IF(OR(UPPER(C451)="SERVIÇO",UPPER(C451)="SERVICO"),0,N(H451)*N(G451))</f>
        <v/>
      </c>
      <c r="M451" s="107">
        <f>IF(OR(UPPER(C451)="SERVIÇO",UPPER(C451)="SERVICO"),0,L451-K451)</f>
        <v/>
      </c>
    </row>
    <row r="452" ht="15" customHeight="1">
      <c r="B452" s="105" t="n">
        <v>441</v>
      </c>
      <c r="C452" s="105" t="inlineStr">
        <is>
          <t>Produto</t>
        </is>
      </c>
      <c r="D452" s="106" t="inlineStr">
        <is>
          <t>Jaqueta esportiva adulto cinza tam. 40</t>
        </is>
      </c>
      <c r="E452" s="107" t="n">
        <v>219.62</v>
      </c>
      <c r="F452" s="108" t="n">
        <v>50</v>
      </c>
      <c r="G452" s="107">
        <f>ROUND(E452*(1+IF(ABS(F452)&lt;=1,F452,F452/100)),2)</f>
        <v/>
      </c>
      <c r="H452" s="105" t="n">
        <v>15</v>
      </c>
      <c r="I452" s="105" t="n">
        <v>5</v>
      </c>
      <c r="J452" s="105">
        <f>IF(OR(UPPER(C452)="SERVIÇO",UPPER(C452)="SERVICO"),"SERVIÇO",IF(H452&lt;=0,"ZERADO",IF(H452&lt;=I452,"ESTOQUE BAIXO","NORMAL")))</f>
        <v/>
      </c>
      <c r="K452" s="107">
        <f>IF(OR(UPPER(C452)="SERVIÇO",UPPER(C452)="SERVICO"),0,N(H452)*N(E452))</f>
        <v/>
      </c>
      <c r="L452" s="107">
        <f>IF(OR(UPPER(C452)="SERVIÇO",UPPER(C452)="SERVICO"),0,N(H452)*N(G452))</f>
        <v/>
      </c>
      <c r="M452" s="107">
        <f>IF(OR(UPPER(C452)="SERVIÇO",UPPER(C452)="SERVICO"),0,L452-K452)</f>
        <v/>
      </c>
    </row>
    <row r="453" ht="15" customHeight="1">
      <c r="B453" s="105" t="n">
        <v>442</v>
      </c>
      <c r="C453" s="105" t="inlineStr">
        <is>
          <t>Produto</t>
        </is>
      </c>
      <c r="D453" s="106" t="inlineStr">
        <is>
          <t>Caneleira de futebol ventilado laranja</t>
        </is>
      </c>
      <c r="E453" s="107" t="n">
        <v>76.16</v>
      </c>
      <c r="F453" s="108" t="n">
        <v>50</v>
      </c>
      <c r="G453" s="107">
        <f>ROUND(E453*(1+IF(ABS(F453)&lt;=1,F453,F453/100)),2)</f>
        <v/>
      </c>
      <c r="H453" s="105" t="n">
        <v>15</v>
      </c>
      <c r="I453" s="105" t="n">
        <v>5</v>
      </c>
      <c r="J453" s="105">
        <f>IF(OR(UPPER(C453)="SERVIÇO",UPPER(C453)="SERVICO"),"SERVIÇO",IF(H453&lt;=0,"ZERADO",IF(H453&lt;=I453,"ESTOQUE BAIXO","NORMAL")))</f>
        <v/>
      </c>
      <c r="K453" s="107">
        <f>IF(OR(UPPER(C453)="SERVIÇO",UPPER(C453)="SERVICO"),0,N(H453)*N(E453))</f>
        <v/>
      </c>
      <c r="L453" s="107">
        <f>IF(OR(UPPER(C453)="SERVIÇO",UPPER(C453)="SERVICO"),0,N(H453)*N(G453))</f>
        <v/>
      </c>
      <c r="M453" s="107">
        <f>IF(OR(UPPER(C453)="SERVIÇO",UPPER(C453)="SERVICO"),0,L453-K453)</f>
        <v/>
      </c>
    </row>
    <row r="454" ht="15" customHeight="1">
      <c r="B454" s="105" t="n">
        <v>443</v>
      </c>
      <c r="C454" s="105" t="inlineStr">
        <is>
          <t>Produto</t>
        </is>
      </c>
      <c r="D454" s="106" t="inlineStr">
        <is>
          <t>Meias esportivas modelo avançado vermelho tam. 34</t>
        </is>
      </c>
      <c r="E454" s="107" t="n">
        <v>12.73</v>
      </c>
      <c r="F454" s="108" t="n">
        <v>50</v>
      </c>
      <c r="G454" s="107">
        <f>ROUND(E454*(1+IF(ABS(F454)&lt;=1,F454,F454/100)),2)</f>
        <v/>
      </c>
      <c r="H454" s="105" t="n">
        <v>15</v>
      </c>
      <c r="I454" s="105" t="n">
        <v>5</v>
      </c>
      <c r="J454" s="105">
        <f>IF(OR(UPPER(C454)="SERVIÇO",UPPER(C454)="SERVICO"),"SERVIÇO",IF(H454&lt;=0,"ZERADO",IF(H454&lt;=I454,"ESTOQUE BAIXO","NORMAL")))</f>
        <v/>
      </c>
      <c r="K454" s="107">
        <f>IF(OR(UPPER(C454)="SERVIÇO",UPPER(C454)="SERVICO"),0,N(H454)*N(E454))</f>
        <v/>
      </c>
      <c r="L454" s="107">
        <f>IF(OR(UPPER(C454)="SERVIÇO",UPPER(C454)="SERVICO"),0,N(H454)*N(G454))</f>
        <v/>
      </c>
      <c r="M454" s="107">
        <f>IF(OR(UPPER(C454)="SERVIÇO",UPPER(C454)="SERVICO"),0,L454-K454)</f>
        <v/>
      </c>
    </row>
    <row r="455" ht="15" customHeight="1">
      <c r="B455" s="105" t="n">
        <v>444</v>
      </c>
      <c r="C455" s="105" t="inlineStr">
        <is>
          <t>Produto</t>
        </is>
      </c>
      <c r="D455" s="106" t="inlineStr">
        <is>
          <t>Bastão de caminhada juvenil laranja</t>
        </is>
      </c>
      <c r="E455" s="107" t="n">
        <v>122.18</v>
      </c>
      <c r="F455" s="108" t="n">
        <v>50</v>
      </c>
      <c r="G455" s="107">
        <f>ROUND(E455*(1+IF(ABS(F455)&lt;=1,F455,F455/100)),2)</f>
        <v/>
      </c>
      <c r="H455" s="105" t="n">
        <v>15</v>
      </c>
      <c r="I455" s="105" t="n">
        <v>5</v>
      </c>
      <c r="J455" s="105">
        <f>IF(OR(UPPER(C455)="SERVIÇO",UPPER(C455)="SERVICO"),"SERVIÇO",IF(H455&lt;=0,"ZERADO",IF(H455&lt;=I455,"ESTOQUE BAIXO","NORMAL")))</f>
        <v/>
      </c>
      <c r="K455" s="107">
        <f>IF(OR(UPPER(C455)="SERVIÇO",UPPER(C455)="SERVICO"),0,N(H455)*N(E455))</f>
        <v/>
      </c>
      <c r="L455" s="107">
        <f>IF(OR(UPPER(C455)="SERVIÇO",UPPER(C455)="SERVICO"),0,N(H455)*N(G455))</f>
        <v/>
      </c>
      <c r="M455" s="107">
        <f>IF(OR(UPPER(C455)="SERVIÇO",UPPER(C455)="SERVICO"),0,L455-K455)</f>
        <v/>
      </c>
    </row>
    <row r="456" ht="15" customHeight="1">
      <c r="B456" s="105" t="n">
        <v>445</v>
      </c>
      <c r="C456" s="105" t="inlineStr">
        <is>
          <t>Produto</t>
        </is>
      </c>
      <c r="D456" s="106" t="inlineStr">
        <is>
          <t>Bola de basquete reforçado azul</t>
        </is>
      </c>
      <c r="E456" s="107" t="n">
        <v>47.44</v>
      </c>
      <c r="F456" s="108" t="n">
        <v>50</v>
      </c>
      <c r="G456" s="107">
        <f>ROUND(E456*(1+IF(ABS(F456)&lt;=1,F456,F456/100)),2)</f>
        <v/>
      </c>
      <c r="H456" s="105" t="n">
        <v>15</v>
      </c>
      <c r="I456" s="105" t="n">
        <v>5</v>
      </c>
      <c r="J456" s="105">
        <f>IF(OR(UPPER(C456)="SERVIÇO",UPPER(C456)="SERVICO"),"SERVIÇO",IF(H456&lt;=0,"ZERADO",IF(H456&lt;=I456,"ESTOQUE BAIXO","NORMAL")))</f>
        <v/>
      </c>
      <c r="K456" s="107">
        <f>IF(OR(UPPER(C456)="SERVIÇO",UPPER(C456)="SERVICO"),0,N(H456)*N(E456))</f>
        <v/>
      </c>
      <c r="L456" s="107">
        <f>IF(OR(UPPER(C456)="SERVIÇO",UPPER(C456)="SERVICO"),0,N(H456)*N(G456))</f>
        <v/>
      </c>
      <c r="M456" s="107">
        <f>IF(OR(UPPER(C456)="SERVIÇO",UPPER(C456)="SERVICO"),0,L456-K456)</f>
        <v/>
      </c>
    </row>
    <row r="457" ht="15" customHeight="1">
      <c r="B457" s="105" t="n">
        <v>446</v>
      </c>
      <c r="C457" s="105" t="inlineStr">
        <is>
          <t>Produto</t>
        </is>
      </c>
      <c r="D457" s="106" t="inlineStr">
        <is>
          <t>Bola de vôlei versão 2026 preto</t>
        </is>
      </c>
      <c r="E457" s="107" t="n">
        <v>44.5</v>
      </c>
      <c r="F457" s="108" t="n">
        <v>50</v>
      </c>
      <c r="G457" s="107">
        <f>ROUND(E457*(1+IF(ABS(F457)&lt;=1,F457,F457/100)),2)</f>
        <v/>
      </c>
      <c r="H457" s="105" t="n">
        <v>15</v>
      </c>
      <c r="I457" s="105" t="n">
        <v>5</v>
      </c>
      <c r="J457" s="105">
        <f>IF(OR(UPPER(C457)="SERVIÇO",UPPER(C457)="SERVICO"),"SERVIÇO",IF(H457&lt;=0,"ZERADO",IF(H457&lt;=I457,"ESTOQUE BAIXO","NORMAL")))</f>
        <v/>
      </c>
      <c r="K457" s="107">
        <f>IF(OR(UPPER(C457)="SERVIÇO",UPPER(C457)="SERVICO"),0,N(H457)*N(E457))</f>
        <v/>
      </c>
      <c r="L457" s="107">
        <f>IF(OR(UPPER(C457)="SERVIÇO",UPPER(C457)="SERVICO"),0,N(H457)*N(G457))</f>
        <v/>
      </c>
      <c r="M457" s="107">
        <f>IF(OR(UPPER(C457)="SERVIÇO",UPPER(C457)="SERVICO"),0,L457-K457)</f>
        <v/>
      </c>
    </row>
    <row r="458" ht="15" customHeight="1">
      <c r="B458" s="105" t="n">
        <v>447</v>
      </c>
      <c r="C458" s="105" t="inlineStr">
        <is>
          <t>Produto</t>
        </is>
      </c>
      <c r="D458" s="106" t="inlineStr">
        <is>
          <t>Bola de vôlei com ajuste verde</t>
        </is>
      </c>
      <c r="E458" s="107" t="n">
        <v>69.28</v>
      </c>
      <c r="F458" s="108" t="n">
        <v>50</v>
      </c>
      <c r="G458" s="107">
        <f>ROUND(E458*(1+IF(ABS(F458)&lt;=1,F458,F458/100)),2)</f>
        <v/>
      </c>
      <c r="H458" s="105" t="n">
        <v>15</v>
      </c>
      <c r="I458" s="105" t="n">
        <v>5</v>
      </c>
      <c r="J458" s="105">
        <f>IF(OR(UPPER(C458)="SERVIÇO",UPPER(C458)="SERVICO"),"SERVIÇO",IF(H458&lt;=0,"ZERADO",IF(H458&lt;=I458,"ESTOQUE BAIXO","NORMAL")))</f>
        <v/>
      </c>
      <c r="K458" s="107">
        <f>IF(OR(UPPER(C458)="SERVIÇO",UPPER(C458)="SERVICO"),0,N(H458)*N(E458))</f>
        <v/>
      </c>
      <c r="L458" s="107">
        <f>IF(OR(UPPER(C458)="SERVIÇO",UPPER(C458)="SERVICO"),0,N(H458)*N(G458))</f>
        <v/>
      </c>
      <c r="M458" s="107">
        <f>IF(OR(UPPER(C458)="SERVIÇO",UPPER(C458)="SERVICO"),0,L458-K458)</f>
        <v/>
      </c>
    </row>
    <row r="459" ht="15" customHeight="1">
      <c r="B459" s="105" t="n">
        <v>448</v>
      </c>
      <c r="C459" s="105" t="inlineStr">
        <is>
          <t>Produto</t>
        </is>
      </c>
      <c r="D459" s="106" t="inlineStr">
        <is>
          <t>Step de ginástica recreativo cinza</t>
        </is>
      </c>
      <c r="E459" s="107" t="n">
        <v>116.14</v>
      </c>
      <c r="F459" s="108" t="n">
        <v>50</v>
      </c>
      <c r="G459" s="107">
        <f>ROUND(E459*(1+IF(ABS(F459)&lt;=1,F459,F459/100)),2)</f>
        <v/>
      </c>
      <c r="H459" s="105" t="n">
        <v>15</v>
      </c>
      <c r="I459" s="105" t="n">
        <v>5</v>
      </c>
      <c r="J459" s="105">
        <f>IF(OR(UPPER(C459)="SERVIÇO",UPPER(C459)="SERVICO"),"SERVIÇO",IF(H459&lt;=0,"ZERADO",IF(H459&lt;=I459,"ESTOQUE BAIXO","NORMAL")))</f>
        <v/>
      </c>
      <c r="K459" s="107">
        <f>IF(OR(UPPER(C459)="SERVIÇO",UPPER(C459)="SERVICO"),0,N(H459)*N(E459))</f>
        <v/>
      </c>
      <c r="L459" s="107">
        <f>IF(OR(UPPER(C459)="SERVIÇO",UPPER(C459)="SERVICO"),0,N(H459)*N(G459))</f>
        <v/>
      </c>
      <c r="M459" s="107">
        <f>IF(OR(UPPER(C459)="SERVIÇO",UPPER(C459)="SERVICO"),0,L459-K459)</f>
        <v/>
      </c>
    </row>
    <row r="460" ht="15" customHeight="1">
      <c r="B460" s="105" t="n">
        <v>449</v>
      </c>
      <c r="C460" s="105" t="inlineStr">
        <is>
          <t>Produto</t>
        </is>
      </c>
      <c r="D460" s="106" t="inlineStr">
        <is>
          <t>Bastão de caminhada modelo básico branco</t>
        </is>
      </c>
      <c r="E460" s="107" t="n">
        <v>65.48</v>
      </c>
      <c r="F460" s="108" t="n">
        <v>50</v>
      </c>
      <c r="G460" s="107">
        <f>ROUND(E460*(1+IF(ABS(F460)&lt;=1,F460,F460/100)),2)</f>
        <v/>
      </c>
      <c r="H460" s="105" t="n">
        <v>15</v>
      </c>
      <c r="I460" s="105" t="n">
        <v>5</v>
      </c>
      <c r="J460" s="105">
        <f>IF(OR(UPPER(C460)="SERVIÇO",UPPER(C460)="SERVICO"),"SERVIÇO",IF(H460&lt;=0,"ZERADO",IF(H460&lt;=I460,"ESTOQUE BAIXO","NORMAL")))</f>
        <v/>
      </c>
      <c r="K460" s="107">
        <f>IF(OR(UPPER(C460)="SERVIÇO",UPPER(C460)="SERVICO"),0,N(H460)*N(E460))</f>
        <v/>
      </c>
      <c r="L460" s="107">
        <f>IF(OR(UPPER(C460)="SERVIÇO",UPPER(C460)="SERVICO"),0,N(H460)*N(G460))</f>
        <v/>
      </c>
      <c r="M460" s="107">
        <f>IF(OR(UPPER(C460)="SERVIÇO",UPPER(C460)="SERVICO"),0,L460-K460)</f>
        <v/>
      </c>
    </row>
    <row r="461" ht="15" customHeight="1">
      <c r="B461" s="105" t="n">
        <v>450</v>
      </c>
      <c r="C461" s="105" t="inlineStr">
        <is>
          <t>Produto</t>
        </is>
      </c>
      <c r="D461" s="106" t="inlineStr">
        <is>
          <t>Chuteira society compacto laranja tam. 34</t>
        </is>
      </c>
      <c r="E461" s="107" t="n">
        <v>158.99</v>
      </c>
      <c r="F461" s="108" t="n">
        <v>50</v>
      </c>
      <c r="G461" s="107">
        <f>ROUND(E461*(1+IF(ABS(F461)&lt;=1,F461,F461/100)),2)</f>
        <v/>
      </c>
      <c r="H461" s="105" t="n">
        <v>15</v>
      </c>
      <c r="I461" s="105" t="n">
        <v>5</v>
      </c>
      <c r="J461" s="105">
        <f>IF(OR(UPPER(C461)="SERVIÇO",UPPER(C461)="SERVICO"),"SERVIÇO",IF(H461&lt;=0,"ZERADO",IF(H461&lt;=I461,"ESTOQUE BAIXO","NORMAL")))</f>
        <v/>
      </c>
      <c r="K461" s="107">
        <f>IF(OR(UPPER(C461)="SERVIÇO",UPPER(C461)="SERVICO"),0,N(H461)*N(E461))</f>
        <v/>
      </c>
      <c r="L461" s="107">
        <f>IF(OR(UPPER(C461)="SERVIÇO",UPPER(C461)="SERVICO"),0,N(H461)*N(G461))</f>
        <v/>
      </c>
      <c r="M461" s="107">
        <f>IF(OR(UPPER(C461)="SERVIÇO",UPPER(C461)="SERVICO"),0,L461-K461)</f>
        <v/>
      </c>
    </row>
    <row r="462" ht="15" customHeight="1">
      <c r="B462" s="105" t="n">
        <v>451</v>
      </c>
      <c r="C462" s="105" t="inlineStr">
        <is>
          <t>Produto</t>
        </is>
      </c>
      <c r="D462" s="106" t="inlineStr">
        <is>
          <t>Luva de goleiro leve laranja tam. 42</t>
        </is>
      </c>
      <c r="E462" s="107" t="n">
        <v>130.99</v>
      </c>
      <c r="F462" s="108" t="n">
        <v>50</v>
      </c>
      <c r="G462" s="107">
        <f>ROUND(E462*(1+IF(ABS(F462)&lt;=1,F462,F462/100)),2)</f>
        <v/>
      </c>
      <c r="H462" s="105" t="n">
        <v>15</v>
      </c>
      <c r="I462" s="105" t="n">
        <v>5</v>
      </c>
      <c r="J462" s="105">
        <f>IF(OR(UPPER(C462)="SERVIÇO",UPPER(C462)="SERVICO"),"SERVIÇO",IF(H462&lt;=0,"ZERADO",IF(H462&lt;=I462,"ESTOQUE BAIXO","NORMAL")))</f>
        <v/>
      </c>
      <c r="K462" s="107">
        <f>IF(OR(UPPER(C462)="SERVIÇO",UPPER(C462)="SERVICO"),0,N(H462)*N(E462))</f>
        <v/>
      </c>
      <c r="L462" s="107">
        <f>IF(OR(UPPER(C462)="SERVIÇO",UPPER(C462)="SERVICO"),0,N(H462)*N(G462))</f>
        <v/>
      </c>
      <c r="M462" s="107">
        <f>IF(OR(UPPER(C462)="SERVIÇO",UPPER(C462)="SERVICO"),0,L462-K462)</f>
        <v/>
      </c>
    </row>
    <row r="463" ht="15" customHeight="1">
      <c r="B463" s="105" t="n">
        <v>452</v>
      </c>
      <c r="C463" s="105" t="inlineStr">
        <is>
          <t>Produto</t>
        </is>
      </c>
      <c r="D463" s="106" t="inlineStr">
        <is>
          <t>Colchonete de exercício resistente branco</t>
        </is>
      </c>
      <c r="E463" s="107" t="n">
        <v>90.79000000000001</v>
      </c>
      <c r="F463" s="108" t="n">
        <v>50</v>
      </c>
      <c r="G463" s="107">
        <f>ROUND(E463*(1+IF(ABS(F463)&lt;=1,F463,F463/100)),2)</f>
        <v/>
      </c>
      <c r="H463" s="105" t="n">
        <v>15</v>
      </c>
      <c r="I463" s="105" t="n">
        <v>5</v>
      </c>
      <c r="J463" s="105">
        <f>IF(OR(UPPER(C463)="SERVIÇO",UPPER(C463)="SERVICO"),"SERVIÇO",IF(H463&lt;=0,"ZERADO",IF(H463&lt;=I463,"ESTOQUE BAIXO","NORMAL")))</f>
        <v/>
      </c>
      <c r="K463" s="107">
        <f>IF(OR(UPPER(C463)="SERVIÇO",UPPER(C463)="SERVICO"),0,N(H463)*N(E463))</f>
        <v/>
      </c>
      <c r="L463" s="107">
        <f>IF(OR(UPPER(C463)="SERVIÇO",UPPER(C463)="SERVICO"),0,N(H463)*N(G463))</f>
        <v/>
      </c>
      <c r="M463" s="107">
        <f>IF(OR(UPPER(C463)="SERVIÇO",UPPER(C463)="SERVICO"),0,L463-K463)</f>
        <v/>
      </c>
    </row>
    <row r="464" ht="15" customHeight="1">
      <c r="B464" s="105" t="n">
        <v>453</v>
      </c>
      <c r="C464" s="105" t="inlineStr">
        <is>
          <t>Produto</t>
        </is>
      </c>
      <c r="D464" s="106" t="inlineStr">
        <is>
          <t>Corda de pular iniciante laranja</t>
        </is>
      </c>
      <c r="E464" s="107" t="n">
        <v>23.83</v>
      </c>
      <c r="F464" s="108" t="n">
        <v>50</v>
      </c>
      <c r="G464" s="107">
        <f>ROUND(E464*(1+IF(ABS(F464)&lt;=1,F464,F464/100)),2)</f>
        <v/>
      </c>
      <c r="H464" s="105" t="n">
        <v>15</v>
      </c>
      <c r="I464" s="105" t="n">
        <v>5</v>
      </c>
      <c r="J464" s="105">
        <f>IF(OR(UPPER(C464)="SERVIÇO",UPPER(C464)="SERVICO"),"SERVIÇO",IF(H464&lt;=0,"ZERADO",IF(H464&lt;=I464,"ESTOQUE BAIXO","NORMAL")))</f>
        <v/>
      </c>
      <c r="K464" s="107">
        <f>IF(OR(UPPER(C464)="SERVIÇO",UPPER(C464)="SERVICO"),0,N(H464)*N(E464))</f>
        <v/>
      </c>
      <c r="L464" s="107">
        <f>IF(OR(UPPER(C464)="SERVIÇO",UPPER(C464)="SERVICO"),0,N(H464)*N(G464))</f>
        <v/>
      </c>
      <c r="M464" s="107">
        <f>IF(OR(UPPER(C464)="SERVIÇO",UPPER(C464)="SERVICO"),0,L464-K464)</f>
        <v/>
      </c>
    </row>
    <row r="465" ht="15" customHeight="1">
      <c r="B465" s="105" t="n">
        <v>454</v>
      </c>
      <c r="C465" s="105" t="inlineStr">
        <is>
          <t>Produto</t>
        </is>
      </c>
      <c r="D465" s="106" t="inlineStr">
        <is>
          <t>Caneleira de futebol compacto verde</t>
        </is>
      </c>
      <c r="E465" s="107" t="n">
        <v>35.4</v>
      </c>
      <c r="F465" s="108" t="n">
        <v>50</v>
      </c>
      <c r="G465" s="107">
        <f>ROUND(E465*(1+IF(ABS(F465)&lt;=1,F465,F465/100)),2)</f>
        <v/>
      </c>
      <c r="H465" s="105" t="n">
        <v>15</v>
      </c>
      <c r="I465" s="105" t="n">
        <v>5</v>
      </c>
      <c r="J465" s="105">
        <f>IF(OR(UPPER(C465)="SERVIÇO",UPPER(C465)="SERVICO"),"SERVIÇO",IF(H465&lt;=0,"ZERADO",IF(H465&lt;=I465,"ESTOQUE BAIXO","NORMAL")))</f>
        <v/>
      </c>
      <c r="K465" s="107">
        <f>IF(OR(UPPER(C465)="SERVIÇO",UPPER(C465)="SERVICO"),0,N(H465)*N(E465))</f>
        <v/>
      </c>
      <c r="L465" s="107">
        <f>IF(OR(UPPER(C465)="SERVIÇO",UPPER(C465)="SERVICO"),0,N(H465)*N(G465))</f>
        <v/>
      </c>
      <c r="M465" s="107">
        <f>IF(OR(UPPER(C465)="SERVIÇO",UPPER(C465)="SERVICO"),0,L465-K465)</f>
        <v/>
      </c>
    </row>
    <row r="466" ht="15" customHeight="1">
      <c r="B466" s="105" t="n">
        <v>455</v>
      </c>
      <c r="C466" s="105" t="inlineStr">
        <is>
          <t>Produto</t>
        </is>
      </c>
      <c r="D466" s="106" t="inlineStr">
        <is>
          <t>Patins com ajuste preto</t>
        </is>
      </c>
      <c r="E466" s="107" t="n">
        <v>491.11</v>
      </c>
      <c r="F466" s="108" t="n">
        <v>50</v>
      </c>
      <c r="G466" s="107">
        <f>ROUND(E466*(1+IF(ABS(F466)&lt;=1,F466,F466/100)),2)</f>
        <v/>
      </c>
      <c r="H466" s="105" t="n">
        <v>15</v>
      </c>
      <c r="I466" s="105" t="n">
        <v>5</v>
      </c>
      <c r="J466" s="105">
        <f>IF(OR(UPPER(C466)="SERVIÇO",UPPER(C466)="SERVICO"),"SERVIÇO",IF(H466&lt;=0,"ZERADO",IF(H466&lt;=I466,"ESTOQUE BAIXO","NORMAL")))</f>
        <v/>
      </c>
      <c r="K466" s="107">
        <f>IF(OR(UPPER(C466)="SERVIÇO",UPPER(C466)="SERVICO"),0,N(H466)*N(E466))</f>
        <v/>
      </c>
      <c r="L466" s="107">
        <f>IF(OR(UPPER(C466)="SERVIÇO",UPPER(C466)="SERVICO"),0,N(H466)*N(G466))</f>
        <v/>
      </c>
      <c r="M466" s="107">
        <f>IF(OR(UPPER(C466)="SERVIÇO",UPPER(C466)="SERVICO"),0,L466-K466)</f>
        <v/>
      </c>
    </row>
    <row r="467" ht="15" customHeight="1">
      <c r="B467" s="105" t="n">
        <v>456</v>
      </c>
      <c r="C467" s="105" t="inlineStr">
        <is>
          <t>Produto</t>
        </is>
      </c>
      <c r="D467" s="106" t="inlineStr">
        <is>
          <t>Corda de pular resistente vermelho</t>
        </is>
      </c>
      <c r="E467" s="107" t="n">
        <v>40.4</v>
      </c>
      <c r="F467" s="108" t="n">
        <v>50</v>
      </c>
      <c r="G467" s="107">
        <f>ROUND(E467*(1+IF(ABS(F467)&lt;=1,F467,F467/100)),2)</f>
        <v/>
      </c>
      <c r="H467" s="105" t="n">
        <v>15</v>
      </c>
      <c r="I467" s="105" t="n">
        <v>5</v>
      </c>
      <c r="J467" s="105">
        <f>IF(OR(UPPER(C467)="SERVIÇO",UPPER(C467)="SERVICO"),"SERVIÇO",IF(H467&lt;=0,"ZERADO",IF(H467&lt;=I467,"ESTOQUE BAIXO","NORMAL")))</f>
        <v/>
      </c>
      <c r="K467" s="107">
        <f>IF(OR(UPPER(C467)="SERVIÇO",UPPER(C467)="SERVICO"),0,N(H467)*N(E467))</f>
        <v/>
      </c>
      <c r="L467" s="107">
        <f>IF(OR(UPPER(C467)="SERVIÇO",UPPER(C467)="SERVICO"),0,N(H467)*N(G467))</f>
        <v/>
      </c>
      <c r="M467" s="107">
        <f>IF(OR(UPPER(C467)="SERVIÇO",UPPER(C467)="SERVICO"),0,L467-K467)</f>
        <v/>
      </c>
    </row>
    <row r="468" ht="15" customHeight="1">
      <c r="B468" s="105" t="n">
        <v>457</v>
      </c>
      <c r="C468" s="105" t="inlineStr">
        <is>
          <t>Produto</t>
        </is>
      </c>
      <c r="D468" s="106" t="inlineStr">
        <is>
          <t>Mochila esportiva modelo básico azul</t>
        </is>
      </c>
      <c r="E468" s="107" t="n">
        <v>224.08</v>
      </c>
      <c r="F468" s="108" t="n">
        <v>50</v>
      </c>
      <c r="G468" s="107">
        <f>ROUND(E468*(1+IF(ABS(F468)&lt;=1,F468,F468/100)),2)</f>
        <v/>
      </c>
      <c r="H468" s="105" t="n">
        <v>15</v>
      </c>
      <c r="I468" s="105" t="n">
        <v>5</v>
      </c>
      <c r="J468" s="105">
        <f>IF(OR(UPPER(C468)="SERVIÇO",UPPER(C468)="SERVICO"),"SERVIÇO",IF(H468&lt;=0,"ZERADO",IF(H468&lt;=I468,"ESTOQUE BAIXO","NORMAL")))</f>
        <v/>
      </c>
      <c r="K468" s="107">
        <f>IF(OR(UPPER(C468)="SERVIÇO",UPPER(C468)="SERVICO"),0,N(H468)*N(E468))</f>
        <v/>
      </c>
      <c r="L468" s="107">
        <f>IF(OR(UPPER(C468)="SERVIÇO",UPPER(C468)="SERVICO"),0,N(H468)*N(G468))</f>
        <v/>
      </c>
      <c r="M468" s="107">
        <f>IF(OR(UPPER(C468)="SERVIÇO",UPPER(C468)="SERVICO"),0,L468-K468)</f>
        <v/>
      </c>
    </row>
    <row r="469" ht="15" customHeight="1">
      <c r="B469" s="105" t="n">
        <v>458</v>
      </c>
      <c r="C469" s="105" t="inlineStr">
        <is>
          <t>Produto</t>
        </is>
      </c>
      <c r="D469" s="106" t="inlineStr">
        <is>
          <t>Tapete de yoga ventilado verde</t>
        </is>
      </c>
      <c r="E469" s="107" t="n">
        <v>31.98</v>
      </c>
      <c r="F469" s="108" t="n">
        <v>50</v>
      </c>
      <c r="G469" s="107">
        <f>ROUND(E469*(1+IF(ABS(F469)&lt;=1,F469,F469/100)),2)</f>
        <v/>
      </c>
      <c r="H469" s="105" t="n">
        <v>15</v>
      </c>
      <c r="I469" s="105" t="n">
        <v>5</v>
      </c>
      <c r="J469" s="105">
        <f>IF(OR(UPPER(C469)="SERVIÇO",UPPER(C469)="SERVICO"),"SERVIÇO",IF(H469&lt;=0,"ZERADO",IF(H469&lt;=I469,"ESTOQUE BAIXO","NORMAL")))</f>
        <v/>
      </c>
      <c r="K469" s="107">
        <f>IF(OR(UPPER(C469)="SERVIÇO",UPPER(C469)="SERVICO"),0,N(H469)*N(E469))</f>
        <v/>
      </c>
      <c r="L469" s="107">
        <f>IF(OR(UPPER(C469)="SERVIÇO",UPPER(C469)="SERVICO"),0,N(H469)*N(G469))</f>
        <v/>
      </c>
      <c r="M469" s="107">
        <f>IF(OR(UPPER(C469)="SERVIÇO",UPPER(C469)="SERVICO"),0,L469-K469)</f>
        <v/>
      </c>
    </row>
    <row r="470" ht="15" customHeight="1">
      <c r="B470" s="105" t="n">
        <v>459</v>
      </c>
      <c r="C470" s="105" t="inlineStr">
        <is>
          <t>Produto</t>
        </is>
      </c>
      <c r="D470" s="106" t="inlineStr">
        <is>
          <t>Bloco para yoga versão 2026 preto</t>
        </is>
      </c>
      <c r="E470" s="107" t="n">
        <v>43.01</v>
      </c>
      <c r="F470" s="108" t="n">
        <v>50</v>
      </c>
      <c r="G470" s="107">
        <f>ROUND(E470*(1+IF(ABS(F470)&lt;=1,F470,F470/100)),2)</f>
        <v/>
      </c>
      <c r="H470" s="105" t="n">
        <v>15</v>
      </c>
      <c r="I470" s="105" t="n">
        <v>5</v>
      </c>
      <c r="J470" s="105">
        <f>IF(OR(UPPER(C470)="SERVIÇO",UPPER(C470)="SERVICO"),"SERVIÇO",IF(H470&lt;=0,"ZERADO",IF(H470&lt;=I470,"ESTOQUE BAIXO","NORMAL")))</f>
        <v/>
      </c>
      <c r="K470" s="107">
        <f>IF(OR(UPPER(C470)="SERVIÇO",UPPER(C470)="SERVICO"),0,N(H470)*N(E470))</f>
        <v/>
      </c>
      <c r="L470" s="107">
        <f>IF(OR(UPPER(C470)="SERVIÇO",UPPER(C470)="SERVICO"),0,N(H470)*N(G470))</f>
        <v/>
      </c>
      <c r="M470" s="107">
        <f>IF(OR(UPPER(C470)="SERVIÇO",UPPER(C470)="SERVICO"),0,L470-K470)</f>
        <v/>
      </c>
    </row>
    <row r="471" ht="15" customHeight="1">
      <c r="B471" s="105" t="n">
        <v>460</v>
      </c>
      <c r="C471" s="105" t="inlineStr">
        <is>
          <t>Produto</t>
        </is>
      </c>
      <c r="D471" s="106" t="inlineStr">
        <is>
          <t>Short esportivo ventilado verde tam. 40</t>
        </is>
      </c>
      <c r="E471" s="107" t="n">
        <v>36.74</v>
      </c>
      <c r="F471" s="108" t="n">
        <v>50</v>
      </c>
      <c r="G471" s="107">
        <f>ROUND(E471*(1+IF(ABS(F471)&lt;=1,F471,F471/100)),2)</f>
        <v/>
      </c>
      <c r="H471" s="105" t="n">
        <v>15</v>
      </c>
      <c r="I471" s="105" t="n">
        <v>5</v>
      </c>
      <c r="J471" s="105">
        <f>IF(OR(UPPER(C471)="SERVIÇO",UPPER(C471)="SERVICO"),"SERVIÇO",IF(H471&lt;=0,"ZERADO",IF(H471&lt;=I471,"ESTOQUE BAIXO","NORMAL")))</f>
        <v/>
      </c>
      <c r="K471" s="107">
        <f>IF(OR(UPPER(C471)="SERVIÇO",UPPER(C471)="SERVICO"),0,N(H471)*N(E471))</f>
        <v/>
      </c>
      <c r="L471" s="107">
        <f>IF(OR(UPPER(C471)="SERVIÇO",UPPER(C471)="SERVICO"),0,N(H471)*N(G471))</f>
        <v/>
      </c>
      <c r="M471" s="107">
        <f>IF(OR(UPPER(C471)="SERVIÇO",UPPER(C471)="SERVICO"),0,L471-K471)</f>
        <v/>
      </c>
    </row>
    <row r="472" ht="15" customHeight="1">
      <c r="B472" s="105" t="n">
        <v>461</v>
      </c>
      <c r="C472" s="105" t="inlineStr">
        <is>
          <t>Produto</t>
        </is>
      </c>
      <c r="D472" s="106" t="inlineStr">
        <is>
          <t>Kettlebell adulto verde</t>
        </is>
      </c>
      <c r="E472" s="107" t="n">
        <v>226.75</v>
      </c>
      <c r="F472" s="108" t="n">
        <v>50</v>
      </c>
      <c r="G472" s="107">
        <f>ROUND(E472*(1+IF(ABS(F472)&lt;=1,F472,F472/100)),2)</f>
        <v/>
      </c>
      <c r="H472" s="105" t="n">
        <v>15</v>
      </c>
      <c r="I472" s="105" t="n">
        <v>5</v>
      </c>
      <c r="J472" s="105">
        <f>IF(OR(UPPER(C472)="SERVIÇO",UPPER(C472)="SERVICO"),"SERVIÇO",IF(H472&lt;=0,"ZERADO",IF(H472&lt;=I472,"ESTOQUE BAIXO","NORMAL")))</f>
        <v/>
      </c>
      <c r="K472" s="107">
        <f>IF(OR(UPPER(C472)="SERVIÇO",UPPER(C472)="SERVICO"),0,N(H472)*N(E472))</f>
        <v/>
      </c>
      <c r="L472" s="107">
        <f>IF(OR(UPPER(C472)="SERVIÇO",UPPER(C472)="SERVICO"),0,N(H472)*N(G472))</f>
        <v/>
      </c>
      <c r="M472" s="107">
        <f>IF(OR(UPPER(C472)="SERVIÇO",UPPER(C472)="SERVICO"),0,L472-K472)</f>
        <v/>
      </c>
    </row>
    <row r="473" ht="15" customHeight="1">
      <c r="B473" s="105" t="n">
        <v>462</v>
      </c>
      <c r="C473" s="105" t="inlineStr">
        <is>
          <t>Produto</t>
        </is>
      </c>
      <c r="D473" s="106" t="inlineStr">
        <is>
          <t>Bola de pilates ergonômico verde</t>
        </is>
      </c>
      <c r="E473" s="107" t="n">
        <v>90.72</v>
      </c>
      <c r="F473" s="108" t="n">
        <v>50</v>
      </c>
      <c r="G473" s="107">
        <f>ROUND(E473*(1+IF(ABS(F473)&lt;=1,F473,F473/100)),2)</f>
        <v/>
      </c>
      <c r="H473" s="105" t="n">
        <v>15</v>
      </c>
      <c r="I473" s="105" t="n">
        <v>5</v>
      </c>
      <c r="J473" s="105">
        <f>IF(OR(UPPER(C473)="SERVIÇO",UPPER(C473)="SERVICO"),"SERVIÇO",IF(H473&lt;=0,"ZERADO",IF(H473&lt;=I473,"ESTOQUE BAIXO","NORMAL")))</f>
        <v/>
      </c>
      <c r="K473" s="107">
        <f>IF(OR(UPPER(C473)="SERVIÇO",UPPER(C473)="SERVICO"),0,N(H473)*N(E473))</f>
        <v/>
      </c>
      <c r="L473" s="107">
        <f>IF(OR(UPPER(C473)="SERVIÇO",UPPER(C473)="SERVICO"),0,N(H473)*N(G473))</f>
        <v/>
      </c>
      <c r="M473" s="107">
        <f>IF(OR(UPPER(C473)="SERVIÇO",UPPER(C473)="SERVICO"),0,L473-K473)</f>
        <v/>
      </c>
    </row>
    <row r="474" ht="15" customHeight="1">
      <c r="B474" s="105" t="n">
        <v>463</v>
      </c>
      <c r="C474" s="105" t="inlineStr">
        <is>
          <t>Produto</t>
        </is>
      </c>
      <c r="D474" s="106" t="inlineStr">
        <is>
          <t>Patins para uso diário verde</t>
        </is>
      </c>
      <c r="E474" s="107" t="n">
        <v>484.31</v>
      </c>
      <c r="F474" s="108" t="n">
        <v>50</v>
      </c>
      <c r="G474" s="107">
        <f>ROUND(E474*(1+IF(ABS(F474)&lt;=1,F474,F474/100)),2)</f>
        <v/>
      </c>
      <c r="H474" s="105" t="n">
        <v>15</v>
      </c>
      <c r="I474" s="105" t="n">
        <v>5</v>
      </c>
      <c r="J474" s="105">
        <f>IF(OR(UPPER(C474)="SERVIÇO",UPPER(C474)="SERVICO"),"SERVIÇO",IF(H474&lt;=0,"ZERADO",IF(H474&lt;=I474,"ESTOQUE BAIXO","NORMAL")))</f>
        <v/>
      </c>
      <c r="K474" s="107">
        <f>IF(OR(UPPER(C474)="SERVIÇO",UPPER(C474)="SERVICO"),0,N(H474)*N(E474))</f>
        <v/>
      </c>
      <c r="L474" s="107">
        <f>IF(OR(UPPER(C474)="SERVIÇO",UPPER(C474)="SERVICO"),0,N(H474)*N(G474))</f>
        <v/>
      </c>
      <c r="M474" s="107">
        <f>IF(OR(UPPER(C474)="SERVIÇO",UPPER(C474)="SERVICO"),0,L474-K474)</f>
        <v/>
      </c>
    </row>
    <row r="475" ht="15" customHeight="1">
      <c r="B475" s="105" t="n">
        <v>464</v>
      </c>
      <c r="C475" s="105" t="inlineStr">
        <is>
          <t>Produto</t>
        </is>
      </c>
      <c r="D475" s="106" t="inlineStr">
        <is>
          <t>Banco de musculação para uso diário rosa</t>
        </is>
      </c>
      <c r="E475" s="107" t="n">
        <v>884.36</v>
      </c>
      <c r="F475" s="108" t="n">
        <v>50</v>
      </c>
      <c r="G475" s="107">
        <f>ROUND(E475*(1+IF(ABS(F475)&lt;=1,F475,F475/100)),2)</f>
        <v/>
      </c>
      <c r="H475" s="105" t="n">
        <v>15</v>
      </c>
      <c r="I475" s="105" t="n">
        <v>5</v>
      </c>
      <c r="J475" s="105">
        <f>IF(OR(UPPER(C475)="SERVIÇO",UPPER(C475)="SERVICO"),"SERVIÇO",IF(H475&lt;=0,"ZERADO",IF(H475&lt;=I475,"ESTOQUE BAIXO","NORMAL")))</f>
        <v/>
      </c>
      <c r="K475" s="107">
        <f>IF(OR(UPPER(C475)="SERVIÇO",UPPER(C475)="SERVICO"),0,N(H475)*N(E475))</f>
        <v/>
      </c>
      <c r="L475" s="107">
        <f>IF(OR(UPPER(C475)="SERVIÇO",UPPER(C475)="SERVICO"),0,N(H475)*N(G475))</f>
        <v/>
      </c>
      <c r="M475" s="107">
        <f>IF(OR(UPPER(C475)="SERVIÇO",UPPER(C475)="SERVICO"),0,L475-K475)</f>
        <v/>
      </c>
    </row>
    <row r="476" ht="15" customHeight="1">
      <c r="B476" s="105" t="n">
        <v>465</v>
      </c>
      <c r="C476" s="105" t="inlineStr">
        <is>
          <t>Produto</t>
        </is>
      </c>
      <c r="D476" s="106" t="inlineStr">
        <is>
          <t>Colchonete de exercício premium branco</t>
        </is>
      </c>
      <c r="E476" s="107" t="n">
        <v>73.17</v>
      </c>
      <c r="F476" s="108" t="n">
        <v>50</v>
      </c>
      <c r="G476" s="107">
        <f>ROUND(E476*(1+IF(ABS(F476)&lt;=1,F476,F476/100)),2)</f>
        <v/>
      </c>
      <c r="H476" s="105" t="n">
        <v>15</v>
      </c>
      <c r="I476" s="105" t="n">
        <v>5</v>
      </c>
      <c r="J476" s="105">
        <f>IF(OR(UPPER(C476)="SERVIÇO",UPPER(C476)="SERVICO"),"SERVIÇO",IF(H476&lt;=0,"ZERADO",IF(H476&lt;=I476,"ESTOQUE BAIXO","NORMAL")))</f>
        <v/>
      </c>
      <c r="K476" s="107">
        <f>IF(OR(UPPER(C476)="SERVIÇO",UPPER(C476)="SERVICO"),0,N(H476)*N(E476))</f>
        <v/>
      </c>
      <c r="L476" s="107">
        <f>IF(OR(UPPER(C476)="SERVIÇO",UPPER(C476)="SERVICO"),0,N(H476)*N(G476))</f>
        <v/>
      </c>
      <c r="M476" s="107">
        <f>IF(OR(UPPER(C476)="SERVIÇO",UPPER(C476)="SERVICO"),0,L476-K476)</f>
        <v/>
      </c>
    </row>
    <row r="477" ht="15" customHeight="1">
      <c r="B477" s="105" t="n">
        <v>466</v>
      </c>
      <c r="C477" s="105" t="inlineStr">
        <is>
          <t>Produto</t>
        </is>
      </c>
      <c r="D477" s="106" t="inlineStr">
        <is>
          <t>Óculos esportivos treino rosa</t>
        </is>
      </c>
      <c r="E477" s="107" t="n">
        <v>325.55</v>
      </c>
      <c r="F477" s="108" t="n">
        <v>50</v>
      </c>
      <c r="G477" s="107">
        <f>ROUND(E477*(1+IF(ABS(F477)&lt;=1,F477,F477/100)),2)</f>
        <v/>
      </c>
      <c r="H477" s="105" t="n">
        <v>15</v>
      </c>
      <c r="I477" s="105" t="n">
        <v>5</v>
      </c>
      <c r="J477" s="105">
        <f>IF(OR(UPPER(C477)="SERVIÇO",UPPER(C477)="SERVICO"),"SERVIÇO",IF(H477&lt;=0,"ZERADO",IF(H477&lt;=I477,"ESTOQUE BAIXO","NORMAL")))</f>
        <v/>
      </c>
      <c r="K477" s="107">
        <f>IF(OR(UPPER(C477)="SERVIÇO",UPPER(C477)="SERVICO"),0,N(H477)*N(E477))</f>
        <v/>
      </c>
      <c r="L477" s="107">
        <f>IF(OR(UPPER(C477)="SERVIÇO",UPPER(C477)="SERVICO"),0,N(H477)*N(G477))</f>
        <v/>
      </c>
      <c r="M477" s="107">
        <f>IF(OR(UPPER(C477)="SERVIÇO",UPPER(C477)="SERVICO"),0,L477-K477)</f>
        <v/>
      </c>
    </row>
    <row r="478" ht="15" customHeight="1">
      <c r="B478" s="105" t="n">
        <v>467</v>
      </c>
      <c r="C478" s="105" t="inlineStr">
        <is>
          <t>Produto</t>
        </is>
      </c>
      <c r="D478" s="106" t="inlineStr">
        <is>
          <t>Halter modelo avançado branco</t>
        </is>
      </c>
      <c r="E478" s="107" t="n">
        <v>69.06</v>
      </c>
      <c r="F478" s="108" t="n">
        <v>50</v>
      </c>
      <c r="G478" s="107">
        <f>ROUND(E478*(1+IF(ABS(F478)&lt;=1,F478,F478/100)),2)</f>
        <v/>
      </c>
      <c r="H478" s="105" t="n">
        <v>15</v>
      </c>
      <c r="I478" s="105" t="n">
        <v>5</v>
      </c>
      <c r="J478" s="105">
        <f>IF(OR(UPPER(C478)="SERVIÇO",UPPER(C478)="SERVICO"),"SERVIÇO",IF(H478&lt;=0,"ZERADO",IF(H478&lt;=I478,"ESTOQUE BAIXO","NORMAL")))</f>
        <v/>
      </c>
      <c r="K478" s="107">
        <f>IF(OR(UPPER(C478)="SERVIÇO",UPPER(C478)="SERVICO"),0,N(H478)*N(E478))</f>
        <v/>
      </c>
      <c r="L478" s="107">
        <f>IF(OR(UPPER(C478)="SERVIÇO",UPPER(C478)="SERVICO"),0,N(H478)*N(G478))</f>
        <v/>
      </c>
      <c r="M478" s="107">
        <f>IF(OR(UPPER(C478)="SERVIÇO",UPPER(C478)="SERVICO"),0,L478-K478)</f>
        <v/>
      </c>
    </row>
    <row r="479" ht="15" customHeight="1">
      <c r="B479" s="105" t="n">
        <v>468</v>
      </c>
      <c r="C479" s="105" t="inlineStr">
        <is>
          <t>Produto</t>
        </is>
      </c>
      <c r="D479" s="106" t="inlineStr">
        <is>
          <t>Protetor bucal recreativo preto</t>
        </is>
      </c>
      <c r="E479" s="107" t="n">
        <v>22.24</v>
      </c>
      <c r="F479" s="108" t="n">
        <v>50</v>
      </c>
      <c r="G479" s="107">
        <f>ROUND(E479*(1+IF(ABS(F479)&lt;=1,F479,F479/100)),2)</f>
        <v/>
      </c>
      <c r="H479" s="105" t="n">
        <v>15</v>
      </c>
      <c r="I479" s="105" t="n">
        <v>5</v>
      </c>
      <c r="J479" s="105">
        <f>IF(OR(UPPER(C479)="SERVIÇO",UPPER(C479)="SERVICO"),"SERVIÇO",IF(H479&lt;=0,"ZERADO",IF(H479&lt;=I479,"ESTOQUE BAIXO","NORMAL")))</f>
        <v/>
      </c>
      <c r="K479" s="107">
        <f>IF(OR(UPPER(C479)="SERVIÇO",UPPER(C479)="SERVICO"),0,N(H479)*N(E479))</f>
        <v/>
      </c>
      <c r="L479" s="107">
        <f>IF(OR(UPPER(C479)="SERVIÇO",UPPER(C479)="SERVICO"),0,N(H479)*N(G479))</f>
        <v/>
      </c>
      <c r="M479" s="107">
        <f>IF(OR(UPPER(C479)="SERVIÇO",UPPER(C479)="SERVICO"),0,L479-K479)</f>
        <v/>
      </c>
    </row>
    <row r="480" ht="15" customHeight="1">
      <c r="B480" s="105" t="n">
        <v>469</v>
      </c>
      <c r="C480" s="105" t="inlineStr">
        <is>
          <t>Produto</t>
        </is>
      </c>
      <c r="D480" s="106" t="inlineStr">
        <is>
          <t>Luva de boxe alta performance cinza tam. G</t>
        </is>
      </c>
      <c r="E480" s="107" t="n">
        <v>92.56</v>
      </c>
      <c r="F480" s="108" t="n">
        <v>50</v>
      </c>
      <c r="G480" s="107">
        <f>ROUND(E480*(1+IF(ABS(F480)&lt;=1,F480,F480/100)),2)</f>
        <v/>
      </c>
      <c r="H480" s="105" t="n">
        <v>15</v>
      </c>
      <c r="I480" s="105" t="n">
        <v>5</v>
      </c>
      <c r="J480" s="105">
        <f>IF(OR(UPPER(C480)="SERVIÇO",UPPER(C480)="SERVICO"),"SERVIÇO",IF(H480&lt;=0,"ZERADO",IF(H480&lt;=I480,"ESTOQUE BAIXO","NORMAL")))</f>
        <v/>
      </c>
      <c r="K480" s="107">
        <f>IF(OR(UPPER(C480)="SERVIÇO",UPPER(C480)="SERVICO"),0,N(H480)*N(E480))</f>
        <v/>
      </c>
      <c r="L480" s="107">
        <f>IF(OR(UPPER(C480)="SERVIÇO",UPPER(C480)="SERVICO"),0,N(H480)*N(G480))</f>
        <v/>
      </c>
      <c r="M480" s="107">
        <f>IF(OR(UPPER(C480)="SERVIÇO",UPPER(C480)="SERVICO"),0,L480-K480)</f>
        <v/>
      </c>
    </row>
    <row r="481" ht="15" customHeight="1">
      <c r="B481" s="105" t="n">
        <v>470</v>
      </c>
      <c r="C481" s="105" t="inlineStr">
        <is>
          <t>Produto</t>
        </is>
      </c>
      <c r="D481" s="106" t="inlineStr">
        <is>
          <t>Jaqueta esportiva unissex verde tam. 40</t>
        </is>
      </c>
      <c r="E481" s="107" t="n">
        <v>189.4</v>
      </c>
      <c r="F481" s="108" t="n">
        <v>50</v>
      </c>
      <c r="G481" s="107">
        <f>ROUND(E481*(1+IF(ABS(F481)&lt;=1,F481,F481/100)),2)</f>
        <v/>
      </c>
      <c r="H481" s="105" t="n">
        <v>15</v>
      </c>
      <c r="I481" s="105" t="n">
        <v>5</v>
      </c>
      <c r="J481" s="105">
        <f>IF(OR(UPPER(C481)="SERVIÇO",UPPER(C481)="SERVICO"),"SERVIÇO",IF(H481&lt;=0,"ZERADO",IF(H481&lt;=I481,"ESTOQUE BAIXO","NORMAL")))</f>
        <v/>
      </c>
      <c r="K481" s="107">
        <f>IF(OR(UPPER(C481)="SERVIÇO",UPPER(C481)="SERVICO"),0,N(H481)*N(E481))</f>
        <v/>
      </c>
      <c r="L481" s="107">
        <f>IF(OR(UPPER(C481)="SERVIÇO",UPPER(C481)="SERVICO"),0,N(H481)*N(G481))</f>
        <v/>
      </c>
      <c r="M481" s="107">
        <f>IF(OR(UPPER(C481)="SERVIÇO",UPPER(C481)="SERVICO"),0,L481-K481)</f>
        <v/>
      </c>
    </row>
    <row r="482" ht="15" customHeight="1">
      <c r="B482" s="105" t="n">
        <v>471</v>
      </c>
      <c r="C482" s="105" t="inlineStr">
        <is>
          <t>Produto</t>
        </is>
      </c>
      <c r="D482" s="106" t="inlineStr">
        <is>
          <t>Nadadeira premium rosa</t>
        </is>
      </c>
      <c r="E482" s="107" t="n">
        <v>174.71</v>
      </c>
      <c r="F482" s="108" t="n">
        <v>50</v>
      </c>
      <c r="G482" s="107">
        <f>ROUND(E482*(1+IF(ABS(F482)&lt;=1,F482,F482/100)),2)</f>
        <v/>
      </c>
      <c r="H482" s="105" t="n">
        <v>15</v>
      </c>
      <c r="I482" s="105" t="n">
        <v>5</v>
      </c>
      <c r="J482" s="105">
        <f>IF(OR(UPPER(C482)="SERVIÇO",UPPER(C482)="SERVICO"),"SERVIÇO",IF(H482&lt;=0,"ZERADO",IF(H482&lt;=I482,"ESTOQUE BAIXO","NORMAL")))</f>
        <v/>
      </c>
      <c r="K482" s="107">
        <f>IF(OR(UPPER(C482)="SERVIÇO",UPPER(C482)="SERVICO"),0,N(H482)*N(E482))</f>
        <v/>
      </c>
      <c r="L482" s="107">
        <f>IF(OR(UPPER(C482)="SERVIÇO",UPPER(C482)="SERVICO"),0,N(H482)*N(G482))</f>
        <v/>
      </c>
      <c r="M482" s="107">
        <f>IF(OR(UPPER(C482)="SERVIÇO",UPPER(C482)="SERVICO"),0,L482-K482)</f>
        <v/>
      </c>
    </row>
    <row r="483" ht="15" customHeight="1">
      <c r="B483" s="105" t="n">
        <v>472</v>
      </c>
      <c r="C483" s="105" t="inlineStr">
        <is>
          <t>Produto</t>
        </is>
      </c>
      <c r="D483" s="106" t="inlineStr">
        <is>
          <t>Óculos de natação com ajuste vermelho</t>
        </is>
      </c>
      <c r="E483" s="107" t="n">
        <v>113.06</v>
      </c>
      <c r="F483" s="108" t="n">
        <v>50</v>
      </c>
      <c r="G483" s="107">
        <f>ROUND(E483*(1+IF(ABS(F483)&lt;=1,F483,F483/100)),2)</f>
        <v/>
      </c>
      <c r="H483" s="105" t="n">
        <v>15</v>
      </c>
      <c r="I483" s="105" t="n">
        <v>5</v>
      </c>
      <c r="J483" s="105">
        <f>IF(OR(UPPER(C483)="SERVIÇO",UPPER(C483)="SERVICO"),"SERVIÇO",IF(H483&lt;=0,"ZERADO",IF(H483&lt;=I483,"ESTOQUE BAIXO","NORMAL")))</f>
        <v/>
      </c>
      <c r="K483" s="107">
        <f>IF(OR(UPPER(C483)="SERVIÇO",UPPER(C483)="SERVICO"),0,N(H483)*N(E483))</f>
        <v/>
      </c>
      <c r="L483" s="107">
        <f>IF(OR(UPPER(C483)="SERVIÇO",UPPER(C483)="SERVICO"),0,N(H483)*N(G483))</f>
        <v/>
      </c>
      <c r="M483" s="107">
        <f>IF(OR(UPPER(C483)="SERVIÇO",UPPER(C483)="SERVICO"),0,L483-K483)</f>
        <v/>
      </c>
    </row>
    <row r="484" ht="15" customHeight="1">
      <c r="B484" s="105" t="n">
        <v>473</v>
      </c>
      <c r="C484" s="105" t="inlineStr">
        <is>
          <t>Produto</t>
        </is>
      </c>
      <c r="D484" s="106" t="inlineStr">
        <is>
          <t>Colchonete de exercício recreativo rosa</t>
        </is>
      </c>
      <c r="E484" s="107" t="n">
        <v>41.61</v>
      </c>
      <c r="F484" s="108" t="n">
        <v>50</v>
      </c>
      <c r="G484" s="107">
        <f>ROUND(E484*(1+IF(ABS(F484)&lt;=1,F484,F484/100)),2)</f>
        <v/>
      </c>
      <c r="H484" s="105" t="n">
        <v>15</v>
      </c>
      <c r="I484" s="105" t="n">
        <v>5</v>
      </c>
      <c r="J484" s="105">
        <f>IF(OR(UPPER(C484)="SERVIÇO",UPPER(C484)="SERVICO"),"SERVIÇO",IF(H484&lt;=0,"ZERADO",IF(H484&lt;=I484,"ESTOQUE BAIXO","NORMAL")))</f>
        <v/>
      </c>
      <c r="K484" s="107">
        <f>IF(OR(UPPER(C484)="SERVIÇO",UPPER(C484)="SERVICO"),0,N(H484)*N(E484))</f>
        <v/>
      </c>
      <c r="L484" s="107">
        <f>IF(OR(UPPER(C484)="SERVIÇO",UPPER(C484)="SERVICO"),0,N(H484)*N(G484))</f>
        <v/>
      </c>
      <c r="M484" s="107">
        <f>IF(OR(UPPER(C484)="SERVIÇO",UPPER(C484)="SERVICO"),0,L484-K484)</f>
        <v/>
      </c>
    </row>
    <row r="485" ht="15" customHeight="1">
      <c r="B485" s="105" t="n">
        <v>474</v>
      </c>
      <c r="C485" s="105" t="inlineStr">
        <is>
          <t>Produto</t>
        </is>
      </c>
      <c r="D485" s="106" t="inlineStr">
        <is>
          <t>Caneleira de futebol resistente preto</t>
        </is>
      </c>
      <c r="E485" s="107" t="n">
        <v>77.39</v>
      </c>
      <c r="F485" s="108" t="n">
        <v>50</v>
      </c>
      <c r="G485" s="107">
        <f>ROUND(E485*(1+IF(ABS(F485)&lt;=1,F485,F485/100)),2)</f>
        <v/>
      </c>
      <c r="H485" s="105" t="n">
        <v>15</v>
      </c>
      <c r="I485" s="105" t="n">
        <v>5</v>
      </c>
      <c r="J485" s="105">
        <f>IF(OR(UPPER(C485)="SERVIÇO",UPPER(C485)="SERVICO"),"SERVIÇO",IF(H485&lt;=0,"ZERADO",IF(H485&lt;=I485,"ESTOQUE BAIXO","NORMAL")))</f>
        <v/>
      </c>
      <c r="K485" s="107">
        <f>IF(OR(UPPER(C485)="SERVIÇO",UPPER(C485)="SERVICO"),0,N(H485)*N(E485))</f>
        <v/>
      </c>
      <c r="L485" s="107">
        <f>IF(OR(UPPER(C485)="SERVIÇO",UPPER(C485)="SERVICO"),0,N(H485)*N(G485))</f>
        <v/>
      </c>
      <c r="M485" s="107">
        <f>IF(OR(UPPER(C485)="SERVIÇO",UPPER(C485)="SERVICO"),0,L485-K485)</f>
        <v/>
      </c>
    </row>
    <row r="486" ht="15" customHeight="1">
      <c r="B486" s="105" t="n">
        <v>475</v>
      </c>
      <c r="C486" s="105" t="inlineStr">
        <is>
          <t>Produto</t>
        </is>
      </c>
      <c r="D486" s="106" t="inlineStr">
        <is>
          <t>Raquete de beach tennis adulto laranja</t>
        </is>
      </c>
      <c r="E486" s="107" t="n">
        <v>174.46</v>
      </c>
      <c r="F486" s="108" t="n">
        <v>50</v>
      </c>
      <c r="G486" s="107">
        <f>ROUND(E486*(1+IF(ABS(F486)&lt;=1,F486,F486/100)),2)</f>
        <v/>
      </c>
      <c r="H486" s="105" t="n">
        <v>15</v>
      </c>
      <c r="I486" s="105" t="n">
        <v>5</v>
      </c>
      <c r="J486" s="105">
        <f>IF(OR(UPPER(C486)="SERVIÇO",UPPER(C486)="SERVICO"),"SERVIÇO",IF(H486&lt;=0,"ZERADO",IF(H486&lt;=I486,"ESTOQUE BAIXO","NORMAL")))</f>
        <v/>
      </c>
      <c r="K486" s="107">
        <f>IF(OR(UPPER(C486)="SERVIÇO",UPPER(C486)="SERVICO"),0,N(H486)*N(E486))</f>
        <v/>
      </c>
      <c r="L486" s="107">
        <f>IF(OR(UPPER(C486)="SERVIÇO",UPPER(C486)="SERVICO"),0,N(H486)*N(G486))</f>
        <v/>
      </c>
      <c r="M486" s="107">
        <f>IF(OR(UPPER(C486)="SERVIÇO",UPPER(C486)="SERVICO"),0,L486-K486)</f>
        <v/>
      </c>
    </row>
    <row r="487" ht="15" customHeight="1">
      <c r="B487" s="105" t="n">
        <v>476</v>
      </c>
      <c r="C487" s="105" t="inlineStr">
        <is>
          <t>Produto</t>
        </is>
      </c>
      <c r="D487" s="106" t="inlineStr">
        <is>
          <t>Touca de natação profissional vermelho tam. P</t>
        </is>
      </c>
      <c r="E487" s="107" t="n">
        <v>20.09</v>
      </c>
      <c r="F487" s="108" t="n">
        <v>50</v>
      </c>
      <c r="G487" s="107">
        <f>ROUND(E487*(1+IF(ABS(F487)&lt;=1,F487,F487/100)),2)</f>
        <v/>
      </c>
      <c r="H487" s="105" t="n">
        <v>15</v>
      </c>
      <c r="I487" s="105" t="n">
        <v>5</v>
      </c>
      <c r="J487" s="105">
        <f>IF(OR(UPPER(C487)="SERVIÇO",UPPER(C487)="SERVICO"),"SERVIÇO",IF(H487&lt;=0,"ZERADO",IF(H487&lt;=I487,"ESTOQUE BAIXO","NORMAL")))</f>
        <v/>
      </c>
      <c r="K487" s="107">
        <f>IF(OR(UPPER(C487)="SERVIÇO",UPPER(C487)="SERVICO"),0,N(H487)*N(E487))</f>
        <v/>
      </c>
      <c r="L487" s="107">
        <f>IF(OR(UPPER(C487)="SERVIÇO",UPPER(C487)="SERVICO"),0,N(H487)*N(G487))</f>
        <v/>
      </c>
      <c r="M487" s="107">
        <f>IF(OR(UPPER(C487)="SERVIÇO",UPPER(C487)="SERVICO"),0,L487-K487)</f>
        <v/>
      </c>
    </row>
    <row r="488" ht="15" customHeight="1">
      <c r="B488" s="105" t="n">
        <v>477</v>
      </c>
      <c r="C488" s="105" t="inlineStr">
        <is>
          <t>Produto</t>
        </is>
      </c>
      <c r="D488" s="106" t="inlineStr">
        <is>
          <t>Capacete de ciclismo juvenil rosa</t>
        </is>
      </c>
      <c r="E488" s="107" t="n">
        <v>253.64</v>
      </c>
      <c r="F488" s="108" t="n">
        <v>50</v>
      </c>
      <c r="G488" s="107">
        <f>ROUND(E488*(1+IF(ABS(F488)&lt;=1,F488,F488/100)),2)</f>
        <v/>
      </c>
      <c r="H488" s="105" t="n">
        <v>15</v>
      </c>
      <c r="I488" s="105" t="n">
        <v>5</v>
      </c>
      <c r="J488" s="105">
        <f>IF(OR(UPPER(C488)="SERVIÇO",UPPER(C488)="SERVICO"),"SERVIÇO",IF(H488&lt;=0,"ZERADO",IF(H488&lt;=I488,"ESTOQUE BAIXO","NORMAL")))</f>
        <v/>
      </c>
      <c r="K488" s="107">
        <f>IF(OR(UPPER(C488)="SERVIÇO",UPPER(C488)="SERVICO"),0,N(H488)*N(E488))</f>
        <v/>
      </c>
      <c r="L488" s="107">
        <f>IF(OR(UPPER(C488)="SERVIÇO",UPPER(C488)="SERVICO"),0,N(H488)*N(G488))</f>
        <v/>
      </c>
      <c r="M488" s="107">
        <f>IF(OR(UPPER(C488)="SERVIÇO",UPPER(C488)="SERVICO"),0,L488-K488)</f>
        <v/>
      </c>
    </row>
    <row r="489" ht="15" customHeight="1">
      <c r="B489" s="105" t="n">
        <v>478</v>
      </c>
      <c r="C489" s="105" t="inlineStr">
        <is>
          <t>Produto</t>
        </is>
      </c>
      <c r="D489" s="106" t="inlineStr">
        <is>
          <t>Bola de basquete ventilado laranja</t>
        </is>
      </c>
      <c r="E489" s="107" t="n">
        <v>37.29</v>
      </c>
      <c r="F489" s="108" t="n">
        <v>50</v>
      </c>
      <c r="G489" s="107">
        <f>ROUND(E489*(1+IF(ABS(F489)&lt;=1,F489,F489/100)),2)</f>
        <v/>
      </c>
      <c r="H489" s="105" t="n">
        <v>15</v>
      </c>
      <c r="I489" s="105" t="n">
        <v>5</v>
      </c>
      <c r="J489" s="105">
        <f>IF(OR(UPPER(C489)="SERVIÇO",UPPER(C489)="SERVICO"),"SERVIÇO",IF(H489&lt;=0,"ZERADO",IF(H489&lt;=I489,"ESTOQUE BAIXO","NORMAL")))</f>
        <v/>
      </c>
      <c r="K489" s="107">
        <f>IF(OR(UPPER(C489)="SERVIÇO",UPPER(C489)="SERVICO"),0,N(H489)*N(E489))</f>
        <v/>
      </c>
      <c r="L489" s="107">
        <f>IF(OR(UPPER(C489)="SERVIÇO",UPPER(C489)="SERVICO"),0,N(H489)*N(G489))</f>
        <v/>
      </c>
      <c r="M489" s="107">
        <f>IF(OR(UPPER(C489)="SERVIÇO",UPPER(C489)="SERVICO"),0,L489-K489)</f>
        <v/>
      </c>
    </row>
    <row r="490" ht="15" customHeight="1">
      <c r="B490" s="105" t="n">
        <v>479</v>
      </c>
      <c r="C490" s="105" t="inlineStr">
        <is>
          <t>Produto</t>
        </is>
      </c>
      <c r="D490" s="106" t="inlineStr">
        <is>
          <t>Monitor cardíaco ventilado cinza</t>
        </is>
      </c>
      <c r="E490" s="107" t="n">
        <v>63.3</v>
      </c>
      <c r="F490" s="108" t="n">
        <v>50</v>
      </c>
      <c r="G490" s="107">
        <f>ROUND(E490*(1+IF(ABS(F490)&lt;=1,F490,F490/100)),2)</f>
        <v/>
      </c>
      <c r="H490" s="105" t="n">
        <v>15</v>
      </c>
      <c r="I490" s="105" t="n">
        <v>5</v>
      </c>
      <c r="J490" s="105">
        <f>IF(OR(UPPER(C490)="SERVIÇO",UPPER(C490)="SERVICO"),"SERVIÇO",IF(H490&lt;=0,"ZERADO",IF(H490&lt;=I490,"ESTOQUE BAIXO","NORMAL")))</f>
        <v/>
      </c>
      <c r="K490" s="107">
        <f>IF(OR(UPPER(C490)="SERVIÇO",UPPER(C490)="SERVICO"),0,N(H490)*N(E490))</f>
        <v/>
      </c>
      <c r="L490" s="107">
        <f>IF(OR(UPPER(C490)="SERVIÇO",UPPER(C490)="SERVICO"),0,N(H490)*N(G490))</f>
        <v/>
      </c>
      <c r="M490" s="107">
        <f>IF(OR(UPPER(C490)="SERVIÇO",UPPER(C490)="SERVICO"),0,L490-K490)</f>
        <v/>
      </c>
    </row>
    <row r="491" ht="15" customHeight="1">
      <c r="B491" s="105" t="n">
        <v>480</v>
      </c>
      <c r="C491" s="105" t="inlineStr">
        <is>
          <t>Produto</t>
        </is>
      </c>
      <c r="D491" s="106" t="inlineStr">
        <is>
          <t>Skate leve azul</t>
        </is>
      </c>
      <c r="E491" s="107" t="n">
        <v>558.14</v>
      </c>
      <c r="F491" s="108" t="n">
        <v>50</v>
      </c>
      <c r="G491" s="107">
        <f>ROUND(E491*(1+IF(ABS(F491)&lt;=1,F491,F491/100)),2)</f>
        <v/>
      </c>
      <c r="H491" s="105" t="n">
        <v>15</v>
      </c>
      <c r="I491" s="105" t="n">
        <v>5</v>
      </c>
      <c r="J491" s="105">
        <f>IF(OR(UPPER(C491)="SERVIÇO",UPPER(C491)="SERVICO"),"SERVIÇO",IF(H491&lt;=0,"ZERADO",IF(H491&lt;=I491,"ESTOQUE BAIXO","NORMAL")))</f>
        <v/>
      </c>
      <c r="K491" s="107">
        <f>IF(OR(UPPER(C491)="SERVIÇO",UPPER(C491)="SERVICO"),0,N(H491)*N(E491))</f>
        <v/>
      </c>
      <c r="L491" s="107">
        <f>IF(OR(UPPER(C491)="SERVIÇO",UPPER(C491)="SERVICO"),0,N(H491)*N(G491))</f>
        <v/>
      </c>
      <c r="M491" s="107">
        <f>IF(OR(UPPER(C491)="SERVIÇO",UPPER(C491)="SERVICO"),0,L491-K491)</f>
        <v/>
      </c>
    </row>
    <row r="492" ht="15" customHeight="1">
      <c r="B492" s="105" t="n">
        <v>481</v>
      </c>
      <c r="C492" s="105" t="inlineStr">
        <is>
          <t>Produto</t>
        </is>
      </c>
      <c r="D492" s="106" t="inlineStr">
        <is>
          <t>Monitor cardíaco compacto verde</t>
        </is>
      </c>
      <c r="E492" s="107" t="n">
        <v>392.34</v>
      </c>
      <c r="F492" s="108" t="n">
        <v>50</v>
      </c>
      <c r="G492" s="107">
        <f>ROUND(E492*(1+IF(ABS(F492)&lt;=1,F492,F492/100)),2)</f>
        <v/>
      </c>
      <c r="H492" s="105" t="n">
        <v>15</v>
      </c>
      <c r="I492" s="105" t="n">
        <v>5</v>
      </c>
      <c r="J492" s="105">
        <f>IF(OR(UPPER(C492)="SERVIÇO",UPPER(C492)="SERVICO"),"SERVIÇO",IF(H492&lt;=0,"ZERADO",IF(H492&lt;=I492,"ESTOQUE BAIXO","NORMAL")))</f>
        <v/>
      </c>
      <c r="K492" s="107">
        <f>IF(OR(UPPER(C492)="SERVIÇO",UPPER(C492)="SERVICO"),0,N(H492)*N(E492))</f>
        <v/>
      </c>
      <c r="L492" s="107">
        <f>IF(OR(UPPER(C492)="SERVIÇO",UPPER(C492)="SERVICO"),0,N(H492)*N(G492))</f>
        <v/>
      </c>
      <c r="M492" s="107">
        <f>IF(OR(UPPER(C492)="SERVIÇO",UPPER(C492)="SERVICO"),0,L492-K492)</f>
        <v/>
      </c>
    </row>
    <row r="493" ht="15" customHeight="1">
      <c r="B493" s="105" t="n">
        <v>482</v>
      </c>
      <c r="C493" s="105" t="inlineStr">
        <is>
          <t>Produto</t>
        </is>
      </c>
      <c r="D493" s="106" t="inlineStr">
        <is>
          <t>Mochila esportiva premium laranja</t>
        </is>
      </c>
      <c r="E493" s="107" t="n">
        <v>52.06</v>
      </c>
      <c r="F493" s="108" t="n">
        <v>50</v>
      </c>
      <c r="G493" s="107">
        <f>ROUND(E493*(1+IF(ABS(F493)&lt;=1,F493,F493/100)),2)</f>
        <v/>
      </c>
      <c r="H493" s="105" t="n">
        <v>15</v>
      </c>
      <c r="I493" s="105" t="n">
        <v>5</v>
      </c>
      <c r="J493" s="105">
        <f>IF(OR(UPPER(C493)="SERVIÇO",UPPER(C493)="SERVICO"),"SERVIÇO",IF(H493&lt;=0,"ZERADO",IF(H493&lt;=I493,"ESTOQUE BAIXO","NORMAL")))</f>
        <v/>
      </c>
      <c r="K493" s="107">
        <f>IF(OR(UPPER(C493)="SERVIÇO",UPPER(C493)="SERVICO"),0,N(H493)*N(E493))</f>
        <v/>
      </c>
      <c r="L493" s="107">
        <f>IF(OR(UPPER(C493)="SERVIÇO",UPPER(C493)="SERVICO"),0,N(H493)*N(G493))</f>
        <v/>
      </c>
      <c r="M493" s="107">
        <f>IF(OR(UPPER(C493)="SERVIÇO",UPPER(C493)="SERVICO"),0,L493-K493)</f>
        <v/>
      </c>
    </row>
    <row r="494" ht="15" customHeight="1">
      <c r="B494" s="105" t="n">
        <v>483</v>
      </c>
      <c r="C494" s="105" t="inlineStr">
        <is>
          <t>Produto</t>
        </is>
      </c>
      <c r="D494" s="106" t="inlineStr">
        <is>
          <t>Elástico de resistência unissex verde</t>
        </is>
      </c>
      <c r="E494" s="107" t="n">
        <v>59.43</v>
      </c>
      <c r="F494" s="108" t="n">
        <v>50</v>
      </c>
      <c r="G494" s="107">
        <f>ROUND(E494*(1+IF(ABS(F494)&lt;=1,F494,F494/100)),2)</f>
        <v/>
      </c>
      <c r="H494" s="105" t="n">
        <v>15</v>
      </c>
      <c r="I494" s="105" t="n">
        <v>5</v>
      </c>
      <c r="J494" s="105">
        <f>IF(OR(UPPER(C494)="SERVIÇO",UPPER(C494)="SERVICO"),"SERVIÇO",IF(H494&lt;=0,"ZERADO",IF(H494&lt;=I494,"ESTOQUE BAIXO","NORMAL")))</f>
        <v/>
      </c>
      <c r="K494" s="107">
        <f>IF(OR(UPPER(C494)="SERVIÇO",UPPER(C494)="SERVICO"),0,N(H494)*N(E494))</f>
        <v/>
      </c>
      <c r="L494" s="107">
        <f>IF(OR(UPPER(C494)="SERVIÇO",UPPER(C494)="SERVICO"),0,N(H494)*N(G494))</f>
        <v/>
      </c>
      <c r="M494" s="107">
        <f>IF(OR(UPPER(C494)="SERVIÇO",UPPER(C494)="SERVICO"),0,L494-K494)</f>
        <v/>
      </c>
    </row>
    <row r="495" ht="15" customHeight="1">
      <c r="B495" s="105" t="n">
        <v>484</v>
      </c>
      <c r="C495" s="105" t="inlineStr">
        <is>
          <t>Produto</t>
        </is>
      </c>
      <c r="D495" s="106" t="inlineStr">
        <is>
          <t>Jaqueta esportiva profissional preto tam. M</t>
        </is>
      </c>
      <c r="E495" s="107" t="n">
        <v>153.64</v>
      </c>
      <c r="F495" s="108" t="n">
        <v>50</v>
      </c>
      <c r="G495" s="107">
        <f>ROUND(E495*(1+IF(ABS(F495)&lt;=1,F495,F495/100)),2)</f>
        <v/>
      </c>
      <c r="H495" s="105" t="n">
        <v>15</v>
      </c>
      <c r="I495" s="105" t="n">
        <v>5</v>
      </c>
      <c r="J495" s="105">
        <f>IF(OR(UPPER(C495)="SERVIÇO",UPPER(C495)="SERVICO"),"SERVIÇO",IF(H495&lt;=0,"ZERADO",IF(H495&lt;=I495,"ESTOQUE BAIXO","NORMAL")))</f>
        <v/>
      </c>
      <c r="K495" s="107">
        <f>IF(OR(UPPER(C495)="SERVIÇO",UPPER(C495)="SERVICO"),0,N(H495)*N(E495))</f>
        <v/>
      </c>
      <c r="L495" s="107">
        <f>IF(OR(UPPER(C495)="SERVIÇO",UPPER(C495)="SERVICO"),0,N(H495)*N(G495))</f>
        <v/>
      </c>
      <c r="M495" s="107">
        <f>IF(OR(UPPER(C495)="SERVIÇO",UPPER(C495)="SERVICO"),0,L495-K495)</f>
        <v/>
      </c>
    </row>
    <row r="496" ht="15" customHeight="1">
      <c r="B496" s="105" t="n">
        <v>485</v>
      </c>
      <c r="C496" s="105" t="inlineStr">
        <is>
          <t>Produto</t>
        </is>
      </c>
      <c r="D496" s="106" t="inlineStr">
        <is>
          <t>Bloco para yoga ergonômico preto</t>
        </is>
      </c>
      <c r="E496" s="107" t="n">
        <v>33.77</v>
      </c>
      <c r="F496" s="108" t="n">
        <v>50</v>
      </c>
      <c r="G496" s="107">
        <f>ROUND(E496*(1+IF(ABS(F496)&lt;=1,F496,F496/100)),2)</f>
        <v/>
      </c>
      <c r="H496" s="105" t="n">
        <v>15</v>
      </c>
      <c r="I496" s="105" t="n">
        <v>5</v>
      </c>
      <c r="J496" s="105">
        <f>IF(OR(UPPER(C496)="SERVIÇO",UPPER(C496)="SERVICO"),"SERVIÇO",IF(H496&lt;=0,"ZERADO",IF(H496&lt;=I496,"ESTOQUE BAIXO","NORMAL")))</f>
        <v/>
      </c>
      <c r="K496" s="107">
        <f>IF(OR(UPPER(C496)="SERVIÇO",UPPER(C496)="SERVICO"),0,N(H496)*N(E496))</f>
        <v/>
      </c>
      <c r="L496" s="107">
        <f>IF(OR(UPPER(C496)="SERVIÇO",UPPER(C496)="SERVICO"),0,N(H496)*N(G496))</f>
        <v/>
      </c>
      <c r="M496" s="107">
        <f>IF(OR(UPPER(C496)="SERVIÇO",UPPER(C496)="SERVICO"),0,L496-K496)</f>
        <v/>
      </c>
    </row>
    <row r="497" ht="15" customHeight="1">
      <c r="B497" s="105" t="n">
        <v>486</v>
      </c>
      <c r="C497" s="105" t="inlineStr">
        <is>
          <t>Produto</t>
        </is>
      </c>
      <c r="D497" s="106" t="inlineStr">
        <is>
          <t>Skate profissional rosa</t>
        </is>
      </c>
      <c r="E497" s="107" t="n">
        <v>521.0599999999999</v>
      </c>
      <c r="F497" s="108" t="n">
        <v>50</v>
      </c>
      <c r="G497" s="107">
        <f>ROUND(E497*(1+IF(ABS(F497)&lt;=1,F497,F497/100)),2)</f>
        <v/>
      </c>
      <c r="H497" s="105" t="n">
        <v>15</v>
      </c>
      <c r="I497" s="105" t="n">
        <v>5</v>
      </c>
      <c r="J497" s="105">
        <f>IF(OR(UPPER(C497)="SERVIÇO",UPPER(C497)="SERVICO"),"SERVIÇO",IF(H497&lt;=0,"ZERADO",IF(H497&lt;=I497,"ESTOQUE BAIXO","NORMAL")))</f>
        <v/>
      </c>
      <c r="K497" s="107">
        <f>IF(OR(UPPER(C497)="SERVIÇO",UPPER(C497)="SERVICO"),0,N(H497)*N(E497))</f>
        <v/>
      </c>
      <c r="L497" s="107">
        <f>IF(OR(UPPER(C497)="SERVIÇO",UPPER(C497)="SERVICO"),0,N(H497)*N(G497))</f>
        <v/>
      </c>
      <c r="M497" s="107">
        <f>IF(OR(UPPER(C497)="SERVIÇO",UPPER(C497)="SERVICO"),0,L497-K497)</f>
        <v/>
      </c>
    </row>
    <row r="498" ht="15" customHeight="1">
      <c r="B498" s="105" t="n">
        <v>487</v>
      </c>
      <c r="C498" s="105" t="inlineStr">
        <is>
          <t>Produto</t>
        </is>
      </c>
      <c r="D498" s="106" t="inlineStr">
        <is>
          <t>Óculos de natação unissex azul</t>
        </is>
      </c>
      <c r="E498" s="107" t="n">
        <v>135.42</v>
      </c>
      <c r="F498" s="108" t="n">
        <v>50</v>
      </c>
      <c r="G498" s="107">
        <f>ROUND(E498*(1+IF(ABS(F498)&lt;=1,F498,F498/100)),2)</f>
        <v/>
      </c>
      <c r="H498" s="105" t="n">
        <v>15</v>
      </c>
      <c r="I498" s="105" t="n">
        <v>5</v>
      </c>
      <c r="J498" s="105">
        <f>IF(OR(UPPER(C498)="SERVIÇO",UPPER(C498)="SERVICO"),"SERVIÇO",IF(H498&lt;=0,"ZERADO",IF(H498&lt;=I498,"ESTOQUE BAIXO","NORMAL")))</f>
        <v/>
      </c>
      <c r="K498" s="107">
        <f>IF(OR(UPPER(C498)="SERVIÇO",UPPER(C498)="SERVICO"),0,N(H498)*N(E498))</f>
        <v/>
      </c>
      <c r="L498" s="107">
        <f>IF(OR(UPPER(C498)="SERVIÇO",UPPER(C498)="SERVICO"),0,N(H498)*N(G498))</f>
        <v/>
      </c>
      <c r="M498" s="107">
        <f>IF(OR(UPPER(C498)="SERVIÇO",UPPER(C498)="SERVICO"),0,L498-K498)</f>
        <v/>
      </c>
    </row>
    <row r="499" ht="15" customHeight="1">
      <c r="B499" s="105" t="n">
        <v>488</v>
      </c>
      <c r="C499" s="105" t="inlineStr">
        <is>
          <t>Produto</t>
        </is>
      </c>
      <c r="D499" s="106" t="inlineStr">
        <is>
          <t>Bola de vôlei reforçado rosa</t>
        </is>
      </c>
      <c r="E499" s="107" t="n">
        <v>46.71</v>
      </c>
      <c r="F499" s="108" t="n">
        <v>50</v>
      </c>
      <c r="G499" s="107">
        <f>ROUND(E499*(1+IF(ABS(F499)&lt;=1,F499,F499/100)),2)</f>
        <v/>
      </c>
      <c r="H499" s="105" t="n">
        <v>15</v>
      </c>
      <c r="I499" s="105" t="n">
        <v>5</v>
      </c>
      <c r="J499" s="105">
        <f>IF(OR(UPPER(C499)="SERVIÇO",UPPER(C499)="SERVICO"),"SERVIÇO",IF(H499&lt;=0,"ZERADO",IF(H499&lt;=I499,"ESTOQUE BAIXO","NORMAL")))</f>
        <v/>
      </c>
      <c r="K499" s="107">
        <f>IF(OR(UPPER(C499)="SERVIÇO",UPPER(C499)="SERVICO"),0,N(H499)*N(E499))</f>
        <v/>
      </c>
      <c r="L499" s="107">
        <f>IF(OR(UPPER(C499)="SERVIÇO",UPPER(C499)="SERVICO"),0,N(H499)*N(G499))</f>
        <v/>
      </c>
      <c r="M499" s="107">
        <f>IF(OR(UPPER(C499)="SERVIÇO",UPPER(C499)="SERVICO"),0,L499-K499)</f>
        <v/>
      </c>
    </row>
    <row r="500" ht="15" customHeight="1">
      <c r="B500" s="105" t="n">
        <v>489</v>
      </c>
      <c r="C500" s="105" t="inlineStr">
        <is>
          <t>Produto</t>
        </is>
      </c>
      <c r="D500" s="106" t="inlineStr">
        <is>
          <t>Raquete de beach tennis ventilado preto</t>
        </is>
      </c>
      <c r="E500" s="107" t="n">
        <v>203.84</v>
      </c>
      <c r="F500" s="108" t="n">
        <v>50</v>
      </c>
      <c r="G500" s="107">
        <f>ROUND(E500*(1+IF(ABS(F500)&lt;=1,F500,F500/100)),2)</f>
        <v/>
      </c>
      <c r="H500" s="105" t="n">
        <v>15</v>
      </c>
      <c r="I500" s="105" t="n">
        <v>5</v>
      </c>
      <c r="J500" s="105">
        <f>IF(OR(UPPER(C500)="SERVIÇO",UPPER(C500)="SERVICO"),"SERVIÇO",IF(H500&lt;=0,"ZERADO",IF(H500&lt;=I500,"ESTOQUE BAIXO","NORMAL")))</f>
        <v/>
      </c>
      <c r="K500" s="107">
        <f>IF(OR(UPPER(C500)="SERVIÇO",UPPER(C500)="SERVICO"),0,N(H500)*N(E500))</f>
        <v/>
      </c>
      <c r="L500" s="107">
        <f>IF(OR(UPPER(C500)="SERVIÇO",UPPER(C500)="SERVICO"),0,N(H500)*N(G500))</f>
        <v/>
      </c>
      <c r="M500" s="107">
        <f>IF(OR(UPPER(C500)="SERVIÇO",UPPER(C500)="SERVICO"),0,L500-K500)</f>
        <v/>
      </c>
    </row>
    <row r="501" ht="15" customHeight="1">
      <c r="B501" s="105" t="n">
        <v>490</v>
      </c>
      <c r="C501" s="105" t="inlineStr">
        <is>
          <t>Produto</t>
        </is>
      </c>
      <c r="D501" s="106" t="inlineStr">
        <is>
          <t>Halter reforçado vermelho</t>
        </is>
      </c>
      <c r="E501" s="107" t="n">
        <v>115.75</v>
      </c>
      <c r="F501" s="108" t="n">
        <v>50</v>
      </c>
      <c r="G501" s="107">
        <f>ROUND(E501*(1+IF(ABS(F501)&lt;=1,F501,F501/100)),2)</f>
        <v/>
      </c>
      <c r="H501" s="105" t="n">
        <v>15</v>
      </c>
      <c r="I501" s="105" t="n">
        <v>5</v>
      </c>
      <c r="J501" s="105">
        <f>IF(OR(UPPER(C501)="SERVIÇO",UPPER(C501)="SERVICO"),"SERVIÇO",IF(H501&lt;=0,"ZERADO",IF(H501&lt;=I501,"ESTOQUE BAIXO","NORMAL")))</f>
        <v/>
      </c>
      <c r="K501" s="107">
        <f>IF(OR(UPPER(C501)="SERVIÇO",UPPER(C501)="SERVICO"),0,N(H501)*N(E501))</f>
        <v/>
      </c>
      <c r="L501" s="107">
        <f>IF(OR(UPPER(C501)="SERVIÇO",UPPER(C501)="SERVICO"),0,N(H501)*N(G501))</f>
        <v/>
      </c>
      <c r="M501" s="107">
        <f>IF(OR(UPPER(C501)="SERVIÇO",UPPER(C501)="SERVICO"),0,L501-K501)</f>
        <v/>
      </c>
    </row>
    <row r="502" ht="15" customHeight="1">
      <c r="B502" s="105" t="n">
        <v>491</v>
      </c>
      <c r="C502" s="105" t="inlineStr">
        <is>
          <t>Produto</t>
        </is>
      </c>
      <c r="D502" s="106" t="inlineStr">
        <is>
          <t>Patins profissional cinza</t>
        </is>
      </c>
      <c r="E502" s="107" t="n">
        <v>227.16</v>
      </c>
      <c r="F502" s="108" t="n">
        <v>50</v>
      </c>
      <c r="G502" s="107">
        <f>ROUND(E502*(1+IF(ABS(F502)&lt;=1,F502,F502/100)),2)</f>
        <v/>
      </c>
      <c r="H502" s="105" t="n">
        <v>15</v>
      </c>
      <c r="I502" s="105" t="n">
        <v>5</v>
      </c>
      <c r="J502" s="105">
        <f>IF(OR(UPPER(C502)="SERVIÇO",UPPER(C502)="SERVICO"),"SERVIÇO",IF(H502&lt;=0,"ZERADO",IF(H502&lt;=I502,"ESTOQUE BAIXO","NORMAL")))</f>
        <v/>
      </c>
      <c r="K502" s="107">
        <f>IF(OR(UPPER(C502)="SERVIÇO",UPPER(C502)="SERVICO"),0,N(H502)*N(E502))</f>
        <v/>
      </c>
      <c r="L502" s="107">
        <f>IF(OR(UPPER(C502)="SERVIÇO",UPPER(C502)="SERVICO"),0,N(H502)*N(G502))</f>
        <v/>
      </c>
      <c r="M502" s="107">
        <f>IF(OR(UPPER(C502)="SERVIÇO",UPPER(C502)="SERVICO"),0,L502-K502)</f>
        <v/>
      </c>
    </row>
    <row r="503" ht="15" customHeight="1">
      <c r="B503" s="105" t="n">
        <v>492</v>
      </c>
      <c r="C503" s="105" t="inlineStr">
        <is>
          <t>Produto</t>
        </is>
      </c>
      <c r="D503" s="106" t="inlineStr">
        <is>
          <t>Meias esportivas para uso diário branco tam. 38</t>
        </is>
      </c>
      <c r="E503" s="107" t="n">
        <v>33.14</v>
      </c>
      <c r="F503" s="108" t="n">
        <v>50</v>
      </c>
      <c r="G503" s="107">
        <f>ROUND(E503*(1+IF(ABS(F503)&lt;=1,F503,F503/100)),2)</f>
        <v/>
      </c>
      <c r="H503" s="105" t="n">
        <v>15</v>
      </c>
      <c r="I503" s="105" t="n">
        <v>5</v>
      </c>
      <c r="J503" s="105">
        <f>IF(OR(UPPER(C503)="SERVIÇO",UPPER(C503)="SERVICO"),"SERVIÇO",IF(H503&lt;=0,"ZERADO",IF(H503&lt;=I503,"ESTOQUE BAIXO","NORMAL")))</f>
        <v/>
      </c>
      <c r="K503" s="107">
        <f>IF(OR(UPPER(C503)="SERVIÇO",UPPER(C503)="SERVICO"),0,N(H503)*N(E503))</f>
        <v/>
      </c>
      <c r="L503" s="107">
        <f>IF(OR(UPPER(C503)="SERVIÇO",UPPER(C503)="SERVICO"),0,N(H503)*N(G503))</f>
        <v/>
      </c>
      <c r="M503" s="107">
        <f>IF(OR(UPPER(C503)="SERVIÇO",UPPER(C503)="SERVICO"),0,L503-K503)</f>
        <v/>
      </c>
    </row>
    <row r="504" ht="15" customHeight="1">
      <c r="B504" s="105" t="n">
        <v>493</v>
      </c>
      <c r="C504" s="105" t="inlineStr">
        <is>
          <t>Produto</t>
        </is>
      </c>
      <c r="D504" s="106" t="inlineStr">
        <is>
          <t>Chuteira de campo resistente branco tam. P</t>
        </is>
      </c>
      <c r="E504" s="107" t="n">
        <v>117.65</v>
      </c>
      <c r="F504" s="108" t="n">
        <v>50</v>
      </c>
      <c r="G504" s="107">
        <f>ROUND(E504*(1+IF(ABS(F504)&lt;=1,F504,F504/100)),2)</f>
        <v/>
      </c>
      <c r="H504" s="105" t="n">
        <v>15</v>
      </c>
      <c r="I504" s="105" t="n">
        <v>5</v>
      </c>
      <c r="J504" s="105">
        <f>IF(OR(UPPER(C504)="SERVIÇO",UPPER(C504)="SERVICO"),"SERVIÇO",IF(H504&lt;=0,"ZERADO",IF(H504&lt;=I504,"ESTOQUE BAIXO","NORMAL")))</f>
        <v/>
      </c>
      <c r="K504" s="107">
        <f>IF(OR(UPPER(C504)="SERVIÇO",UPPER(C504)="SERVICO"),0,N(H504)*N(E504))</f>
        <v/>
      </c>
      <c r="L504" s="107">
        <f>IF(OR(UPPER(C504)="SERVIÇO",UPPER(C504)="SERVICO"),0,N(H504)*N(G504))</f>
        <v/>
      </c>
      <c r="M504" s="107">
        <f>IF(OR(UPPER(C504)="SERVIÇO",UPPER(C504)="SERVICO"),0,L504-K504)</f>
        <v/>
      </c>
    </row>
    <row r="505" ht="15" customHeight="1">
      <c r="B505" s="105" t="n">
        <v>494</v>
      </c>
      <c r="C505" s="105" t="inlineStr">
        <is>
          <t>Produto</t>
        </is>
      </c>
      <c r="D505" s="106" t="inlineStr">
        <is>
          <t>Jaqueta esportiva modelo básico laranja tam. 36</t>
        </is>
      </c>
      <c r="E505" s="107" t="n">
        <v>61.23</v>
      </c>
      <c r="F505" s="108" t="n">
        <v>50</v>
      </c>
      <c r="G505" s="107">
        <f>ROUND(E505*(1+IF(ABS(F505)&lt;=1,F505,F505/100)),2)</f>
        <v/>
      </c>
      <c r="H505" s="105" t="n">
        <v>15</v>
      </c>
      <c r="I505" s="105" t="n">
        <v>5</v>
      </c>
      <c r="J505" s="105">
        <f>IF(OR(UPPER(C505)="SERVIÇO",UPPER(C505)="SERVICO"),"SERVIÇO",IF(H505&lt;=0,"ZERADO",IF(H505&lt;=I505,"ESTOQUE BAIXO","NORMAL")))</f>
        <v/>
      </c>
      <c r="K505" s="107">
        <f>IF(OR(UPPER(C505)="SERVIÇO",UPPER(C505)="SERVICO"),0,N(H505)*N(E505))</f>
        <v/>
      </c>
      <c r="L505" s="107">
        <f>IF(OR(UPPER(C505)="SERVIÇO",UPPER(C505)="SERVICO"),0,N(H505)*N(G505))</f>
        <v/>
      </c>
      <c r="M505" s="107">
        <f>IF(OR(UPPER(C505)="SERVIÇO",UPPER(C505)="SERVICO"),0,L505-K505)</f>
        <v/>
      </c>
    </row>
    <row r="506" ht="15" customHeight="1">
      <c r="B506" s="105" t="n">
        <v>495</v>
      </c>
      <c r="C506" s="105" t="inlineStr">
        <is>
          <t>Produto</t>
        </is>
      </c>
      <c r="D506" s="106" t="inlineStr">
        <is>
          <t>Bolsa de academia ergonômico verde</t>
        </is>
      </c>
      <c r="E506" s="107" t="n">
        <v>83.31</v>
      </c>
      <c r="F506" s="108" t="n">
        <v>50</v>
      </c>
      <c r="G506" s="107">
        <f>ROUND(E506*(1+IF(ABS(F506)&lt;=1,F506,F506/100)),2)</f>
        <v/>
      </c>
      <c r="H506" s="105" t="n">
        <v>15</v>
      </c>
      <c r="I506" s="105" t="n">
        <v>5</v>
      </c>
      <c r="J506" s="105">
        <f>IF(OR(UPPER(C506)="SERVIÇO",UPPER(C506)="SERVICO"),"SERVIÇO",IF(H506&lt;=0,"ZERADO",IF(H506&lt;=I506,"ESTOQUE BAIXO","NORMAL")))</f>
        <v/>
      </c>
      <c r="K506" s="107">
        <f>IF(OR(UPPER(C506)="SERVIÇO",UPPER(C506)="SERVICO"),0,N(H506)*N(E506))</f>
        <v/>
      </c>
      <c r="L506" s="107">
        <f>IF(OR(UPPER(C506)="SERVIÇO",UPPER(C506)="SERVICO"),0,N(H506)*N(G506))</f>
        <v/>
      </c>
      <c r="M506" s="107">
        <f>IF(OR(UPPER(C506)="SERVIÇO",UPPER(C506)="SERVICO"),0,L506-K506)</f>
        <v/>
      </c>
    </row>
    <row r="507" ht="15" customHeight="1">
      <c r="B507" s="105" t="n">
        <v>496</v>
      </c>
      <c r="C507" s="105" t="inlineStr">
        <is>
          <t>Produto</t>
        </is>
      </c>
      <c r="D507" s="106" t="inlineStr">
        <is>
          <t>Bloco para yoga leve laranja</t>
        </is>
      </c>
      <c r="E507" s="107" t="n">
        <v>12.28</v>
      </c>
      <c r="F507" s="108" t="n">
        <v>50</v>
      </c>
      <c r="G507" s="107">
        <f>ROUND(E507*(1+IF(ABS(F507)&lt;=1,F507,F507/100)),2)</f>
        <v/>
      </c>
      <c r="H507" s="105" t="n">
        <v>15</v>
      </c>
      <c r="I507" s="105" t="n">
        <v>5</v>
      </c>
      <c r="J507" s="105">
        <f>IF(OR(UPPER(C507)="SERVIÇO",UPPER(C507)="SERVICO"),"SERVIÇO",IF(H507&lt;=0,"ZERADO",IF(H507&lt;=I507,"ESTOQUE BAIXO","NORMAL")))</f>
        <v/>
      </c>
      <c r="K507" s="107">
        <f>IF(OR(UPPER(C507)="SERVIÇO",UPPER(C507)="SERVICO"),0,N(H507)*N(E507))</f>
        <v/>
      </c>
      <c r="L507" s="107">
        <f>IF(OR(UPPER(C507)="SERVIÇO",UPPER(C507)="SERVICO"),0,N(H507)*N(G507))</f>
        <v/>
      </c>
      <c r="M507" s="107">
        <f>IF(OR(UPPER(C507)="SERVIÇO",UPPER(C507)="SERVICO"),0,L507-K507)</f>
        <v/>
      </c>
    </row>
    <row r="508" ht="15" customHeight="1">
      <c r="B508" s="105" t="n">
        <v>497</v>
      </c>
      <c r="C508" s="105" t="inlineStr">
        <is>
          <t>Produto</t>
        </is>
      </c>
      <c r="D508" s="106" t="inlineStr">
        <is>
          <t>Kimono de judô compacto azul tam. M</t>
        </is>
      </c>
      <c r="E508" s="107" t="n">
        <v>140.33</v>
      </c>
      <c r="F508" s="108" t="n">
        <v>50</v>
      </c>
      <c r="G508" s="107">
        <f>ROUND(E508*(1+IF(ABS(F508)&lt;=1,F508,F508/100)),2)</f>
        <v/>
      </c>
      <c r="H508" s="105" t="n">
        <v>15</v>
      </c>
      <c r="I508" s="105" t="n">
        <v>5</v>
      </c>
      <c r="J508" s="105">
        <f>IF(OR(UPPER(C508)="SERVIÇO",UPPER(C508)="SERVICO"),"SERVIÇO",IF(H508&lt;=0,"ZERADO",IF(H508&lt;=I508,"ESTOQUE BAIXO","NORMAL")))</f>
        <v/>
      </c>
      <c r="K508" s="107">
        <f>IF(OR(UPPER(C508)="SERVIÇO",UPPER(C508)="SERVICO"),0,N(H508)*N(E508))</f>
        <v/>
      </c>
      <c r="L508" s="107">
        <f>IF(OR(UPPER(C508)="SERVIÇO",UPPER(C508)="SERVICO"),0,N(H508)*N(G508))</f>
        <v/>
      </c>
      <c r="M508" s="107">
        <f>IF(OR(UPPER(C508)="SERVIÇO",UPPER(C508)="SERVICO"),0,L508-K508)</f>
        <v/>
      </c>
    </row>
    <row r="509" ht="15" customHeight="1">
      <c r="B509" s="105" t="n">
        <v>498</v>
      </c>
      <c r="C509" s="105" t="inlineStr">
        <is>
          <t>Produto</t>
        </is>
      </c>
      <c r="D509" s="106" t="inlineStr">
        <is>
          <t>Bloco para yoga para uso diário branco</t>
        </is>
      </c>
      <c r="E509" s="107" t="n">
        <v>23.01</v>
      </c>
      <c r="F509" s="108" t="n">
        <v>50</v>
      </c>
      <c r="G509" s="107">
        <f>ROUND(E509*(1+IF(ABS(F509)&lt;=1,F509,F509/100)),2)</f>
        <v/>
      </c>
      <c r="H509" s="105" t="n">
        <v>15</v>
      </c>
      <c r="I509" s="105" t="n">
        <v>5</v>
      </c>
      <c r="J509" s="105">
        <f>IF(OR(UPPER(C509)="SERVIÇO",UPPER(C509)="SERVICO"),"SERVIÇO",IF(H509&lt;=0,"ZERADO",IF(H509&lt;=I509,"ESTOQUE BAIXO","NORMAL")))</f>
        <v/>
      </c>
      <c r="K509" s="107">
        <f>IF(OR(UPPER(C509)="SERVIÇO",UPPER(C509)="SERVICO"),0,N(H509)*N(E509))</f>
        <v/>
      </c>
      <c r="L509" s="107">
        <f>IF(OR(UPPER(C509)="SERVIÇO",UPPER(C509)="SERVICO"),0,N(H509)*N(G509))</f>
        <v/>
      </c>
      <c r="M509" s="107">
        <f>IF(OR(UPPER(C509)="SERVIÇO",UPPER(C509)="SERVICO"),0,L509-K509)</f>
        <v/>
      </c>
    </row>
    <row r="510" ht="15" customHeight="1">
      <c r="B510" s="105" t="n">
        <v>499</v>
      </c>
      <c r="C510" s="105" t="inlineStr">
        <is>
          <t>Produto</t>
        </is>
      </c>
      <c r="D510" s="106" t="inlineStr">
        <is>
          <t>Raquete de badminton iniciante rosa</t>
        </is>
      </c>
      <c r="E510" s="107" t="n">
        <v>105.52</v>
      </c>
      <c r="F510" s="108" t="n">
        <v>50</v>
      </c>
      <c r="G510" s="107">
        <f>ROUND(E510*(1+IF(ABS(F510)&lt;=1,F510,F510/100)),2)</f>
        <v/>
      </c>
      <c r="H510" s="105" t="n">
        <v>15</v>
      </c>
      <c r="I510" s="105" t="n">
        <v>5</v>
      </c>
      <c r="J510" s="105">
        <f>IF(OR(UPPER(C510)="SERVIÇO",UPPER(C510)="SERVICO"),"SERVIÇO",IF(H510&lt;=0,"ZERADO",IF(H510&lt;=I510,"ESTOQUE BAIXO","NORMAL")))</f>
        <v/>
      </c>
      <c r="K510" s="107">
        <f>IF(OR(UPPER(C510)="SERVIÇO",UPPER(C510)="SERVICO"),0,N(H510)*N(E510))</f>
        <v/>
      </c>
      <c r="L510" s="107">
        <f>IF(OR(UPPER(C510)="SERVIÇO",UPPER(C510)="SERVICO"),0,N(H510)*N(G510))</f>
        <v/>
      </c>
      <c r="M510" s="107">
        <f>IF(OR(UPPER(C510)="SERVIÇO",UPPER(C510)="SERVICO"),0,L510-K510)</f>
        <v/>
      </c>
    </row>
    <row r="511" ht="15" customHeight="1">
      <c r="B511" s="105" t="n">
        <v>500</v>
      </c>
      <c r="C511" s="105" t="inlineStr">
        <is>
          <t>Produto</t>
        </is>
      </c>
      <c r="D511" s="106" t="inlineStr">
        <is>
          <t>Bolsa de academia recreativo azul</t>
        </is>
      </c>
      <c r="E511" s="107" t="n">
        <v>58.05</v>
      </c>
      <c r="F511" s="108" t="n">
        <v>50</v>
      </c>
      <c r="G511" s="107">
        <f>ROUND(E511*(1+IF(ABS(F511)&lt;=1,F511,F511/100)),2)</f>
        <v/>
      </c>
      <c r="H511" s="105" t="n">
        <v>15</v>
      </c>
      <c r="I511" s="105" t="n">
        <v>5</v>
      </c>
      <c r="J511" s="105">
        <f>IF(OR(UPPER(C511)="SERVIÇO",UPPER(C511)="SERVICO"),"SERVIÇO",IF(H511&lt;=0,"ZERADO",IF(H511&lt;=I511,"ESTOQUE BAIXO","NORMAL")))</f>
        <v/>
      </c>
      <c r="K511" s="107">
        <f>IF(OR(UPPER(C511)="SERVIÇO",UPPER(C511)="SERVICO"),0,N(H511)*N(E511))</f>
        <v/>
      </c>
      <c r="L511" s="107">
        <f>IF(OR(UPPER(C511)="SERVIÇO",UPPER(C511)="SERVICO"),0,N(H511)*N(G511))</f>
        <v/>
      </c>
      <c r="M511" s="107">
        <f>IF(OR(UPPER(C511)="SERVIÇO",UPPER(C511)="SERVICO"),0,L511-K511)</f>
        <v/>
      </c>
    </row>
    <row r="512" ht="15" customHeight="1">
      <c r="B512" s="105" t="n">
        <v>501</v>
      </c>
      <c r="C512" s="105" t="inlineStr">
        <is>
          <t>Produto</t>
        </is>
      </c>
      <c r="D512" s="106" t="inlineStr">
        <is>
          <t>Bicicleta urbana ventilado laranja</t>
        </is>
      </c>
      <c r="E512" s="107" t="n">
        <v>864.1900000000001</v>
      </c>
      <c r="F512" s="108" t="n">
        <v>50</v>
      </c>
      <c r="G512" s="107">
        <f>ROUND(E512*(1+IF(ABS(F512)&lt;=1,F512,F512/100)),2)</f>
        <v/>
      </c>
      <c r="H512" s="105" t="n">
        <v>15</v>
      </c>
      <c r="I512" s="105" t="n">
        <v>5</v>
      </c>
      <c r="J512" s="105">
        <f>IF(OR(UPPER(C512)="SERVIÇO",UPPER(C512)="SERVICO"),"SERVIÇO",IF(H512&lt;=0,"ZERADO",IF(H512&lt;=I512,"ESTOQUE BAIXO","NORMAL")))</f>
        <v/>
      </c>
      <c r="K512" s="107">
        <f>IF(OR(UPPER(C512)="SERVIÇO",UPPER(C512)="SERVICO"),0,N(H512)*N(E512))</f>
        <v/>
      </c>
      <c r="L512" s="107">
        <f>IF(OR(UPPER(C512)="SERVIÇO",UPPER(C512)="SERVICO"),0,N(H512)*N(G512))</f>
        <v/>
      </c>
      <c r="M512" s="107">
        <f>IF(OR(UPPER(C512)="SERVIÇO",UPPER(C512)="SERVICO"),0,L512-K512)</f>
        <v/>
      </c>
    </row>
    <row r="513" ht="15" customHeight="1">
      <c r="B513" s="105" t="n">
        <v>502</v>
      </c>
      <c r="C513" s="105" t="inlineStr">
        <is>
          <t>Produto</t>
        </is>
      </c>
      <c r="D513" s="106" t="inlineStr">
        <is>
          <t>Raquete de badminton ventilado azul</t>
        </is>
      </c>
      <c r="E513" s="107" t="n">
        <v>155.29</v>
      </c>
      <c r="F513" s="108" t="n">
        <v>50</v>
      </c>
      <c r="G513" s="107">
        <f>ROUND(E513*(1+IF(ABS(F513)&lt;=1,F513,F513/100)),2)</f>
        <v/>
      </c>
      <c r="H513" s="105" t="n">
        <v>15</v>
      </c>
      <c r="I513" s="105" t="n">
        <v>5</v>
      </c>
      <c r="J513" s="105">
        <f>IF(OR(UPPER(C513)="SERVIÇO",UPPER(C513)="SERVICO"),"SERVIÇO",IF(H513&lt;=0,"ZERADO",IF(H513&lt;=I513,"ESTOQUE BAIXO","NORMAL")))</f>
        <v/>
      </c>
      <c r="K513" s="107">
        <f>IF(OR(UPPER(C513)="SERVIÇO",UPPER(C513)="SERVICO"),0,N(H513)*N(E513))</f>
        <v/>
      </c>
      <c r="L513" s="107">
        <f>IF(OR(UPPER(C513)="SERVIÇO",UPPER(C513)="SERVICO"),0,N(H513)*N(G513))</f>
        <v/>
      </c>
      <c r="M513" s="107">
        <f>IF(OR(UPPER(C513)="SERVIÇO",UPPER(C513)="SERVICO"),0,L513-K513)</f>
        <v/>
      </c>
    </row>
    <row r="514" ht="15" customHeight="1">
      <c r="B514" s="105" t="n">
        <v>503</v>
      </c>
      <c r="C514" s="105" t="inlineStr">
        <is>
          <t>Produto</t>
        </is>
      </c>
      <c r="D514" s="106" t="inlineStr">
        <is>
          <t>Halter adulto cinza</t>
        </is>
      </c>
      <c r="E514" s="107" t="n">
        <v>69.05</v>
      </c>
      <c r="F514" s="108" t="n">
        <v>50</v>
      </c>
      <c r="G514" s="107">
        <f>ROUND(E514*(1+IF(ABS(F514)&lt;=1,F514,F514/100)),2)</f>
        <v/>
      </c>
      <c r="H514" s="105" t="n">
        <v>15</v>
      </c>
      <c r="I514" s="105" t="n">
        <v>5</v>
      </c>
      <c r="J514" s="105">
        <f>IF(OR(UPPER(C514)="SERVIÇO",UPPER(C514)="SERVICO"),"SERVIÇO",IF(H514&lt;=0,"ZERADO",IF(H514&lt;=I514,"ESTOQUE BAIXO","NORMAL")))</f>
        <v/>
      </c>
      <c r="K514" s="107">
        <f>IF(OR(UPPER(C514)="SERVIÇO",UPPER(C514)="SERVICO"),0,N(H514)*N(E514))</f>
        <v/>
      </c>
      <c r="L514" s="107">
        <f>IF(OR(UPPER(C514)="SERVIÇO",UPPER(C514)="SERVICO"),0,N(H514)*N(G514))</f>
        <v/>
      </c>
      <c r="M514" s="107">
        <f>IF(OR(UPPER(C514)="SERVIÇO",UPPER(C514)="SERVICO"),0,L514-K514)</f>
        <v/>
      </c>
    </row>
    <row r="515" ht="15" customHeight="1">
      <c r="B515" s="105" t="n">
        <v>504</v>
      </c>
      <c r="C515" s="105" t="inlineStr">
        <is>
          <t>Produto</t>
        </is>
      </c>
      <c r="D515" s="106" t="inlineStr">
        <is>
          <t>Banco de musculação ventilado verde</t>
        </is>
      </c>
      <c r="E515" s="107" t="n">
        <v>934.9299999999999</v>
      </c>
      <c r="F515" s="108" t="n">
        <v>50</v>
      </c>
      <c r="G515" s="107">
        <f>ROUND(E515*(1+IF(ABS(F515)&lt;=1,F515,F515/100)),2)</f>
        <v/>
      </c>
      <c r="H515" s="105" t="n">
        <v>15</v>
      </c>
      <c r="I515" s="105" t="n">
        <v>5</v>
      </c>
      <c r="J515" s="105">
        <f>IF(OR(UPPER(C515)="SERVIÇO",UPPER(C515)="SERVICO"),"SERVIÇO",IF(H515&lt;=0,"ZERADO",IF(H515&lt;=I515,"ESTOQUE BAIXO","NORMAL")))</f>
        <v/>
      </c>
      <c r="K515" s="107">
        <f>IF(OR(UPPER(C515)="SERVIÇO",UPPER(C515)="SERVICO"),0,N(H515)*N(E515))</f>
        <v/>
      </c>
      <c r="L515" s="107">
        <f>IF(OR(UPPER(C515)="SERVIÇO",UPPER(C515)="SERVICO"),0,N(H515)*N(G515))</f>
        <v/>
      </c>
      <c r="M515" s="107">
        <f>IF(OR(UPPER(C515)="SERVIÇO",UPPER(C515)="SERVICO"),0,L515-K515)</f>
        <v/>
      </c>
    </row>
    <row r="516" ht="15" customHeight="1">
      <c r="B516" s="105" t="n">
        <v>505</v>
      </c>
      <c r="C516" s="105" t="inlineStr">
        <is>
          <t>Produto</t>
        </is>
      </c>
      <c r="D516" s="106" t="inlineStr">
        <is>
          <t>Camiseta esportiva leve vermelho tam. 34</t>
        </is>
      </c>
      <c r="E516" s="107" t="n">
        <v>48.65</v>
      </c>
      <c r="F516" s="108" t="n">
        <v>50</v>
      </c>
      <c r="G516" s="107">
        <f>ROUND(E516*(1+IF(ABS(F516)&lt;=1,F516,F516/100)),2)</f>
        <v/>
      </c>
      <c r="H516" s="105" t="n">
        <v>15</v>
      </c>
      <c r="I516" s="105" t="n">
        <v>5</v>
      </c>
      <c r="J516" s="105">
        <f>IF(OR(UPPER(C516)="SERVIÇO",UPPER(C516)="SERVICO"),"SERVIÇO",IF(H516&lt;=0,"ZERADO",IF(H516&lt;=I516,"ESTOQUE BAIXO","NORMAL")))</f>
        <v/>
      </c>
      <c r="K516" s="107">
        <f>IF(OR(UPPER(C516)="SERVIÇO",UPPER(C516)="SERVICO"),0,N(H516)*N(E516))</f>
        <v/>
      </c>
      <c r="L516" s="107">
        <f>IF(OR(UPPER(C516)="SERVIÇO",UPPER(C516)="SERVICO"),0,N(H516)*N(G516))</f>
        <v/>
      </c>
      <c r="M516" s="107">
        <f>IF(OR(UPPER(C516)="SERVIÇO",UPPER(C516)="SERVICO"),0,L516-K516)</f>
        <v/>
      </c>
    </row>
    <row r="517" ht="15" customHeight="1">
      <c r="B517" s="105" t="n">
        <v>506</v>
      </c>
      <c r="C517" s="105" t="inlineStr">
        <is>
          <t>Produto</t>
        </is>
      </c>
      <c r="D517" s="106" t="inlineStr">
        <is>
          <t>Óculos esportivos profissional vermelho</t>
        </is>
      </c>
      <c r="E517" s="107" t="n">
        <v>196.07</v>
      </c>
      <c r="F517" s="108" t="n">
        <v>50</v>
      </c>
      <c r="G517" s="107">
        <f>ROUND(E517*(1+IF(ABS(F517)&lt;=1,F517,F517/100)),2)</f>
        <v/>
      </c>
      <c r="H517" s="105" t="n">
        <v>15</v>
      </c>
      <c r="I517" s="105" t="n">
        <v>5</v>
      </c>
      <c r="J517" s="105">
        <f>IF(OR(UPPER(C517)="SERVIÇO",UPPER(C517)="SERVICO"),"SERVIÇO",IF(H517&lt;=0,"ZERADO",IF(H517&lt;=I517,"ESTOQUE BAIXO","NORMAL")))</f>
        <v/>
      </c>
      <c r="K517" s="107">
        <f>IF(OR(UPPER(C517)="SERVIÇO",UPPER(C517)="SERVICO"),0,N(H517)*N(E517))</f>
        <v/>
      </c>
      <c r="L517" s="107">
        <f>IF(OR(UPPER(C517)="SERVIÇO",UPPER(C517)="SERVICO"),0,N(H517)*N(G517))</f>
        <v/>
      </c>
      <c r="M517" s="107">
        <f>IF(OR(UPPER(C517)="SERVIÇO",UPPER(C517)="SERVICO"),0,L517-K517)</f>
        <v/>
      </c>
    </row>
    <row r="518" ht="15" customHeight="1">
      <c r="B518" s="105" t="n">
        <v>507</v>
      </c>
      <c r="C518" s="105" t="inlineStr">
        <is>
          <t>Produto</t>
        </is>
      </c>
      <c r="D518" s="106" t="inlineStr">
        <is>
          <t>Corda de pular ergonômico azul</t>
        </is>
      </c>
      <c r="E518" s="107" t="n">
        <v>38.19</v>
      </c>
      <c r="F518" s="108" t="n">
        <v>50</v>
      </c>
      <c r="G518" s="107">
        <f>ROUND(E518*(1+IF(ABS(F518)&lt;=1,F518,F518/100)),2)</f>
        <v/>
      </c>
      <c r="H518" s="105" t="n">
        <v>15</v>
      </c>
      <c r="I518" s="105" t="n">
        <v>5</v>
      </c>
      <c r="J518" s="105">
        <f>IF(OR(UPPER(C518)="SERVIÇO",UPPER(C518)="SERVICO"),"SERVIÇO",IF(H518&lt;=0,"ZERADO",IF(H518&lt;=I518,"ESTOQUE BAIXO","NORMAL")))</f>
        <v/>
      </c>
      <c r="K518" s="107">
        <f>IF(OR(UPPER(C518)="SERVIÇO",UPPER(C518)="SERVICO"),0,N(H518)*N(E518))</f>
        <v/>
      </c>
      <c r="L518" s="107">
        <f>IF(OR(UPPER(C518)="SERVIÇO",UPPER(C518)="SERVICO"),0,N(H518)*N(G518))</f>
        <v/>
      </c>
      <c r="M518" s="107">
        <f>IF(OR(UPPER(C518)="SERVIÇO",UPPER(C518)="SERVICO"),0,L518-K518)</f>
        <v/>
      </c>
    </row>
    <row r="519" ht="15" customHeight="1">
      <c r="B519" s="105" t="n">
        <v>508</v>
      </c>
      <c r="C519" s="105" t="inlineStr">
        <is>
          <t>Produto</t>
        </is>
      </c>
      <c r="D519" s="106" t="inlineStr">
        <is>
          <t>Meias esportivas versão 2026 verde tam. 40</t>
        </is>
      </c>
      <c r="E519" s="107" t="n">
        <v>9.789999999999999</v>
      </c>
      <c r="F519" s="108" t="n">
        <v>50</v>
      </c>
      <c r="G519" s="107">
        <f>ROUND(E519*(1+IF(ABS(F519)&lt;=1,F519,F519/100)),2)</f>
        <v/>
      </c>
      <c r="H519" s="105" t="n">
        <v>15</v>
      </c>
      <c r="I519" s="105" t="n">
        <v>5</v>
      </c>
      <c r="J519" s="105">
        <f>IF(OR(UPPER(C519)="SERVIÇO",UPPER(C519)="SERVICO"),"SERVIÇO",IF(H519&lt;=0,"ZERADO",IF(H519&lt;=I519,"ESTOQUE BAIXO","NORMAL")))</f>
        <v/>
      </c>
      <c r="K519" s="107">
        <f>IF(OR(UPPER(C519)="SERVIÇO",UPPER(C519)="SERVICO"),0,N(H519)*N(E519))</f>
        <v/>
      </c>
      <c r="L519" s="107">
        <f>IF(OR(UPPER(C519)="SERVIÇO",UPPER(C519)="SERVICO"),0,N(H519)*N(G519))</f>
        <v/>
      </c>
      <c r="M519" s="107">
        <f>IF(OR(UPPER(C519)="SERVIÇO",UPPER(C519)="SERVICO"),0,L519-K519)</f>
        <v/>
      </c>
    </row>
    <row r="520" ht="15" customHeight="1">
      <c r="B520" s="105" t="n">
        <v>509</v>
      </c>
      <c r="C520" s="105" t="inlineStr">
        <is>
          <t>Produto</t>
        </is>
      </c>
      <c r="D520" s="106" t="inlineStr">
        <is>
          <t>Coqueteleira para uso diário branco</t>
        </is>
      </c>
      <c r="E520" s="107" t="n">
        <v>47.29</v>
      </c>
      <c r="F520" s="108" t="n">
        <v>50</v>
      </c>
      <c r="G520" s="107">
        <f>ROUND(E520*(1+IF(ABS(F520)&lt;=1,F520,F520/100)),2)</f>
        <v/>
      </c>
      <c r="H520" s="105" t="n">
        <v>15</v>
      </c>
      <c r="I520" s="105" t="n">
        <v>5</v>
      </c>
      <c r="J520" s="105">
        <f>IF(OR(UPPER(C520)="SERVIÇO",UPPER(C520)="SERVICO"),"SERVIÇO",IF(H520&lt;=0,"ZERADO",IF(H520&lt;=I520,"ESTOQUE BAIXO","NORMAL")))</f>
        <v/>
      </c>
      <c r="K520" s="107">
        <f>IF(OR(UPPER(C520)="SERVIÇO",UPPER(C520)="SERVICO"),0,N(H520)*N(E520))</f>
        <v/>
      </c>
      <c r="L520" s="107">
        <f>IF(OR(UPPER(C520)="SERVIÇO",UPPER(C520)="SERVICO"),0,N(H520)*N(G520))</f>
        <v/>
      </c>
      <c r="M520" s="107">
        <f>IF(OR(UPPER(C520)="SERVIÇO",UPPER(C520)="SERVICO"),0,L520-K520)</f>
        <v/>
      </c>
    </row>
    <row r="521" ht="15" customHeight="1">
      <c r="B521" s="105" t="n">
        <v>510</v>
      </c>
      <c r="C521" s="105" t="inlineStr">
        <is>
          <t>Produto</t>
        </is>
      </c>
      <c r="D521" s="106" t="inlineStr">
        <is>
          <t>Bloco para yoga com ajuste branco</t>
        </is>
      </c>
      <c r="E521" s="107" t="n">
        <v>25.73</v>
      </c>
      <c r="F521" s="108" t="n">
        <v>50</v>
      </c>
      <c r="G521" s="107">
        <f>ROUND(E521*(1+IF(ABS(F521)&lt;=1,F521,F521/100)),2)</f>
        <v/>
      </c>
      <c r="H521" s="105" t="n">
        <v>15</v>
      </c>
      <c r="I521" s="105" t="n">
        <v>5</v>
      </c>
      <c r="J521" s="105">
        <f>IF(OR(UPPER(C521)="SERVIÇO",UPPER(C521)="SERVICO"),"SERVIÇO",IF(H521&lt;=0,"ZERADO",IF(H521&lt;=I521,"ESTOQUE BAIXO","NORMAL")))</f>
        <v/>
      </c>
      <c r="K521" s="107">
        <f>IF(OR(UPPER(C521)="SERVIÇO",UPPER(C521)="SERVICO"),0,N(H521)*N(E521))</f>
        <v/>
      </c>
      <c r="L521" s="107">
        <f>IF(OR(UPPER(C521)="SERVIÇO",UPPER(C521)="SERVICO"),0,N(H521)*N(G521))</f>
        <v/>
      </c>
      <c r="M521" s="107">
        <f>IF(OR(UPPER(C521)="SERVIÇO",UPPER(C521)="SERVICO"),0,L521-K521)</f>
        <v/>
      </c>
    </row>
    <row r="522" ht="15" customHeight="1">
      <c r="B522" s="105" t="n">
        <v>511</v>
      </c>
      <c r="C522" s="105" t="inlineStr">
        <is>
          <t>Produto</t>
        </is>
      </c>
      <c r="D522" s="106" t="inlineStr">
        <is>
          <t>Óculos de natação recreativo cinza</t>
        </is>
      </c>
      <c r="E522" s="107" t="n">
        <v>56.19</v>
      </c>
      <c r="F522" s="108" t="n">
        <v>50</v>
      </c>
      <c r="G522" s="107">
        <f>ROUND(E522*(1+IF(ABS(F522)&lt;=1,F522,F522/100)),2)</f>
        <v/>
      </c>
      <c r="H522" s="105" t="n">
        <v>15</v>
      </c>
      <c r="I522" s="105" t="n">
        <v>5</v>
      </c>
      <c r="J522" s="105">
        <f>IF(OR(UPPER(C522)="SERVIÇO",UPPER(C522)="SERVICO"),"SERVIÇO",IF(H522&lt;=0,"ZERADO",IF(H522&lt;=I522,"ESTOQUE BAIXO","NORMAL")))</f>
        <v/>
      </c>
      <c r="K522" s="107">
        <f>IF(OR(UPPER(C522)="SERVIÇO",UPPER(C522)="SERVICO"),0,N(H522)*N(E522))</f>
        <v/>
      </c>
      <c r="L522" s="107">
        <f>IF(OR(UPPER(C522)="SERVIÇO",UPPER(C522)="SERVICO"),0,N(H522)*N(G522))</f>
        <v/>
      </c>
      <c r="M522" s="107">
        <f>IF(OR(UPPER(C522)="SERVIÇO",UPPER(C522)="SERVICO"),0,L522-K522)</f>
        <v/>
      </c>
    </row>
    <row r="523" ht="15" customHeight="1">
      <c r="B523" s="105" t="n">
        <v>512</v>
      </c>
      <c r="C523" s="105" t="inlineStr">
        <is>
          <t>Produto</t>
        </is>
      </c>
      <c r="D523" s="106" t="inlineStr">
        <is>
          <t>Skate ergonômico branco</t>
        </is>
      </c>
      <c r="E523" s="107" t="n">
        <v>180.53</v>
      </c>
      <c r="F523" s="108" t="n">
        <v>50</v>
      </c>
      <c r="G523" s="107">
        <f>ROUND(E523*(1+IF(ABS(F523)&lt;=1,F523,F523/100)),2)</f>
        <v/>
      </c>
      <c r="H523" s="105" t="n">
        <v>15</v>
      </c>
      <c r="I523" s="105" t="n">
        <v>5</v>
      </c>
      <c r="J523" s="105">
        <f>IF(OR(UPPER(C523)="SERVIÇO",UPPER(C523)="SERVICO"),"SERVIÇO",IF(H523&lt;=0,"ZERADO",IF(H523&lt;=I523,"ESTOQUE BAIXO","NORMAL")))</f>
        <v/>
      </c>
      <c r="K523" s="107">
        <f>IF(OR(UPPER(C523)="SERVIÇO",UPPER(C523)="SERVICO"),0,N(H523)*N(E523))</f>
        <v/>
      </c>
      <c r="L523" s="107">
        <f>IF(OR(UPPER(C523)="SERVIÇO",UPPER(C523)="SERVICO"),0,N(H523)*N(G523))</f>
        <v/>
      </c>
      <c r="M523" s="107">
        <f>IF(OR(UPPER(C523)="SERVIÇO",UPPER(C523)="SERVICO"),0,L523-K523)</f>
        <v/>
      </c>
    </row>
    <row r="524" ht="15" customHeight="1">
      <c r="B524" s="105" t="n">
        <v>513</v>
      </c>
      <c r="C524" s="105" t="inlineStr">
        <is>
          <t>Produto</t>
        </is>
      </c>
      <c r="D524" s="106" t="inlineStr">
        <is>
          <t>Elástico de resistência iniciante rosa</t>
        </is>
      </c>
      <c r="E524" s="107" t="n">
        <v>58.26</v>
      </c>
      <c r="F524" s="108" t="n">
        <v>50</v>
      </c>
      <c r="G524" s="107">
        <f>ROUND(E524*(1+IF(ABS(F524)&lt;=1,F524,F524/100)),2)</f>
        <v/>
      </c>
      <c r="H524" s="105" t="n">
        <v>15</v>
      </c>
      <c r="I524" s="105" t="n">
        <v>5</v>
      </c>
      <c r="J524" s="105">
        <f>IF(OR(UPPER(C524)="SERVIÇO",UPPER(C524)="SERVICO"),"SERVIÇO",IF(H524&lt;=0,"ZERADO",IF(H524&lt;=I524,"ESTOQUE BAIXO","NORMAL")))</f>
        <v/>
      </c>
      <c r="K524" s="107">
        <f>IF(OR(UPPER(C524)="SERVIÇO",UPPER(C524)="SERVICO"),0,N(H524)*N(E524))</f>
        <v/>
      </c>
      <c r="L524" s="107">
        <f>IF(OR(UPPER(C524)="SERVIÇO",UPPER(C524)="SERVICO"),0,N(H524)*N(G524))</f>
        <v/>
      </c>
      <c r="M524" s="107">
        <f>IF(OR(UPPER(C524)="SERVIÇO",UPPER(C524)="SERVICO"),0,L524-K524)</f>
        <v/>
      </c>
    </row>
    <row r="525" ht="15" customHeight="1">
      <c r="B525" s="105" t="n">
        <v>514</v>
      </c>
      <c r="C525" s="105" t="inlineStr">
        <is>
          <t>Produto</t>
        </is>
      </c>
      <c r="D525" s="106" t="inlineStr">
        <is>
          <t>Meias esportivas para uso diário cinza tam. 38</t>
        </is>
      </c>
      <c r="E525" s="107" t="n">
        <v>19.08</v>
      </c>
      <c r="F525" s="108" t="n">
        <v>50</v>
      </c>
      <c r="G525" s="107">
        <f>ROUND(E525*(1+IF(ABS(F525)&lt;=1,F525,F525/100)),2)</f>
        <v/>
      </c>
      <c r="H525" s="105" t="n">
        <v>15</v>
      </c>
      <c r="I525" s="105" t="n">
        <v>5</v>
      </c>
      <c r="J525" s="105">
        <f>IF(OR(UPPER(C525)="SERVIÇO",UPPER(C525)="SERVICO"),"SERVIÇO",IF(H525&lt;=0,"ZERADO",IF(H525&lt;=I525,"ESTOQUE BAIXO","NORMAL")))</f>
        <v/>
      </c>
      <c r="K525" s="107">
        <f>IF(OR(UPPER(C525)="SERVIÇO",UPPER(C525)="SERVICO"),0,N(H525)*N(E525))</f>
        <v/>
      </c>
      <c r="L525" s="107">
        <f>IF(OR(UPPER(C525)="SERVIÇO",UPPER(C525)="SERVICO"),0,N(H525)*N(G525))</f>
        <v/>
      </c>
      <c r="M525" s="107">
        <f>IF(OR(UPPER(C525)="SERVIÇO",UPPER(C525)="SERVICO"),0,L525-K525)</f>
        <v/>
      </c>
    </row>
    <row r="526" ht="15" customHeight="1">
      <c r="B526" s="105" t="n">
        <v>515</v>
      </c>
      <c r="C526" s="105" t="inlineStr">
        <is>
          <t>Produto</t>
        </is>
      </c>
      <c r="D526" s="106" t="inlineStr">
        <is>
          <t>Protetor bucal unissex vermelho</t>
        </is>
      </c>
      <c r="E526" s="107" t="n">
        <v>43.71</v>
      </c>
      <c r="F526" s="108" t="n">
        <v>50</v>
      </c>
      <c r="G526" s="107">
        <f>ROUND(E526*(1+IF(ABS(F526)&lt;=1,F526,F526/100)),2)</f>
        <v/>
      </c>
      <c r="H526" s="105" t="n">
        <v>15</v>
      </c>
      <c r="I526" s="105" t="n">
        <v>5</v>
      </c>
      <c r="J526" s="105">
        <f>IF(OR(UPPER(C526)="SERVIÇO",UPPER(C526)="SERVICO"),"SERVIÇO",IF(H526&lt;=0,"ZERADO",IF(H526&lt;=I526,"ESTOQUE BAIXO","NORMAL")))</f>
        <v/>
      </c>
      <c r="K526" s="107">
        <f>IF(OR(UPPER(C526)="SERVIÇO",UPPER(C526)="SERVICO"),0,N(H526)*N(E526))</f>
        <v/>
      </c>
      <c r="L526" s="107">
        <f>IF(OR(UPPER(C526)="SERVIÇO",UPPER(C526)="SERVICO"),0,N(H526)*N(G526))</f>
        <v/>
      </c>
      <c r="M526" s="107">
        <f>IF(OR(UPPER(C526)="SERVIÇO",UPPER(C526)="SERVICO"),0,L526-K526)</f>
        <v/>
      </c>
    </row>
    <row r="527" ht="15" customHeight="1">
      <c r="B527" s="105" t="n">
        <v>516</v>
      </c>
      <c r="C527" s="105" t="inlineStr">
        <is>
          <t>Produto</t>
        </is>
      </c>
      <c r="D527" s="106" t="inlineStr">
        <is>
          <t>Luva de goleiro com ajuste verde tam. 40</t>
        </is>
      </c>
      <c r="E527" s="107" t="n">
        <v>196.24</v>
      </c>
      <c r="F527" s="108" t="n">
        <v>50</v>
      </c>
      <c r="G527" s="107">
        <f>ROUND(E527*(1+IF(ABS(F527)&lt;=1,F527,F527/100)),2)</f>
        <v/>
      </c>
      <c r="H527" s="105" t="n">
        <v>15</v>
      </c>
      <c r="I527" s="105" t="n">
        <v>5</v>
      </c>
      <c r="J527" s="105">
        <f>IF(OR(UPPER(C527)="SERVIÇO",UPPER(C527)="SERVICO"),"SERVIÇO",IF(H527&lt;=0,"ZERADO",IF(H527&lt;=I527,"ESTOQUE BAIXO","NORMAL")))</f>
        <v/>
      </c>
      <c r="K527" s="107">
        <f>IF(OR(UPPER(C527)="SERVIÇO",UPPER(C527)="SERVICO"),0,N(H527)*N(E527))</f>
        <v/>
      </c>
      <c r="L527" s="107">
        <f>IF(OR(UPPER(C527)="SERVIÇO",UPPER(C527)="SERVICO"),0,N(H527)*N(G527))</f>
        <v/>
      </c>
      <c r="M527" s="107">
        <f>IF(OR(UPPER(C527)="SERVIÇO",UPPER(C527)="SERVICO"),0,L527-K527)</f>
        <v/>
      </c>
    </row>
    <row r="528" ht="15" customHeight="1">
      <c r="B528" s="105" t="n">
        <v>517</v>
      </c>
      <c r="C528" s="105" t="inlineStr">
        <is>
          <t>Produto</t>
        </is>
      </c>
      <c r="D528" s="106" t="inlineStr">
        <is>
          <t>Skate alta performance rosa</t>
        </is>
      </c>
      <c r="E528" s="107" t="n">
        <v>160.92</v>
      </c>
      <c r="F528" s="108" t="n">
        <v>50</v>
      </c>
      <c r="G528" s="107">
        <f>ROUND(E528*(1+IF(ABS(F528)&lt;=1,F528,F528/100)),2)</f>
        <v/>
      </c>
      <c r="H528" s="105" t="n">
        <v>15</v>
      </c>
      <c r="I528" s="105" t="n">
        <v>5</v>
      </c>
      <c r="J528" s="105">
        <f>IF(OR(UPPER(C528)="SERVIÇO",UPPER(C528)="SERVICO"),"SERVIÇO",IF(H528&lt;=0,"ZERADO",IF(H528&lt;=I528,"ESTOQUE BAIXO","NORMAL")))</f>
        <v/>
      </c>
      <c r="K528" s="107">
        <f>IF(OR(UPPER(C528)="SERVIÇO",UPPER(C528)="SERVICO"),0,N(H528)*N(E528))</f>
        <v/>
      </c>
      <c r="L528" s="107">
        <f>IF(OR(UPPER(C528)="SERVIÇO",UPPER(C528)="SERVICO"),0,N(H528)*N(G528))</f>
        <v/>
      </c>
      <c r="M528" s="107">
        <f>IF(OR(UPPER(C528)="SERVIÇO",UPPER(C528)="SERVICO"),0,L528-K528)</f>
        <v/>
      </c>
    </row>
    <row r="529" ht="15" customHeight="1">
      <c r="B529" s="105" t="n">
        <v>518</v>
      </c>
      <c r="C529" s="105" t="inlineStr">
        <is>
          <t>Produto</t>
        </is>
      </c>
      <c r="D529" s="106" t="inlineStr">
        <is>
          <t>Coqueteleira premium vermelho</t>
        </is>
      </c>
      <c r="E529" s="107" t="n">
        <v>41.98</v>
      </c>
      <c r="F529" s="108" t="n">
        <v>50</v>
      </c>
      <c r="G529" s="107">
        <f>ROUND(E529*(1+IF(ABS(F529)&lt;=1,F529,F529/100)),2)</f>
        <v/>
      </c>
      <c r="H529" s="105" t="n">
        <v>15</v>
      </c>
      <c r="I529" s="105" t="n">
        <v>5</v>
      </c>
      <c r="J529" s="105">
        <f>IF(OR(UPPER(C529)="SERVIÇO",UPPER(C529)="SERVICO"),"SERVIÇO",IF(H529&lt;=0,"ZERADO",IF(H529&lt;=I529,"ESTOQUE BAIXO","NORMAL")))</f>
        <v/>
      </c>
      <c r="K529" s="107">
        <f>IF(OR(UPPER(C529)="SERVIÇO",UPPER(C529)="SERVICO"),0,N(H529)*N(E529))</f>
        <v/>
      </c>
      <c r="L529" s="107">
        <f>IF(OR(UPPER(C529)="SERVIÇO",UPPER(C529)="SERVICO"),0,N(H529)*N(G529))</f>
        <v/>
      </c>
      <c r="M529" s="107">
        <f>IF(OR(UPPER(C529)="SERVIÇO",UPPER(C529)="SERVICO"),0,L529-K529)</f>
        <v/>
      </c>
    </row>
    <row r="530" ht="15" customHeight="1">
      <c r="B530" s="105" t="n">
        <v>519</v>
      </c>
      <c r="C530" s="105" t="inlineStr">
        <is>
          <t>Produto</t>
        </is>
      </c>
      <c r="D530" s="106" t="inlineStr">
        <is>
          <t>Bloco para yoga com ajuste rosa</t>
        </is>
      </c>
      <c r="E530" s="107" t="n">
        <v>31.65</v>
      </c>
      <c r="F530" s="108" t="n">
        <v>50</v>
      </c>
      <c r="G530" s="107">
        <f>ROUND(E530*(1+IF(ABS(F530)&lt;=1,F530,F530/100)),2)</f>
        <v/>
      </c>
      <c r="H530" s="105" t="n">
        <v>15</v>
      </c>
      <c r="I530" s="105" t="n">
        <v>5</v>
      </c>
      <c r="J530" s="105">
        <f>IF(OR(UPPER(C530)="SERVIÇO",UPPER(C530)="SERVICO"),"SERVIÇO",IF(H530&lt;=0,"ZERADO",IF(H530&lt;=I530,"ESTOQUE BAIXO","NORMAL")))</f>
        <v/>
      </c>
      <c r="K530" s="107">
        <f>IF(OR(UPPER(C530)="SERVIÇO",UPPER(C530)="SERVICO"),0,N(H530)*N(E530))</f>
        <v/>
      </c>
      <c r="L530" s="107">
        <f>IF(OR(UPPER(C530)="SERVIÇO",UPPER(C530)="SERVICO"),0,N(H530)*N(G530))</f>
        <v/>
      </c>
      <c r="M530" s="107">
        <f>IF(OR(UPPER(C530)="SERVIÇO",UPPER(C530)="SERVICO"),0,L530-K530)</f>
        <v/>
      </c>
    </row>
    <row r="531" ht="15" customHeight="1">
      <c r="B531" s="105" t="n">
        <v>520</v>
      </c>
      <c r="C531" s="105" t="inlineStr">
        <is>
          <t>Produto</t>
        </is>
      </c>
      <c r="D531" s="106" t="inlineStr">
        <is>
          <t>Caneleira de futebol alta performance preto</t>
        </is>
      </c>
      <c r="E531" s="107" t="n">
        <v>73.61</v>
      </c>
      <c r="F531" s="108" t="n">
        <v>50</v>
      </c>
      <c r="G531" s="107">
        <f>ROUND(E531*(1+IF(ABS(F531)&lt;=1,F531,F531/100)),2)</f>
        <v/>
      </c>
      <c r="H531" s="105" t="n">
        <v>15</v>
      </c>
      <c r="I531" s="105" t="n">
        <v>5</v>
      </c>
      <c r="J531" s="105">
        <f>IF(OR(UPPER(C531)="SERVIÇO",UPPER(C531)="SERVICO"),"SERVIÇO",IF(H531&lt;=0,"ZERADO",IF(H531&lt;=I531,"ESTOQUE BAIXO","NORMAL")))</f>
        <v/>
      </c>
      <c r="K531" s="107">
        <f>IF(OR(UPPER(C531)="SERVIÇO",UPPER(C531)="SERVICO"),0,N(H531)*N(E531))</f>
        <v/>
      </c>
      <c r="L531" s="107">
        <f>IF(OR(UPPER(C531)="SERVIÇO",UPPER(C531)="SERVICO"),0,N(H531)*N(G531))</f>
        <v/>
      </c>
      <c r="M531" s="107">
        <f>IF(OR(UPPER(C531)="SERVIÇO",UPPER(C531)="SERVICO"),0,L531-K531)</f>
        <v/>
      </c>
    </row>
    <row r="532" ht="15" customHeight="1">
      <c r="B532" s="105" t="n">
        <v>521</v>
      </c>
      <c r="C532" s="105" t="inlineStr">
        <is>
          <t>Produto</t>
        </is>
      </c>
      <c r="D532" s="106" t="inlineStr">
        <is>
          <t>Tapete de yoga versão 2026 azul</t>
        </is>
      </c>
      <c r="E532" s="107" t="n">
        <v>41</v>
      </c>
      <c r="F532" s="108" t="n">
        <v>50</v>
      </c>
      <c r="G532" s="107">
        <f>ROUND(E532*(1+IF(ABS(F532)&lt;=1,F532,F532/100)),2)</f>
        <v/>
      </c>
      <c r="H532" s="105" t="n">
        <v>15</v>
      </c>
      <c r="I532" s="105" t="n">
        <v>5</v>
      </c>
      <c r="J532" s="105">
        <f>IF(OR(UPPER(C532)="SERVIÇO",UPPER(C532)="SERVICO"),"SERVIÇO",IF(H532&lt;=0,"ZERADO",IF(H532&lt;=I532,"ESTOQUE BAIXO","NORMAL")))</f>
        <v/>
      </c>
      <c r="K532" s="107">
        <f>IF(OR(UPPER(C532)="SERVIÇO",UPPER(C532)="SERVICO"),0,N(H532)*N(E532))</f>
        <v/>
      </c>
      <c r="L532" s="107">
        <f>IF(OR(UPPER(C532)="SERVIÇO",UPPER(C532)="SERVICO"),0,N(H532)*N(G532))</f>
        <v/>
      </c>
      <c r="M532" s="107">
        <f>IF(OR(UPPER(C532)="SERVIÇO",UPPER(C532)="SERVICO"),0,L532-K532)</f>
        <v/>
      </c>
    </row>
    <row r="533" ht="15" customHeight="1">
      <c r="B533" s="105" t="n">
        <v>522</v>
      </c>
      <c r="C533" s="105" t="inlineStr">
        <is>
          <t>Produto</t>
        </is>
      </c>
      <c r="D533" s="106" t="inlineStr">
        <is>
          <t>Meias esportivas leve preto tam. 44</t>
        </is>
      </c>
      <c r="E533" s="107" t="n">
        <v>41.35</v>
      </c>
      <c r="F533" s="108" t="n">
        <v>50</v>
      </c>
      <c r="G533" s="107">
        <f>ROUND(E533*(1+IF(ABS(F533)&lt;=1,F533,F533/100)),2)</f>
        <v/>
      </c>
      <c r="H533" s="105" t="n">
        <v>15</v>
      </c>
      <c r="I533" s="105" t="n">
        <v>5</v>
      </c>
      <c r="J533" s="105">
        <f>IF(OR(UPPER(C533)="SERVIÇO",UPPER(C533)="SERVICO"),"SERVIÇO",IF(H533&lt;=0,"ZERADO",IF(H533&lt;=I533,"ESTOQUE BAIXO","NORMAL")))</f>
        <v/>
      </c>
      <c r="K533" s="107">
        <f>IF(OR(UPPER(C533)="SERVIÇO",UPPER(C533)="SERVICO"),0,N(H533)*N(E533))</f>
        <v/>
      </c>
      <c r="L533" s="107">
        <f>IF(OR(UPPER(C533)="SERVIÇO",UPPER(C533)="SERVICO"),0,N(H533)*N(G533))</f>
        <v/>
      </c>
      <c r="M533" s="107">
        <f>IF(OR(UPPER(C533)="SERVIÇO",UPPER(C533)="SERVICO"),0,L533-K533)</f>
        <v/>
      </c>
    </row>
    <row r="534" ht="15" customHeight="1">
      <c r="B534" s="105" t="n">
        <v>523</v>
      </c>
      <c r="C534" s="105" t="inlineStr">
        <is>
          <t>Produto</t>
        </is>
      </c>
      <c r="D534" s="106" t="inlineStr">
        <is>
          <t>Nadadeira modelo básico laranja</t>
        </is>
      </c>
      <c r="E534" s="107" t="n">
        <v>40.47</v>
      </c>
      <c r="F534" s="108" t="n">
        <v>50</v>
      </c>
      <c r="G534" s="107">
        <f>ROUND(E534*(1+IF(ABS(F534)&lt;=1,F534,F534/100)),2)</f>
        <v/>
      </c>
      <c r="H534" s="105" t="n">
        <v>15</v>
      </c>
      <c r="I534" s="105" t="n">
        <v>5</v>
      </c>
      <c r="J534" s="105">
        <f>IF(OR(UPPER(C534)="SERVIÇO",UPPER(C534)="SERVICO"),"SERVIÇO",IF(H534&lt;=0,"ZERADO",IF(H534&lt;=I534,"ESTOQUE BAIXO","NORMAL")))</f>
        <v/>
      </c>
      <c r="K534" s="107">
        <f>IF(OR(UPPER(C534)="SERVIÇO",UPPER(C534)="SERVICO"),0,N(H534)*N(E534))</f>
        <v/>
      </c>
      <c r="L534" s="107">
        <f>IF(OR(UPPER(C534)="SERVIÇO",UPPER(C534)="SERVICO"),0,N(H534)*N(G534))</f>
        <v/>
      </c>
      <c r="M534" s="107">
        <f>IF(OR(UPPER(C534)="SERVIÇO",UPPER(C534)="SERVICO"),0,L534-K534)</f>
        <v/>
      </c>
    </row>
    <row r="535" ht="15" customHeight="1">
      <c r="B535" s="105" t="n">
        <v>524</v>
      </c>
      <c r="C535" s="105" t="inlineStr">
        <is>
          <t>Produto</t>
        </is>
      </c>
      <c r="D535" s="106" t="inlineStr">
        <is>
          <t>Tênis de corrida compacto verde tam. 40</t>
        </is>
      </c>
      <c r="E535" s="107" t="n">
        <v>280.74</v>
      </c>
      <c r="F535" s="108" t="n">
        <v>50</v>
      </c>
      <c r="G535" s="107">
        <f>ROUND(E535*(1+IF(ABS(F535)&lt;=1,F535,F535/100)),2)</f>
        <v/>
      </c>
      <c r="H535" s="105" t="n">
        <v>15</v>
      </c>
      <c r="I535" s="105" t="n">
        <v>5</v>
      </c>
      <c r="J535" s="105">
        <f>IF(OR(UPPER(C535)="SERVIÇO",UPPER(C535)="SERVICO"),"SERVIÇO",IF(H535&lt;=0,"ZERADO",IF(H535&lt;=I535,"ESTOQUE BAIXO","NORMAL")))</f>
        <v/>
      </c>
      <c r="K535" s="107">
        <f>IF(OR(UPPER(C535)="SERVIÇO",UPPER(C535)="SERVICO"),0,N(H535)*N(E535))</f>
        <v/>
      </c>
      <c r="L535" s="107">
        <f>IF(OR(UPPER(C535)="SERVIÇO",UPPER(C535)="SERVICO"),0,N(H535)*N(G535))</f>
        <v/>
      </c>
      <c r="M535" s="107">
        <f>IF(OR(UPPER(C535)="SERVIÇO",UPPER(C535)="SERVICO"),0,L535-K535)</f>
        <v/>
      </c>
    </row>
    <row r="536" ht="15" customHeight="1">
      <c r="B536" s="105" t="n">
        <v>525</v>
      </c>
      <c r="C536" s="105" t="inlineStr">
        <is>
          <t>Produto</t>
        </is>
      </c>
      <c r="D536" s="106" t="inlineStr">
        <is>
          <t>Capacete de ciclismo resistente vermelho</t>
        </is>
      </c>
      <c r="E536" s="107" t="n">
        <v>155.57</v>
      </c>
      <c r="F536" s="108" t="n">
        <v>50</v>
      </c>
      <c r="G536" s="107">
        <f>ROUND(E536*(1+IF(ABS(F536)&lt;=1,F536,F536/100)),2)</f>
        <v/>
      </c>
      <c r="H536" s="105" t="n">
        <v>15</v>
      </c>
      <c r="I536" s="105" t="n">
        <v>5</v>
      </c>
      <c r="J536" s="105">
        <f>IF(OR(UPPER(C536)="SERVIÇO",UPPER(C536)="SERVICO"),"SERVIÇO",IF(H536&lt;=0,"ZERADO",IF(H536&lt;=I536,"ESTOQUE BAIXO","NORMAL")))</f>
        <v/>
      </c>
      <c r="K536" s="107">
        <f>IF(OR(UPPER(C536)="SERVIÇO",UPPER(C536)="SERVICO"),0,N(H536)*N(E536))</f>
        <v/>
      </c>
      <c r="L536" s="107">
        <f>IF(OR(UPPER(C536)="SERVIÇO",UPPER(C536)="SERVICO"),0,N(H536)*N(G536))</f>
        <v/>
      </c>
      <c r="M536" s="107">
        <f>IF(OR(UPPER(C536)="SERVIÇO",UPPER(C536)="SERVICO"),0,L536-K536)</f>
        <v/>
      </c>
    </row>
    <row r="537" ht="15" customHeight="1">
      <c r="B537" s="105" t="n">
        <v>526</v>
      </c>
      <c r="C537" s="105" t="inlineStr">
        <is>
          <t>Produto</t>
        </is>
      </c>
      <c r="D537" s="106" t="inlineStr">
        <is>
          <t>Bola de basquete treino cinza</t>
        </is>
      </c>
      <c r="E537" s="107" t="n">
        <v>83.36</v>
      </c>
      <c r="F537" s="108" t="n">
        <v>50</v>
      </c>
      <c r="G537" s="107">
        <f>ROUND(E537*(1+IF(ABS(F537)&lt;=1,F537,F537/100)),2)</f>
        <v/>
      </c>
      <c r="H537" s="105" t="n">
        <v>15</v>
      </c>
      <c r="I537" s="105" t="n">
        <v>5</v>
      </c>
      <c r="J537" s="105">
        <f>IF(OR(UPPER(C537)="SERVIÇO",UPPER(C537)="SERVICO"),"SERVIÇO",IF(H537&lt;=0,"ZERADO",IF(H537&lt;=I537,"ESTOQUE BAIXO","NORMAL")))</f>
        <v/>
      </c>
      <c r="K537" s="107">
        <f>IF(OR(UPPER(C537)="SERVIÇO",UPPER(C537)="SERVICO"),0,N(H537)*N(E537))</f>
        <v/>
      </c>
      <c r="L537" s="107">
        <f>IF(OR(UPPER(C537)="SERVIÇO",UPPER(C537)="SERVICO"),0,N(H537)*N(G537))</f>
        <v/>
      </c>
      <c r="M537" s="107">
        <f>IF(OR(UPPER(C537)="SERVIÇO",UPPER(C537)="SERVICO"),0,L537-K537)</f>
        <v/>
      </c>
    </row>
    <row r="538" ht="15" customHeight="1">
      <c r="B538" s="105" t="n">
        <v>527</v>
      </c>
      <c r="C538" s="105" t="inlineStr">
        <is>
          <t>Produto</t>
        </is>
      </c>
      <c r="D538" s="106" t="inlineStr">
        <is>
          <t>Raquete de badminton recreativo branco</t>
        </is>
      </c>
      <c r="E538" s="107" t="n">
        <v>95.44</v>
      </c>
      <c r="F538" s="108" t="n">
        <v>50</v>
      </c>
      <c r="G538" s="107">
        <f>ROUND(E538*(1+IF(ABS(F538)&lt;=1,F538,F538/100)),2)</f>
        <v/>
      </c>
      <c r="H538" s="105" t="n">
        <v>15</v>
      </c>
      <c r="I538" s="105" t="n">
        <v>5</v>
      </c>
      <c r="J538" s="105">
        <f>IF(OR(UPPER(C538)="SERVIÇO",UPPER(C538)="SERVICO"),"SERVIÇO",IF(H538&lt;=0,"ZERADO",IF(H538&lt;=I538,"ESTOQUE BAIXO","NORMAL")))</f>
        <v/>
      </c>
      <c r="K538" s="107">
        <f>IF(OR(UPPER(C538)="SERVIÇO",UPPER(C538)="SERVICO"),0,N(H538)*N(E538))</f>
        <v/>
      </c>
      <c r="L538" s="107">
        <f>IF(OR(UPPER(C538)="SERVIÇO",UPPER(C538)="SERVICO"),0,N(H538)*N(G538))</f>
        <v/>
      </c>
      <c r="M538" s="107">
        <f>IF(OR(UPPER(C538)="SERVIÇO",UPPER(C538)="SERVICO"),0,L538-K538)</f>
        <v/>
      </c>
    </row>
    <row r="539" ht="15" customHeight="1">
      <c r="B539" s="105" t="n">
        <v>528</v>
      </c>
      <c r="C539" s="105" t="inlineStr">
        <is>
          <t>Produto</t>
        </is>
      </c>
      <c r="D539" s="106" t="inlineStr">
        <is>
          <t>Capacete de ciclismo resistente rosa</t>
        </is>
      </c>
      <c r="E539" s="107" t="n">
        <v>156.61</v>
      </c>
      <c r="F539" s="108" t="n">
        <v>50</v>
      </c>
      <c r="G539" s="107">
        <f>ROUND(E539*(1+IF(ABS(F539)&lt;=1,F539,F539/100)),2)</f>
        <v/>
      </c>
      <c r="H539" s="105" t="n">
        <v>15</v>
      </c>
      <c r="I539" s="105" t="n">
        <v>5</v>
      </c>
      <c r="J539" s="105">
        <f>IF(OR(UPPER(C539)="SERVIÇO",UPPER(C539)="SERVICO"),"SERVIÇO",IF(H539&lt;=0,"ZERADO",IF(H539&lt;=I539,"ESTOQUE BAIXO","NORMAL")))</f>
        <v/>
      </c>
      <c r="K539" s="107">
        <f>IF(OR(UPPER(C539)="SERVIÇO",UPPER(C539)="SERVICO"),0,N(H539)*N(E539))</f>
        <v/>
      </c>
      <c r="L539" s="107">
        <f>IF(OR(UPPER(C539)="SERVIÇO",UPPER(C539)="SERVICO"),0,N(H539)*N(G539))</f>
        <v/>
      </c>
      <c r="M539" s="107">
        <f>IF(OR(UPPER(C539)="SERVIÇO",UPPER(C539)="SERVICO"),0,L539-K539)</f>
        <v/>
      </c>
    </row>
    <row r="540" ht="15" customHeight="1">
      <c r="B540" s="105" t="n">
        <v>529</v>
      </c>
      <c r="C540" s="105" t="inlineStr">
        <is>
          <t>Produto</t>
        </is>
      </c>
      <c r="D540" s="106" t="inlineStr">
        <is>
          <t>Tênis de corrida com ajuste branco tam. M</t>
        </is>
      </c>
      <c r="E540" s="107" t="n">
        <v>243.07</v>
      </c>
      <c r="F540" s="108" t="n">
        <v>50</v>
      </c>
      <c r="G540" s="107">
        <f>ROUND(E540*(1+IF(ABS(F540)&lt;=1,F540,F540/100)),2)</f>
        <v/>
      </c>
      <c r="H540" s="105" t="n">
        <v>15</v>
      </c>
      <c r="I540" s="105" t="n">
        <v>5</v>
      </c>
      <c r="J540" s="105">
        <f>IF(OR(UPPER(C540)="SERVIÇO",UPPER(C540)="SERVICO"),"SERVIÇO",IF(H540&lt;=0,"ZERADO",IF(H540&lt;=I540,"ESTOQUE BAIXO","NORMAL")))</f>
        <v/>
      </c>
      <c r="K540" s="107">
        <f>IF(OR(UPPER(C540)="SERVIÇO",UPPER(C540)="SERVICO"),0,N(H540)*N(E540))</f>
        <v/>
      </c>
      <c r="L540" s="107">
        <f>IF(OR(UPPER(C540)="SERVIÇO",UPPER(C540)="SERVICO"),0,N(H540)*N(G540))</f>
        <v/>
      </c>
      <c r="M540" s="107">
        <f>IF(OR(UPPER(C540)="SERVIÇO",UPPER(C540)="SERVICO"),0,L540-K540)</f>
        <v/>
      </c>
    </row>
    <row r="541" ht="15" customHeight="1">
      <c r="B541" s="105" t="n">
        <v>530</v>
      </c>
      <c r="C541" s="105" t="inlineStr">
        <is>
          <t>Produto</t>
        </is>
      </c>
      <c r="D541" s="106" t="inlineStr">
        <is>
          <t>Patins adulto branco</t>
        </is>
      </c>
      <c r="E541" s="107" t="n">
        <v>547.6</v>
      </c>
      <c r="F541" s="108" t="n">
        <v>50</v>
      </c>
      <c r="G541" s="107">
        <f>ROUND(E541*(1+IF(ABS(F541)&lt;=1,F541,F541/100)),2)</f>
        <v/>
      </c>
      <c r="H541" s="105" t="n">
        <v>15</v>
      </c>
      <c r="I541" s="105" t="n">
        <v>5</v>
      </c>
      <c r="J541" s="105">
        <f>IF(OR(UPPER(C541)="SERVIÇO",UPPER(C541)="SERVICO"),"SERVIÇO",IF(H541&lt;=0,"ZERADO",IF(H541&lt;=I541,"ESTOQUE BAIXO","NORMAL")))</f>
        <v/>
      </c>
      <c r="K541" s="107">
        <f>IF(OR(UPPER(C541)="SERVIÇO",UPPER(C541)="SERVICO"),0,N(H541)*N(E541))</f>
        <v/>
      </c>
      <c r="L541" s="107">
        <f>IF(OR(UPPER(C541)="SERVIÇO",UPPER(C541)="SERVICO"),0,N(H541)*N(G541))</f>
        <v/>
      </c>
      <c r="M541" s="107">
        <f>IF(OR(UPPER(C541)="SERVIÇO",UPPER(C541)="SERVICO"),0,L541-K541)</f>
        <v/>
      </c>
    </row>
    <row r="542" ht="15" customHeight="1">
      <c r="B542" s="105" t="n">
        <v>531</v>
      </c>
      <c r="C542" s="105" t="inlineStr">
        <is>
          <t>Produto</t>
        </is>
      </c>
      <c r="D542" s="106" t="inlineStr">
        <is>
          <t>Nadadeira compacto vermelho</t>
        </is>
      </c>
      <c r="E542" s="107" t="n">
        <v>110.04</v>
      </c>
      <c r="F542" s="108" t="n">
        <v>50</v>
      </c>
      <c r="G542" s="107">
        <f>ROUND(E542*(1+IF(ABS(F542)&lt;=1,F542,F542/100)),2)</f>
        <v/>
      </c>
      <c r="H542" s="105" t="n">
        <v>15</v>
      </c>
      <c r="I542" s="105" t="n">
        <v>5</v>
      </c>
      <c r="J542" s="105">
        <f>IF(OR(UPPER(C542)="SERVIÇO",UPPER(C542)="SERVICO"),"SERVIÇO",IF(H542&lt;=0,"ZERADO",IF(H542&lt;=I542,"ESTOQUE BAIXO","NORMAL")))</f>
        <v/>
      </c>
      <c r="K542" s="107">
        <f>IF(OR(UPPER(C542)="SERVIÇO",UPPER(C542)="SERVICO"),0,N(H542)*N(E542))</f>
        <v/>
      </c>
      <c r="L542" s="107">
        <f>IF(OR(UPPER(C542)="SERVIÇO",UPPER(C542)="SERVICO"),0,N(H542)*N(G542))</f>
        <v/>
      </c>
      <c r="M542" s="107">
        <f>IF(OR(UPPER(C542)="SERVIÇO",UPPER(C542)="SERVICO"),0,L542-K542)</f>
        <v/>
      </c>
    </row>
    <row r="543" ht="15" customHeight="1">
      <c r="B543" s="105" t="n">
        <v>532</v>
      </c>
      <c r="C543" s="105" t="inlineStr">
        <is>
          <t>Produto</t>
        </is>
      </c>
      <c r="D543" s="106" t="inlineStr">
        <is>
          <t>Kettlebell alta performance rosa</t>
        </is>
      </c>
      <c r="E543" s="107" t="n">
        <v>78.63</v>
      </c>
      <c r="F543" s="108" t="n">
        <v>50</v>
      </c>
      <c r="G543" s="107">
        <f>ROUND(E543*(1+IF(ABS(F543)&lt;=1,F543,F543/100)),2)</f>
        <v/>
      </c>
      <c r="H543" s="105" t="n">
        <v>15</v>
      </c>
      <c r="I543" s="105" t="n">
        <v>5</v>
      </c>
      <c r="J543" s="105">
        <f>IF(OR(UPPER(C543)="SERVIÇO",UPPER(C543)="SERVICO"),"SERVIÇO",IF(H543&lt;=0,"ZERADO",IF(H543&lt;=I543,"ESTOQUE BAIXO","NORMAL")))</f>
        <v/>
      </c>
      <c r="K543" s="107">
        <f>IF(OR(UPPER(C543)="SERVIÇO",UPPER(C543)="SERVICO"),0,N(H543)*N(E543))</f>
        <v/>
      </c>
      <c r="L543" s="107">
        <f>IF(OR(UPPER(C543)="SERVIÇO",UPPER(C543)="SERVICO"),0,N(H543)*N(G543))</f>
        <v/>
      </c>
      <c r="M543" s="107">
        <f>IF(OR(UPPER(C543)="SERVIÇO",UPPER(C543)="SERVICO"),0,L543-K543)</f>
        <v/>
      </c>
    </row>
    <row r="544" ht="15" customHeight="1">
      <c r="B544" s="105" t="n">
        <v>533</v>
      </c>
      <c r="C544" s="105" t="inlineStr">
        <is>
          <t>Produto</t>
        </is>
      </c>
      <c r="D544" s="106" t="inlineStr">
        <is>
          <t>Elástico de resistência leve laranja</t>
        </is>
      </c>
      <c r="E544" s="107" t="n">
        <v>28.39</v>
      </c>
      <c r="F544" s="108" t="n">
        <v>50</v>
      </c>
      <c r="G544" s="107">
        <f>ROUND(E544*(1+IF(ABS(F544)&lt;=1,F544,F544/100)),2)</f>
        <v/>
      </c>
      <c r="H544" s="105" t="n">
        <v>15</v>
      </c>
      <c r="I544" s="105" t="n">
        <v>5</v>
      </c>
      <c r="J544" s="105">
        <f>IF(OR(UPPER(C544)="SERVIÇO",UPPER(C544)="SERVICO"),"SERVIÇO",IF(H544&lt;=0,"ZERADO",IF(H544&lt;=I544,"ESTOQUE BAIXO","NORMAL")))</f>
        <v/>
      </c>
      <c r="K544" s="107">
        <f>IF(OR(UPPER(C544)="SERVIÇO",UPPER(C544)="SERVICO"),0,N(H544)*N(E544))</f>
        <v/>
      </c>
      <c r="L544" s="107">
        <f>IF(OR(UPPER(C544)="SERVIÇO",UPPER(C544)="SERVICO"),0,N(H544)*N(G544))</f>
        <v/>
      </c>
      <c r="M544" s="107">
        <f>IF(OR(UPPER(C544)="SERVIÇO",UPPER(C544)="SERVICO"),0,L544-K544)</f>
        <v/>
      </c>
    </row>
    <row r="545" ht="15" customHeight="1">
      <c r="B545" s="105" t="n">
        <v>534</v>
      </c>
      <c r="C545" s="105" t="inlineStr">
        <is>
          <t>Produto</t>
        </is>
      </c>
      <c r="D545" s="106" t="inlineStr">
        <is>
          <t>Bola de pilates reforçado rosa</t>
        </is>
      </c>
      <c r="E545" s="107" t="n">
        <v>80.79000000000001</v>
      </c>
      <c r="F545" s="108" t="n">
        <v>50</v>
      </c>
      <c r="G545" s="107">
        <f>ROUND(E545*(1+IF(ABS(F545)&lt;=1,F545,F545/100)),2)</f>
        <v/>
      </c>
      <c r="H545" s="105" t="n">
        <v>15</v>
      </c>
      <c r="I545" s="105" t="n">
        <v>5</v>
      </c>
      <c r="J545" s="105">
        <f>IF(OR(UPPER(C545)="SERVIÇO",UPPER(C545)="SERVICO"),"SERVIÇO",IF(H545&lt;=0,"ZERADO",IF(H545&lt;=I545,"ESTOQUE BAIXO","NORMAL")))</f>
        <v/>
      </c>
      <c r="K545" s="107">
        <f>IF(OR(UPPER(C545)="SERVIÇO",UPPER(C545)="SERVICO"),0,N(H545)*N(E545))</f>
        <v/>
      </c>
      <c r="L545" s="107">
        <f>IF(OR(UPPER(C545)="SERVIÇO",UPPER(C545)="SERVICO"),0,N(H545)*N(G545))</f>
        <v/>
      </c>
      <c r="M545" s="107">
        <f>IF(OR(UPPER(C545)="SERVIÇO",UPPER(C545)="SERVICO"),0,L545-K545)</f>
        <v/>
      </c>
    </row>
    <row r="546" ht="15" customHeight="1">
      <c r="B546" s="105" t="n">
        <v>535</v>
      </c>
      <c r="C546" s="105" t="inlineStr">
        <is>
          <t>Produto</t>
        </is>
      </c>
      <c r="D546" s="106" t="inlineStr">
        <is>
          <t>Bloco para yoga reforçado verde</t>
        </is>
      </c>
      <c r="E546" s="107" t="n">
        <v>19.79</v>
      </c>
      <c r="F546" s="108" t="n">
        <v>50</v>
      </c>
      <c r="G546" s="107">
        <f>ROUND(E546*(1+IF(ABS(F546)&lt;=1,F546,F546/100)),2)</f>
        <v/>
      </c>
      <c r="H546" s="105" t="n">
        <v>15</v>
      </c>
      <c r="I546" s="105" t="n">
        <v>5</v>
      </c>
      <c r="J546" s="105">
        <f>IF(OR(UPPER(C546)="SERVIÇO",UPPER(C546)="SERVICO"),"SERVIÇO",IF(H546&lt;=0,"ZERADO",IF(H546&lt;=I546,"ESTOQUE BAIXO","NORMAL")))</f>
        <v/>
      </c>
      <c r="K546" s="107">
        <f>IF(OR(UPPER(C546)="SERVIÇO",UPPER(C546)="SERVICO"),0,N(H546)*N(E546))</f>
        <v/>
      </c>
      <c r="L546" s="107">
        <f>IF(OR(UPPER(C546)="SERVIÇO",UPPER(C546)="SERVICO"),0,N(H546)*N(G546))</f>
        <v/>
      </c>
      <c r="M546" s="107">
        <f>IF(OR(UPPER(C546)="SERVIÇO",UPPER(C546)="SERVICO"),0,L546-K546)</f>
        <v/>
      </c>
    </row>
    <row r="547" ht="15" customHeight="1">
      <c r="B547" s="105" t="n">
        <v>536</v>
      </c>
      <c r="C547" s="105" t="inlineStr">
        <is>
          <t>Produto</t>
        </is>
      </c>
      <c r="D547" s="106" t="inlineStr">
        <is>
          <t>Patins unissex azul</t>
        </is>
      </c>
      <c r="E547" s="107" t="n">
        <v>647.61</v>
      </c>
      <c r="F547" s="108" t="n">
        <v>50</v>
      </c>
      <c r="G547" s="107">
        <f>ROUND(E547*(1+IF(ABS(F547)&lt;=1,F547,F547/100)),2)</f>
        <v/>
      </c>
      <c r="H547" s="105" t="n">
        <v>15</v>
      </c>
      <c r="I547" s="105" t="n">
        <v>5</v>
      </c>
      <c r="J547" s="105">
        <f>IF(OR(UPPER(C547)="SERVIÇO",UPPER(C547)="SERVICO"),"SERVIÇO",IF(H547&lt;=0,"ZERADO",IF(H547&lt;=I547,"ESTOQUE BAIXO","NORMAL")))</f>
        <v/>
      </c>
      <c r="K547" s="107">
        <f>IF(OR(UPPER(C547)="SERVIÇO",UPPER(C547)="SERVICO"),0,N(H547)*N(E547))</f>
        <v/>
      </c>
      <c r="L547" s="107">
        <f>IF(OR(UPPER(C547)="SERVIÇO",UPPER(C547)="SERVICO"),0,N(H547)*N(G547))</f>
        <v/>
      </c>
      <c r="M547" s="107">
        <f>IF(OR(UPPER(C547)="SERVIÇO",UPPER(C547)="SERVICO"),0,L547-K547)</f>
        <v/>
      </c>
    </row>
    <row r="548" ht="15" customHeight="1">
      <c r="B548" s="105" t="n">
        <v>537</v>
      </c>
      <c r="C548" s="105" t="inlineStr">
        <is>
          <t>Produto</t>
        </is>
      </c>
      <c r="D548" s="106" t="inlineStr">
        <is>
          <t>Caneleira de futebol modelo avançado branco</t>
        </is>
      </c>
      <c r="E548" s="107" t="n">
        <v>27.31</v>
      </c>
      <c r="F548" s="108" t="n">
        <v>50</v>
      </c>
      <c r="G548" s="107">
        <f>ROUND(E548*(1+IF(ABS(F548)&lt;=1,F548,F548/100)),2)</f>
        <v/>
      </c>
      <c r="H548" s="105" t="n">
        <v>15</v>
      </c>
      <c r="I548" s="105" t="n">
        <v>5</v>
      </c>
      <c r="J548" s="105">
        <f>IF(OR(UPPER(C548)="SERVIÇO",UPPER(C548)="SERVICO"),"SERVIÇO",IF(H548&lt;=0,"ZERADO",IF(H548&lt;=I548,"ESTOQUE BAIXO","NORMAL")))</f>
        <v/>
      </c>
      <c r="K548" s="107">
        <f>IF(OR(UPPER(C548)="SERVIÇO",UPPER(C548)="SERVICO"),0,N(H548)*N(E548))</f>
        <v/>
      </c>
      <c r="L548" s="107">
        <f>IF(OR(UPPER(C548)="SERVIÇO",UPPER(C548)="SERVICO"),0,N(H548)*N(G548))</f>
        <v/>
      </c>
      <c r="M548" s="107">
        <f>IF(OR(UPPER(C548)="SERVIÇO",UPPER(C548)="SERVICO"),0,L548-K548)</f>
        <v/>
      </c>
    </row>
    <row r="549" ht="15" customHeight="1">
      <c r="B549" s="105" t="n">
        <v>538</v>
      </c>
      <c r="C549" s="105" t="inlineStr">
        <is>
          <t>Produto</t>
        </is>
      </c>
      <c r="D549" s="106" t="inlineStr">
        <is>
          <t>Tênis para quadra ergonômico branco tam. 44</t>
        </is>
      </c>
      <c r="E549" s="107" t="n">
        <v>234.17</v>
      </c>
      <c r="F549" s="108" t="n">
        <v>50</v>
      </c>
      <c r="G549" s="107">
        <f>ROUND(E549*(1+IF(ABS(F549)&lt;=1,F549,F549/100)),2)</f>
        <v/>
      </c>
      <c r="H549" s="105" t="n">
        <v>15</v>
      </c>
      <c r="I549" s="105" t="n">
        <v>5</v>
      </c>
      <c r="J549" s="105">
        <f>IF(OR(UPPER(C549)="SERVIÇO",UPPER(C549)="SERVICO"),"SERVIÇO",IF(H549&lt;=0,"ZERADO",IF(H549&lt;=I549,"ESTOQUE BAIXO","NORMAL")))</f>
        <v/>
      </c>
      <c r="K549" s="107">
        <f>IF(OR(UPPER(C549)="SERVIÇO",UPPER(C549)="SERVICO"),0,N(H549)*N(E549))</f>
        <v/>
      </c>
      <c r="L549" s="107">
        <f>IF(OR(UPPER(C549)="SERVIÇO",UPPER(C549)="SERVICO"),0,N(H549)*N(G549))</f>
        <v/>
      </c>
      <c r="M549" s="107">
        <f>IF(OR(UPPER(C549)="SERVIÇO",UPPER(C549)="SERVICO"),0,L549-K549)</f>
        <v/>
      </c>
    </row>
    <row r="550" ht="15" customHeight="1">
      <c r="B550" s="105" t="n">
        <v>539</v>
      </c>
      <c r="C550" s="105" t="inlineStr">
        <is>
          <t>Produto</t>
        </is>
      </c>
      <c r="D550" s="106" t="inlineStr">
        <is>
          <t>Elástico de resistência treino branco</t>
        </is>
      </c>
      <c r="E550" s="107" t="n">
        <v>26.11</v>
      </c>
      <c r="F550" s="108" t="n">
        <v>50</v>
      </c>
      <c r="G550" s="107">
        <f>ROUND(E550*(1+IF(ABS(F550)&lt;=1,F550,F550/100)),2)</f>
        <v/>
      </c>
      <c r="H550" s="105" t="n">
        <v>15</v>
      </c>
      <c r="I550" s="105" t="n">
        <v>5</v>
      </c>
      <c r="J550" s="105">
        <f>IF(OR(UPPER(C550)="SERVIÇO",UPPER(C550)="SERVICO"),"SERVIÇO",IF(H550&lt;=0,"ZERADO",IF(H550&lt;=I550,"ESTOQUE BAIXO","NORMAL")))</f>
        <v/>
      </c>
      <c r="K550" s="107">
        <f>IF(OR(UPPER(C550)="SERVIÇO",UPPER(C550)="SERVICO"),0,N(H550)*N(E550))</f>
        <v/>
      </c>
      <c r="L550" s="107">
        <f>IF(OR(UPPER(C550)="SERVIÇO",UPPER(C550)="SERVICO"),0,N(H550)*N(G550))</f>
        <v/>
      </c>
      <c r="M550" s="107">
        <f>IF(OR(UPPER(C550)="SERVIÇO",UPPER(C550)="SERVICO"),0,L550-K550)</f>
        <v/>
      </c>
    </row>
    <row r="551" ht="15" customHeight="1">
      <c r="B551" s="105" t="n">
        <v>540</v>
      </c>
      <c r="C551" s="105" t="inlineStr">
        <is>
          <t>Produto</t>
        </is>
      </c>
      <c r="D551" s="106" t="inlineStr">
        <is>
          <t>Capacete de ciclismo leve cinza</t>
        </is>
      </c>
      <c r="E551" s="107" t="n">
        <v>334.57</v>
      </c>
      <c r="F551" s="108" t="n">
        <v>50</v>
      </c>
      <c r="G551" s="107">
        <f>ROUND(E551*(1+IF(ABS(F551)&lt;=1,F551,F551/100)),2)</f>
        <v/>
      </c>
      <c r="H551" s="105" t="n">
        <v>15</v>
      </c>
      <c r="I551" s="105" t="n">
        <v>5</v>
      </c>
      <c r="J551" s="105">
        <f>IF(OR(UPPER(C551)="SERVIÇO",UPPER(C551)="SERVICO"),"SERVIÇO",IF(H551&lt;=0,"ZERADO",IF(H551&lt;=I551,"ESTOQUE BAIXO","NORMAL")))</f>
        <v/>
      </c>
      <c r="K551" s="107">
        <f>IF(OR(UPPER(C551)="SERVIÇO",UPPER(C551)="SERVICO"),0,N(H551)*N(E551))</f>
        <v/>
      </c>
      <c r="L551" s="107">
        <f>IF(OR(UPPER(C551)="SERVIÇO",UPPER(C551)="SERVICO"),0,N(H551)*N(G551))</f>
        <v/>
      </c>
      <c r="M551" s="107">
        <f>IF(OR(UPPER(C551)="SERVIÇO",UPPER(C551)="SERVICO"),0,L551-K551)</f>
        <v/>
      </c>
    </row>
    <row r="552" ht="15" customHeight="1">
      <c r="B552" s="105" t="n">
        <v>541</v>
      </c>
      <c r="C552" s="105" t="inlineStr">
        <is>
          <t>Produto</t>
        </is>
      </c>
      <c r="D552" s="106" t="inlineStr">
        <is>
          <t>Luva de boxe recreativo branco tam. M</t>
        </is>
      </c>
      <c r="E552" s="107" t="n">
        <v>103.49</v>
      </c>
      <c r="F552" s="108" t="n">
        <v>50</v>
      </c>
      <c r="G552" s="107">
        <f>ROUND(E552*(1+IF(ABS(F552)&lt;=1,F552,F552/100)),2)</f>
        <v/>
      </c>
      <c r="H552" s="105" t="n">
        <v>15</v>
      </c>
      <c r="I552" s="105" t="n">
        <v>5</v>
      </c>
      <c r="J552" s="105">
        <f>IF(OR(UPPER(C552)="SERVIÇO",UPPER(C552)="SERVICO"),"SERVIÇO",IF(H552&lt;=0,"ZERADO",IF(H552&lt;=I552,"ESTOQUE BAIXO","NORMAL")))</f>
        <v/>
      </c>
      <c r="K552" s="107">
        <f>IF(OR(UPPER(C552)="SERVIÇO",UPPER(C552)="SERVICO"),0,N(H552)*N(E552))</f>
        <v/>
      </c>
      <c r="L552" s="107">
        <f>IF(OR(UPPER(C552)="SERVIÇO",UPPER(C552)="SERVICO"),0,N(H552)*N(G552))</f>
        <v/>
      </c>
      <c r="M552" s="107">
        <f>IF(OR(UPPER(C552)="SERVIÇO",UPPER(C552)="SERVICO"),0,L552-K552)</f>
        <v/>
      </c>
    </row>
    <row r="553" ht="15" customHeight="1">
      <c r="B553" s="105" t="n">
        <v>542</v>
      </c>
      <c r="C553" s="105" t="inlineStr">
        <is>
          <t>Produto</t>
        </is>
      </c>
      <c r="D553" s="106" t="inlineStr">
        <is>
          <t>Tênis para quadra modelo avançado vermelho tam. 42</t>
        </is>
      </c>
      <c r="E553" s="107" t="n">
        <v>234.1</v>
      </c>
      <c r="F553" s="108" t="n">
        <v>50</v>
      </c>
      <c r="G553" s="107">
        <f>ROUND(E553*(1+IF(ABS(F553)&lt;=1,F553,F553/100)),2)</f>
        <v/>
      </c>
      <c r="H553" s="105" t="n">
        <v>15</v>
      </c>
      <c r="I553" s="105" t="n">
        <v>5</v>
      </c>
      <c r="J553" s="105">
        <f>IF(OR(UPPER(C553)="SERVIÇO",UPPER(C553)="SERVICO"),"SERVIÇO",IF(H553&lt;=0,"ZERADO",IF(H553&lt;=I553,"ESTOQUE BAIXO","NORMAL")))</f>
        <v/>
      </c>
      <c r="K553" s="107">
        <f>IF(OR(UPPER(C553)="SERVIÇO",UPPER(C553)="SERVICO"),0,N(H553)*N(E553))</f>
        <v/>
      </c>
      <c r="L553" s="107">
        <f>IF(OR(UPPER(C553)="SERVIÇO",UPPER(C553)="SERVICO"),0,N(H553)*N(G553))</f>
        <v/>
      </c>
      <c r="M553" s="107">
        <f>IF(OR(UPPER(C553)="SERVIÇO",UPPER(C553)="SERVICO"),0,L553-K553)</f>
        <v/>
      </c>
    </row>
    <row r="554" ht="15" customHeight="1">
      <c r="B554" s="105" t="n">
        <v>543</v>
      </c>
      <c r="C554" s="105" t="inlineStr">
        <is>
          <t>Produto</t>
        </is>
      </c>
      <c r="D554" s="106" t="inlineStr">
        <is>
          <t>Saco de pancadas unissex laranja</t>
        </is>
      </c>
      <c r="E554" s="107" t="n">
        <v>399.14</v>
      </c>
      <c r="F554" s="108" t="n">
        <v>50</v>
      </c>
      <c r="G554" s="107">
        <f>ROUND(E554*(1+IF(ABS(F554)&lt;=1,F554,F554/100)),2)</f>
        <v/>
      </c>
      <c r="H554" s="105" t="n">
        <v>15</v>
      </c>
      <c r="I554" s="105" t="n">
        <v>5</v>
      </c>
      <c r="J554" s="105">
        <f>IF(OR(UPPER(C554)="SERVIÇO",UPPER(C554)="SERVICO"),"SERVIÇO",IF(H554&lt;=0,"ZERADO",IF(H554&lt;=I554,"ESTOQUE BAIXO","NORMAL")))</f>
        <v/>
      </c>
      <c r="K554" s="107">
        <f>IF(OR(UPPER(C554)="SERVIÇO",UPPER(C554)="SERVICO"),0,N(H554)*N(E554))</f>
        <v/>
      </c>
      <c r="L554" s="107">
        <f>IF(OR(UPPER(C554)="SERVIÇO",UPPER(C554)="SERVICO"),0,N(H554)*N(G554))</f>
        <v/>
      </c>
      <c r="M554" s="107">
        <f>IF(OR(UPPER(C554)="SERVIÇO",UPPER(C554)="SERVICO"),0,L554-K554)</f>
        <v/>
      </c>
    </row>
    <row r="555" ht="15" customHeight="1">
      <c r="B555" s="105" t="n">
        <v>544</v>
      </c>
      <c r="C555" s="105" t="inlineStr">
        <is>
          <t>Produto</t>
        </is>
      </c>
      <c r="D555" s="106" t="inlineStr">
        <is>
          <t>Óculos esportivos leve vermelho</t>
        </is>
      </c>
      <c r="E555" s="107" t="n">
        <v>217.84</v>
      </c>
      <c r="F555" s="108" t="n">
        <v>50</v>
      </c>
      <c r="G555" s="107">
        <f>ROUND(E555*(1+IF(ABS(F555)&lt;=1,F555,F555/100)),2)</f>
        <v/>
      </c>
      <c r="H555" s="105" t="n">
        <v>15</v>
      </c>
      <c r="I555" s="105" t="n">
        <v>5</v>
      </c>
      <c r="J555" s="105">
        <f>IF(OR(UPPER(C555)="SERVIÇO",UPPER(C555)="SERVICO"),"SERVIÇO",IF(H555&lt;=0,"ZERADO",IF(H555&lt;=I555,"ESTOQUE BAIXO","NORMAL")))</f>
        <v/>
      </c>
      <c r="K555" s="107">
        <f>IF(OR(UPPER(C555)="SERVIÇO",UPPER(C555)="SERVICO"),0,N(H555)*N(E555))</f>
        <v/>
      </c>
      <c r="L555" s="107">
        <f>IF(OR(UPPER(C555)="SERVIÇO",UPPER(C555)="SERVICO"),0,N(H555)*N(G555))</f>
        <v/>
      </c>
      <c r="M555" s="107">
        <f>IF(OR(UPPER(C555)="SERVIÇO",UPPER(C555)="SERVICO"),0,L555-K555)</f>
        <v/>
      </c>
    </row>
    <row r="556" ht="15" customHeight="1">
      <c r="B556" s="105" t="n">
        <v>545</v>
      </c>
      <c r="C556" s="105" t="inlineStr">
        <is>
          <t>Produto</t>
        </is>
      </c>
      <c r="D556" s="106" t="inlineStr">
        <is>
          <t>Chuteira de campo modelo básico rosa tam. 44</t>
        </is>
      </c>
      <c r="E556" s="107" t="n">
        <v>97.03</v>
      </c>
      <c r="F556" s="108" t="n">
        <v>50</v>
      </c>
      <c r="G556" s="107">
        <f>ROUND(E556*(1+IF(ABS(F556)&lt;=1,F556,F556/100)),2)</f>
        <v/>
      </c>
      <c r="H556" s="105" t="n">
        <v>15</v>
      </c>
      <c r="I556" s="105" t="n">
        <v>5</v>
      </c>
      <c r="J556" s="105">
        <f>IF(OR(UPPER(C556)="SERVIÇO",UPPER(C556)="SERVICO"),"SERVIÇO",IF(H556&lt;=0,"ZERADO",IF(H556&lt;=I556,"ESTOQUE BAIXO","NORMAL")))</f>
        <v/>
      </c>
      <c r="K556" s="107">
        <f>IF(OR(UPPER(C556)="SERVIÇO",UPPER(C556)="SERVICO"),0,N(H556)*N(E556))</f>
        <v/>
      </c>
      <c r="L556" s="107">
        <f>IF(OR(UPPER(C556)="SERVIÇO",UPPER(C556)="SERVICO"),0,N(H556)*N(G556))</f>
        <v/>
      </c>
      <c r="M556" s="107">
        <f>IF(OR(UPPER(C556)="SERVIÇO",UPPER(C556)="SERVICO"),0,L556-K556)</f>
        <v/>
      </c>
    </row>
    <row r="557" ht="15" customHeight="1">
      <c r="B557" s="105" t="n">
        <v>546</v>
      </c>
      <c r="C557" s="105" t="inlineStr">
        <is>
          <t>Produto</t>
        </is>
      </c>
      <c r="D557" s="106" t="inlineStr">
        <is>
          <t>Colchonete de exercício ergonômico vermelho</t>
        </is>
      </c>
      <c r="E557" s="107" t="n">
        <v>42.67</v>
      </c>
      <c r="F557" s="108" t="n">
        <v>50</v>
      </c>
      <c r="G557" s="107">
        <f>ROUND(E557*(1+IF(ABS(F557)&lt;=1,F557,F557/100)),2)</f>
        <v/>
      </c>
      <c r="H557" s="105" t="n">
        <v>15</v>
      </c>
      <c r="I557" s="105" t="n">
        <v>5</v>
      </c>
      <c r="J557" s="105">
        <f>IF(OR(UPPER(C557)="SERVIÇO",UPPER(C557)="SERVICO"),"SERVIÇO",IF(H557&lt;=0,"ZERADO",IF(H557&lt;=I557,"ESTOQUE BAIXO","NORMAL")))</f>
        <v/>
      </c>
      <c r="K557" s="107">
        <f>IF(OR(UPPER(C557)="SERVIÇO",UPPER(C557)="SERVICO"),0,N(H557)*N(E557))</f>
        <v/>
      </c>
      <c r="L557" s="107">
        <f>IF(OR(UPPER(C557)="SERVIÇO",UPPER(C557)="SERVICO"),0,N(H557)*N(G557))</f>
        <v/>
      </c>
      <c r="M557" s="107">
        <f>IF(OR(UPPER(C557)="SERVIÇO",UPPER(C557)="SERVICO"),0,L557-K557)</f>
        <v/>
      </c>
    </row>
    <row r="558" ht="15" customHeight="1">
      <c r="B558" s="105" t="n">
        <v>547</v>
      </c>
      <c r="C558" s="105" t="inlineStr">
        <is>
          <t>Produto</t>
        </is>
      </c>
      <c r="D558" s="106" t="inlineStr">
        <is>
          <t>Bloco para yoga resistente rosa</t>
        </is>
      </c>
      <c r="E558" s="107" t="n">
        <v>24.89</v>
      </c>
      <c r="F558" s="108" t="n">
        <v>50</v>
      </c>
      <c r="G558" s="107">
        <f>ROUND(E558*(1+IF(ABS(F558)&lt;=1,F558,F558/100)),2)</f>
        <v/>
      </c>
      <c r="H558" s="105" t="n">
        <v>15</v>
      </c>
      <c r="I558" s="105" t="n">
        <v>5</v>
      </c>
      <c r="J558" s="105">
        <f>IF(OR(UPPER(C558)="SERVIÇO",UPPER(C558)="SERVICO"),"SERVIÇO",IF(H558&lt;=0,"ZERADO",IF(H558&lt;=I558,"ESTOQUE BAIXO","NORMAL")))</f>
        <v/>
      </c>
      <c r="K558" s="107">
        <f>IF(OR(UPPER(C558)="SERVIÇO",UPPER(C558)="SERVICO"),0,N(H558)*N(E558))</f>
        <v/>
      </c>
      <c r="L558" s="107">
        <f>IF(OR(UPPER(C558)="SERVIÇO",UPPER(C558)="SERVICO"),0,N(H558)*N(G558))</f>
        <v/>
      </c>
      <c r="M558" s="107">
        <f>IF(OR(UPPER(C558)="SERVIÇO",UPPER(C558)="SERVICO"),0,L558-K558)</f>
        <v/>
      </c>
    </row>
    <row r="559" ht="15" customHeight="1">
      <c r="B559" s="105" t="n">
        <v>548</v>
      </c>
      <c r="C559" s="105" t="inlineStr">
        <is>
          <t>Produto</t>
        </is>
      </c>
      <c r="D559" s="106" t="inlineStr">
        <is>
          <t>Óculos esportivos com ajuste rosa</t>
        </is>
      </c>
      <c r="E559" s="107" t="n">
        <v>90.17</v>
      </c>
      <c r="F559" s="108" t="n">
        <v>50</v>
      </c>
      <c r="G559" s="107">
        <f>ROUND(E559*(1+IF(ABS(F559)&lt;=1,F559,F559/100)),2)</f>
        <v/>
      </c>
      <c r="H559" s="105" t="n">
        <v>15</v>
      </c>
      <c r="I559" s="105" t="n">
        <v>5</v>
      </c>
      <c r="J559" s="105">
        <f>IF(OR(UPPER(C559)="SERVIÇO",UPPER(C559)="SERVICO"),"SERVIÇO",IF(H559&lt;=0,"ZERADO",IF(H559&lt;=I559,"ESTOQUE BAIXO","NORMAL")))</f>
        <v/>
      </c>
      <c r="K559" s="107">
        <f>IF(OR(UPPER(C559)="SERVIÇO",UPPER(C559)="SERVICO"),0,N(H559)*N(E559))</f>
        <v/>
      </c>
      <c r="L559" s="107">
        <f>IF(OR(UPPER(C559)="SERVIÇO",UPPER(C559)="SERVICO"),0,N(H559)*N(G559))</f>
        <v/>
      </c>
      <c r="M559" s="107">
        <f>IF(OR(UPPER(C559)="SERVIÇO",UPPER(C559)="SERVICO"),0,L559-K559)</f>
        <v/>
      </c>
    </row>
    <row r="560" ht="15" customHeight="1">
      <c r="B560" s="105" t="n">
        <v>549</v>
      </c>
      <c r="C560" s="105" t="inlineStr">
        <is>
          <t>Produto</t>
        </is>
      </c>
      <c r="D560" s="106" t="inlineStr">
        <is>
          <t>Protetor bucal compacto cinza</t>
        </is>
      </c>
      <c r="E560" s="107" t="n">
        <v>10.61</v>
      </c>
      <c r="F560" s="108" t="n">
        <v>50</v>
      </c>
      <c r="G560" s="107">
        <f>ROUND(E560*(1+IF(ABS(F560)&lt;=1,F560,F560/100)),2)</f>
        <v/>
      </c>
      <c r="H560" s="105" t="n">
        <v>15</v>
      </c>
      <c r="I560" s="105" t="n">
        <v>5</v>
      </c>
      <c r="J560" s="105">
        <f>IF(OR(UPPER(C560)="SERVIÇO",UPPER(C560)="SERVICO"),"SERVIÇO",IF(H560&lt;=0,"ZERADO",IF(H560&lt;=I560,"ESTOQUE BAIXO","NORMAL")))</f>
        <v/>
      </c>
      <c r="K560" s="107">
        <f>IF(OR(UPPER(C560)="SERVIÇO",UPPER(C560)="SERVICO"),0,N(H560)*N(E560))</f>
        <v/>
      </c>
      <c r="L560" s="107">
        <f>IF(OR(UPPER(C560)="SERVIÇO",UPPER(C560)="SERVICO"),0,N(H560)*N(G560))</f>
        <v/>
      </c>
      <c r="M560" s="107">
        <f>IF(OR(UPPER(C560)="SERVIÇO",UPPER(C560)="SERVICO"),0,L560-K560)</f>
        <v/>
      </c>
    </row>
    <row r="561" ht="15" customHeight="1">
      <c r="B561" s="105" t="n">
        <v>550</v>
      </c>
      <c r="C561" s="105" t="inlineStr">
        <is>
          <t>Produto</t>
        </is>
      </c>
      <c r="D561" s="106" t="inlineStr">
        <is>
          <t>Jaqueta esportiva iniciante vermelho tam. 40</t>
        </is>
      </c>
      <c r="E561" s="107" t="n">
        <v>193.09</v>
      </c>
      <c r="F561" s="108" t="n">
        <v>50</v>
      </c>
      <c r="G561" s="107">
        <f>ROUND(E561*(1+IF(ABS(F561)&lt;=1,F561,F561/100)),2)</f>
        <v/>
      </c>
      <c r="H561" s="105" t="n">
        <v>15</v>
      </c>
      <c r="I561" s="105" t="n">
        <v>5</v>
      </c>
      <c r="J561" s="105">
        <f>IF(OR(UPPER(C561)="SERVIÇO",UPPER(C561)="SERVICO"),"SERVIÇO",IF(H561&lt;=0,"ZERADO",IF(H561&lt;=I561,"ESTOQUE BAIXO","NORMAL")))</f>
        <v/>
      </c>
      <c r="K561" s="107">
        <f>IF(OR(UPPER(C561)="SERVIÇO",UPPER(C561)="SERVICO"),0,N(H561)*N(E561))</f>
        <v/>
      </c>
      <c r="L561" s="107">
        <f>IF(OR(UPPER(C561)="SERVIÇO",UPPER(C561)="SERVICO"),0,N(H561)*N(G561))</f>
        <v/>
      </c>
      <c r="M561" s="107">
        <f>IF(OR(UPPER(C561)="SERVIÇO",UPPER(C561)="SERVICO"),0,L561-K561)</f>
        <v/>
      </c>
    </row>
    <row r="562" ht="15" customHeight="1">
      <c r="B562" s="105" t="n">
        <v>551</v>
      </c>
      <c r="C562" s="105" t="inlineStr">
        <is>
          <t>Produto</t>
        </is>
      </c>
      <c r="D562" s="106" t="inlineStr">
        <is>
          <t>Banco de musculação ventilado azul</t>
        </is>
      </c>
      <c r="E562" s="107" t="n">
        <v>935.92</v>
      </c>
      <c r="F562" s="108" t="n">
        <v>50</v>
      </c>
      <c r="G562" s="107">
        <f>ROUND(E562*(1+IF(ABS(F562)&lt;=1,F562,F562/100)),2)</f>
        <v/>
      </c>
      <c r="H562" s="105" t="n">
        <v>15</v>
      </c>
      <c r="I562" s="105" t="n">
        <v>5</v>
      </c>
      <c r="J562" s="105">
        <f>IF(OR(UPPER(C562)="SERVIÇO",UPPER(C562)="SERVICO"),"SERVIÇO",IF(H562&lt;=0,"ZERADO",IF(H562&lt;=I562,"ESTOQUE BAIXO","NORMAL")))</f>
        <v/>
      </c>
      <c r="K562" s="107">
        <f>IF(OR(UPPER(C562)="SERVIÇO",UPPER(C562)="SERVICO"),0,N(H562)*N(E562))</f>
        <v/>
      </c>
      <c r="L562" s="107">
        <f>IF(OR(UPPER(C562)="SERVIÇO",UPPER(C562)="SERVICO"),0,N(H562)*N(G562))</f>
        <v/>
      </c>
      <c r="M562" s="107">
        <f>IF(OR(UPPER(C562)="SERVIÇO",UPPER(C562)="SERVICO"),0,L562-K562)</f>
        <v/>
      </c>
    </row>
    <row r="563" ht="15" customHeight="1">
      <c r="B563" s="105" t="n">
        <v>552</v>
      </c>
      <c r="C563" s="105" t="inlineStr">
        <is>
          <t>Produto</t>
        </is>
      </c>
      <c r="D563" s="106" t="inlineStr">
        <is>
          <t>Bolsa de academia modelo avançado preto</t>
        </is>
      </c>
      <c r="E563" s="107" t="n">
        <v>143.94</v>
      </c>
      <c r="F563" s="108" t="n">
        <v>50</v>
      </c>
      <c r="G563" s="107">
        <f>ROUND(E563*(1+IF(ABS(F563)&lt;=1,F563,F563/100)),2)</f>
        <v/>
      </c>
      <c r="H563" s="105" t="n">
        <v>15</v>
      </c>
      <c r="I563" s="105" t="n">
        <v>5</v>
      </c>
      <c r="J563" s="105">
        <f>IF(OR(UPPER(C563)="SERVIÇO",UPPER(C563)="SERVICO"),"SERVIÇO",IF(H563&lt;=0,"ZERADO",IF(H563&lt;=I563,"ESTOQUE BAIXO","NORMAL")))</f>
        <v/>
      </c>
      <c r="K563" s="107">
        <f>IF(OR(UPPER(C563)="SERVIÇO",UPPER(C563)="SERVICO"),0,N(H563)*N(E563))</f>
        <v/>
      </c>
      <c r="L563" s="107">
        <f>IF(OR(UPPER(C563)="SERVIÇO",UPPER(C563)="SERVICO"),0,N(H563)*N(G563))</f>
        <v/>
      </c>
      <c r="M563" s="107">
        <f>IF(OR(UPPER(C563)="SERVIÇO",UPPER(C563)="SERVICO"),0,L563-K563)</f>
        <v/>
      </c>
    </row>
    <row r="564" ht="15" customHeight="1">
      <c r="B564" s="105" t="n">
        <v>553</v>
      </c>
      <c r="C564" s="105" t="inlineStr">
        <is>
          <t>Produto</t>
        </is>
      </c>
      <c r="D564" s="106" t="inlineStr">
        <is>
          <t>Bicicleta urbana reforçado laranja</t>
        </is>
      </c>
      <c r="E564" s="107" t="n">
        <v>860.9299999999999</v>
      </c>
      <c r="F564" s="108" t="n">
        <v>50</v>
      </c>
      <c r="G564" s="107">
        <f>ROUND(E564*(1+IF(ABS(F564)&lt;=1,F564,F564/100)),2)</f>
        <v/>
      </c>
      <c r="H564" s="105" t="n">
        <v>15</v>
      </c>
      <c r="I564" s="105" t="n">
        <v>5</v>
      </c>
      <c r="J564" s="105">
        <f>IF(OR(UPPER(C564)="SERVIÇO",UPPER(C564)="SERVICO"),"SERVIÇO",IF(H564&lt;=0,"ZERADO",IF(H564&lt;=I564,"ESTOQUE BAIXO","NORMAL")))</f>
        <v/>
      </c>
      <c r="K564" s="107">
        <f>IF(OR(UPPER(C564)="SERVIÇO",UPPER(C564)="SERVICO"),0,N(H564)*N(E564))</f>
        <v/>
      </c>
      <c r="L564" s="107">
        <f>IF(OR(UPPER(C564)="SERVIÇO",UPPER(C564)="SERVICO"),0,N(H564)*N(G564))</f>
        <v/>
      </c>
      <c r="M564" s="107">
        <f>IF(OR(UPPER(C564)="SERVIÇO",UPPER(C564)="SERVICO"),0,L564-K564)</f>
        <v/>
      </c>
    </row>
    <row r="565" ht="15" customHeight="1">
      <c r="B565" s="105" t="n">
        <v>554</v>
      </c>
      <c r="C565" s="105" t="inlineStr">
        <is>
          <t>Produto</t>
        </is>
      </c>
      <c r="D565" s="106" t="inlineStr">
        <is>
          <t>Óculos de natação iniciante preto</t>
        </is>
      </c>
      <c r="E565" s="107" t="n">
        <v>74</v>
      </c>
      <c r="F565" s="108" t="n">
        <v>50</v>
      </c>
      <c r="G565" s="107">
        <f>ROUND(E565*(1+IF(ABS(F565)&lt;=1,F565,F565/100)),2)</f>
        <v/>
      </c>
      <c r="H565" s="105" t="n">
        <v>15</v>
      </c>
      <c r="I565" s="105" t="n">
        <v>5</v>
      </c>
      <c r="J565" s="105">
        <f>IF(OR(UPPER(C565)="SERVIÇO",UPPER(C565)="SERVICO"),"SERVIÇO",IF(H565&lt;=0,"ZERADO",IF(H565&lt;=I565,"ESTOQUE BAIXO","NORMAL")))</f>
        <v/>
      </c>
      <c r="K565" s="107">
        <f>IF(OR(UPPER(C565)="SERVIÇO",UPPER(C565)="SERVICO"),0,N(H565)*N(E565))</f>
        <v/>
      </c>
      <c r="L565" s="107">
        <f>IF(OR(UPPER(C565)="SERVIÇO",UPPER(C565)="SERVICO"),0,N(H565)*N(G565))</f>
        <v/>
      </c>
      <c r="M565" s="107">
        <f>IF(OR(UPPER(C565)="SERVIÇO",UPPER(C565)="SERVICO"),0,L565-K565)</f>
        <v/>
      </c>
    </row>
    <row r="566" ht="15" customHeight="1">
      <c r="B566" s="105" t="n">
        <v>555</v>
      </c>
      <c r="C566" s="105" t="inlineStr">
        <is>
          <t>Produto</t>
        </is>
      </c>
      <c r="D566" s="106" t="inlineStr">
        <is>
          <t>Colchonete de exercício com ajuste azul</t>
        </is>
      </c>
      <c r="E566" s="107" t="n">
        <v>98.40000000000001</v>
      </c>
      <c r="F566" s="108" t="n">
        <v>50</v>
      </c>
      <c r="G566" s="107">
        <f>ROUND(E566*(1+IF(ABS(F566)&lt;=1,F566,F566/100)),2)</f>
        <v/>
      </c>
      <c r="H566" s="105" t="n">
        <v>15</v>
      </c>
      <c r="I566" s="105" t="n">
        <v>5</v>
      </c>
      <c r="J566" s="105">
        <f>IF(OR(UPPER(C566)="SERVIÇO",UPPER(C566)="SERVICO"),"SERVIÇO",IF(H566&lt;=0,"ZERADO",IF(H566&lt;=I566,"ESTOQUE BAIXO","NORMAL")))</f>
        <v/>
      </c>
      <c r="K566" s="107">
        <f>IF(OR(UPPER(C566)="SERVIÇO",UPPER(C566)="SERVICO"),0,N(H566)*N(E566))</f>
        <v/>
      </c>
      <c r="L566" s="107">
        <f>IF(OR(UPPER(C566)="SERVIÇO",UPPER(C566)="SERVICO"),0,N(H566)*N(G566))</f>
        <v/>
      </c>
      <c r="M566" s="107">
        <f>IF(OR(UPPER(C566)="SERVIÇO",UPPER(C566)="SERVICO"),0,L566-K566)</f>
        <v/>
      </c>
    </row>
    <row r="567" ht="15" customHeight="1">
      <c r="B567" s="105" t="n">
        <v>556</v>
      </c>
      <c r="C567" s="105" t="inlineStr">
        <is>
          <t>Produto</t>
        </is>
      </c>
      <c r="D567" s="106" t="inlineStr">
        <is>
          <t>Meias esportivas unissex branco tam. 44</t>
        </is>
      </c>
      <c r="E567" s="107" t="n">
        <v>28.72</v>
      </c>
      <c r="F567" s="108" t="n">
        <v>50</v>
      </c>
      <c r="G567" s="107">
        <f>ROUND(E567*(1+IF(ABS(F567)&lt;=1,F567,F567/100)),2)</f>
        <v/>
      </c>
      <c r="H567" s="105" t="n">
        <v>15</v>
      </c>
      <c r="I567" s="105" t="n">
        <v>5</v>
      </c>
      <c r="J567" s="105">
        <f>IF(OR(UPPER(C567)="SERVIÇO",UPPER(C567)="SERVICO"),"SERVIÇO",IF(H567&lt;=0,"ZERADO",IF(H567&lt;=I567,"ESTOQUE BAIXO","NORMAL")))</f>
        <v/>
      </c>
      <c r="K567" s="107">
        <f>IF(OR(UPPER(C567)="SERVIÇO",UPPER(C567)="SERVICO"),0,N(H567)*N(E567))</f>
        <v/>
      </c>
      <c r="L567" s="107">
        <f>IF(OR(UPPER(C567)="SERVIÇO",UPPER(C567)="SERVICO"),0,N(H567)*N(G567))</f>
        <v/>
      </c>
      <c r="M567" s="107">
        <f>IF(OR(UPPER(C567)="SERVIÇO",UPPER(C567)="SERVICO"),0,L567-K567)</f>
        <v/>
      </c>
    </row>
    <row r="568" ht="15" customHeight="1">
      <c r="B568" s="105" t="n">
        <v>557</v>
      </c>
      <c r="C568" s="105" t="inlineStr">
        <is>
          <t>Produto</t>
        </is>
      </c>
      <c r="D568" s="106" t="inlineStr">
        <is>
          <t>Camiseta esportiva recreativo verde tam. GG</t>
        </is>
      </c>
      <c r="E568" s="107" t="n">
        <v>100.09</v>
      </c>
      <c r="F568" s="108" t="n">
        <v>50</v>
      </c>
      <c r="G568" s="107">
        <f>ROUND(E568*(1+IF(ABS(F568)&lt;=1,F568,F568/100)),2)</f>
        <v/>
      </c>
      <c r="H568" s="105" t="n">
        <v>15</v>
      </c>
      <c r="I568" s="105" t="n">
        <v>5</v>
      </c>
      <c r="J568" s="105">
        <f>IF(OR(UPPER(C568)="SERVIÇO",UPPER(C568)="SERVICO"),"SERVIÇO",IF(H568&lt;=0,"ZERADO",IF(H568&lt;=I568,"ESTOQUE BAIXO","NORMAL")))</f>
        <v/>
      </c>
      <c r="K568" s="107">
        <f>IF(OR(UPPER(C568)="SERVIÇO",UPPER(C568)="SERVICO"),0,N(H568)*N(E568))</f>
        <v/>
      </c>
      <c r="L568" s="107">
        <f>IF(OR(UPPER(C568)="SERVIÇO",UPPER(C568)="SERVICO"),0,N(H568)*N(G568))</f>
        <v/>
      </c>
      <c r="M568" s="107">
        <f>IF(OR(UPPER(C568)="SERVIÇO",UPPER(C568)="SERVICO"),0,L568-K568)</f>
        <v/>
      </c>
    </row>
    <row r="569" ht="15" customHeight="1">
      <c r="B569" s="105" t="n">
        <v>558</v>
      </c>
      <c r="C569" s="105" t="inlineStr">
        <is>
          <t>Produto</t>
        </is>
      </c>
      <c r="D569" s="106" t="inlineStr">
        <is>
          <t>Protetor bucal ventilado cinza</t>
        </is>
      </c>
      <c r="E569" s="107" t="n">
        <v>39.38</v>
      </c>
      <c r="F569" s="108" t="n">
        <v>50</v>
      </c>
      <c r="G569" s="107">
        <f>ROUND(E569*(1+IF(ABS(F569)&lt;=1,F569,F569/100)),2)</f>
        <v/>
      </c>
      <c r="H569" s="105" t="n">
        <v>15</v>
      </c>
      <c r="I569" s="105" t="n">
        <v>5</v>
      </c>
      <c r="J569" s="105">
        <f>IF(OR(UPPER(C569)="SERVIÇO",UPPER(C569)="SERVICO"),"SERVIÇO",IF(H569&lt;=0,"ZERADO",IF(H569&lt;=I569,"ESTOQUE BAIXO","NORMAL")))</f>
        <v/>
      </c>
      <c r="K569" s="107">
        <f>IF(OR(UPPER(C569)="SERVIÇO",UPPER(C569)="SERVICO"),0,N(H569)*N(E569))</f>
        <v/>
      </c>
      <c r="L569" s="107">
        <f>IF(OR(UPPER(C569)="SERVIÇO",UPPER(C569)="SERVICO"),0,N(H569)*N(G569))</f>
        <v/>
      </c>
      <c r="M569" s="107">
        <f>IF(OR(UPPER(C569)="SERVIÇO",UPPER(C569)="SERVICO"),0,L569-K569)</f>
        <v/>
      </c>
    </row>
    <row r="570" ht="15" customHeight="1">
      <c r="B570" s="105" t="n">
        <v>559</v>
      </c>
      <c r="C570" s="105" t="inlineStr">
        <is>
          <t>Produto</t>
        </is>
      </c>
      <c r="D570" s="106" t="inlineStr">
        <is>
          <t>Camiseta esportiva iniciante cinza tam. 44</t>
        </is>
      </c>
      <c r="E570" s="107" t="n">
        <v>45.21</v>
      </c>
      <c r="F570" s="108" t="n">
        <v>50</v>
      </c>
      <c r="G570" s="107">
        <f>ROUND(E570*(1+IF(ABS(F570)&lt;=1,F570,F570/100)),2)</f>
        <v/>
      </c>
      <c r="H570" s="105" t="n">
        <v>15</v>
      </c>
      <c r="I570" s="105" t="n">
        <v>5</v>
      </c>
      <c r="J570" s="105">
        <f>IF(OR(UPPER(C570)="SERVIÇO",UPPER(C570)="SERVICO"),"SERVIÇO",IF(H570&lt;=0,"ZERADO",IF(H570&lt;=I570,"ESTOQUE BAIXO","NORMAL")))</f>
        <v/>
      </c>
      <c r="K570" s="107">
        <f>IF(OR(UPPER(C570)="SERVIÇO",UPPER(C570)="SERVICO"),0,N(H570)*N(E570))</f>
        <v/>
      </c>
      <c r="L570" s="107">
        <f>IF(OR(UPPER(C570)="SERVIÇO",UPPER(C570)="SERVICO"),0,N(H570)*N(G570))</f>
        <v/>
      </c>
      <c r="M570" s="107">
        <f>IF(OR(UPPER(C570)="SERVIÇO",UPPER(C570)="SERVICO"),0,L570-K570)</f>
        <v/>
      </c>
    </row>
    <row r="571" ht="15" customHeight="1">
      <c r="B571" s="105" t="n">
        <v>560</v>
      </c>
      <c r="C571" s="105" t="inlineStr">
        <is>
          <t>Produto</t>
        </is>
      </c>
      <c r="D571" s="106" t="inlineStr">
        <is>
          <t>Relógio esportivo recreativo laranja</t>
        </is>
      </c>
      <c r="E571" s="107" t="n">
        <v>1382.96</v>
      </c>
      <c r="F571" s="108" t="n">
        <v>50</v>
      </c>
      <c r="G571" s="107">
        <f>ROUND(E571*(1+IF(ABS(F571)&lt;=1,F571,F571/100)),2)</f>
        <v/>
      </c>
      <c r="H571" s="105" t="n">
        <v>15</v>
      </c>
      <c r="I571" s="105" t="n">
        <v>5</v>
      </c>
      <c r="J571" s="105">
        <f>IF(OR(UPPER(C571)="SERVIÇO",UPPER(C571)="SERVICO"),"SERVIÇO",IF(H571&lt;=0,"ZERADO",IF(H571&lt;=I571,"ESTOQUE BAIXO","NORMAL")))</f>
        <v/>
      </c>
      <c r="K571" s="107">
        <f>IF(OR(UPPER(C571)="SERVIÇO",UPPER(C571)="SERVICO"),0,N(H571)*N(E571))</f>
        <v/>
      </c>
      <c r="L571" s="107">
        <f>IF(OR(UPPER(C571)="SERVIÇO",UPPER(C571)="SERVICO"),0,N(H571)*N(G571))</f>
        <v/>
      </c>
      <c r="M571" s="107">
        <f>IF(OR(UPPER(C571)="SERVIÇO",UPPER(C571)="SERVICO"),0,L571-K571)</f>
        <v/>
      </c>
    </row>
    <row r="572" ht="15" customHeight="1">
      <c r="B572" s="105" t="n">
        <v>561</v>
      </c>
      <c r="C572" s="105" t="inlineStr">
        <is>
          <t>Produto</t>
        </is>
      </c>
      <c r="D572" s="106" t="inlineStr">
        <is>
          <t>Bolsa de academia recreativo verde</t>
        </is>
      </c>
      <c r="E572" s="107" t="n">
        <v>51.88</v>
      </c>
      <c r="F572" s="108" t="n">
        <v>50</v>
      </c>
      <c r="G572" s="107">
        <f>ROUND(E572*(1+IF(ABS(F572)&lt;=1,F572,F572/100)),2)</f>
        <v/>
      </c>
      <c r="H572" s="105" t="n">
        <v>15</v>
      </c>
      <c r="I572" s="105" t="n">
        <v>5</v>
      </c>
      <c r="J572" s="105">
        <f>IF(OR(UPPER(C572)="SERVIÇO",UPPER(C572)="SERVICO"),"SERVIÇO",IF(H572&lt;=0,"ZERADO",IF(H572&lt;=I572,"ESTOQUE BAIXO","NORMAL")))</f>
        <v/>
      </c>
      <c r="K572" s="107">
        <f>IF(OR(UPPER(C572)="SERVIÇO",UPPER(C572)="SERVICO"),0,N(H572)*N(E572))</f>
        <v/>
      </c>
      <c r="L572" s="107">
        <f>IF(OR(UPPER(C572)="SERVIÇO",UPPER(C572)="SERVICO"),0,N(H572)*N(G572))</f>
        <v/>
      </c>
      <c r="M572" s="107">
        <f>IF(OR(UPPER(C572)="SERVIÇO",UPPER(C572)="SERVICO"),0,L572-K572)</f>
        <v/>
      </c>
    </row>
    <row r="573" ht="15" customHeight="1">
      <c r="B573" s="105" t="n">
        <v>562</v>
      </c>
      <c r="C573" s="105" t="inlineStr">
        <is>
          <t>Produto</t>
        </is>
      </c>
      <c r="D573" s="106" t="inlineStr">
        <is>
          <t>Halter para uso diário rosa</t>
        </is>
      </c>
      <c r="E573" s="107" t="n">
        <v>31.56</v>
      </c>
      <c r="F573" s="108" t="n">
        <v>50</v>
      </c>
      <c r="G573" s="107">
        <f>ROUND(E573*(1+IF(ABS(F573)&lt;=1,F573,F573/100)),2)</f>
        <v/>
      </c>
      <c r="H573" s="105" t="n">
        <v>15</v>
      </c>
      <c r="I573" s="105" t="n">
        <v>5</v>
      </c>
      <c r="J573" s="105">
        <f>IF(OR(UPPER(C573)="SERVIÇO",UPPER(C573)="SERVICO"),"SERVIÇO",IF(H573&lt;=0,"ZERADO",IF(H573&lt;=I573,"ESTOQUE BAIXO","NORMAL")))</f>
        <v/>
      </c>
      <c r="K573" s="107">
        <f>IF(OR(UPPER(C573)="SERVIÇO",UPPER(C573)="SERVICO"),0,N(H573)*N(E573))</f>
        <v/>
      </c>
      <c r="L573" s="107">
        <f>IF(OR(UPPER(C573)="SERVIÇO",UPPER(C573)="SERVICO"),0,N(H573)*N(G573))</f>
        <v/>
      </c>
      <c r="M573" s="107">
        <f>IF(OR(UPPER(C573)="SERVIÇO",UPPER(C573)="SERVICO"),0,L573-K573)</f>
        <v/>
      </c>
    </row>
    <row r="574" ht="15" customHeight="1">
      <c r="B574" s="105" t="n">
        <v>563</v>
      </c>
      <c r="C574" s="105" t="inlineStr">
        <is>
          <t>Produto</t>
        </is>
      </c>
      <c r="D574" s="106" t="inlineStr">
        <is>
          <t>Touca de natação alta performance laranja tam. 40</t>
        </is>
      </c>
      <c r="E574" s="107" t="n">
        <v>12.79</v>
      </c>
      <c r="F574" s="108" t="n">
        <v>50</v>
      </c>
      <c r="G574" s="107">
        <f>ROUND(E574*(1+IF(ABS(F574)&lt;=1,F574,F574/100)),2)</f>
        <v/>
      </c>
      <c r="H574" s="105" t="n">
        <v>15</v>
      </c>
      <c r="I574" s="105" t="n">
        <v>5</v>
      </c>
      <c r="J574" s="105">
        <f>IF(OR(UPPER(C574)="SERVIÇO",UPPER(C574)="SERVICO"),"SERVIÇO",IF(H574&lt;=0,"ZERADO",IF(H574&lt;=I574,"ESTOQUE BAIXO","NORMAL")))</f>
        <v/>
      </c>
      <c r="K574" s="107">
        <f>IF(OR(UPPER(C574)="SERVIÇO",UPPER(C574)="SERVICO"),0,N(H574)*N(E574))</f>
        <v/>
      </c>
      <c r="L574" s="107">
        <f>IF(OR(UPPER(C574)="SERVIÇO",UPPER(C574)="SERVICO"),0,N(H574)*N(G574))</f>
        <v/>
      </c>
      <c r="M574" s="107">
        <f>IF(OR(UPPER(C574)="SERVIÇO",UPPER(C574)="SERVICO"),0,L574-K574)</f>
        <v/>
      </c>
    </row>
    <row r="575" ht="15" customHeight="1">
      <c r="B575" s="105" t="n">
        <v>564</v>
      </c>
      <c r="C575" s="105" t="inlineStr">
        <is>
          <t>Produto</t>
        </is>
      </c>
      <c r="D575" s="106" t="inlineStr">
        <is>
          <t>Banco de musculação para uso diário cinza</t>
        </is>
      </c>
      <c r="E575" s="107" t="n">
        <v>1096.95</v>
      </c>
      <c r="F575" s="108" t="n">
        <v>50</v>
      </c>
      <c r="G575" s="107">
        <f>ROUND(E575*(1+IF(ABS(F575)&lt;=1,F575,F575/100)),2)</f>
        <v/>
      </c>
      <c r="H575" s="105" t="n">
        <v>15</v>
      </c>
      <c r="I575" s="105" t="n">
        <v>5</v>
      </c>
      <c r="J575" s="105">
        <f>IF(OR(UPPER(C575)="SERVIÇO",UPPER(C575)="SERVICO"),"SERVIÇO",IF(H575&lt;=0,"ZERADO",IF(H575&lt;=I575,"ESTOQUE BAIXO","NORMAL")))</f>
        <v/>
      </c>
      <c r="K575" s="107">
        <f>IF(OR(UPPER(C575)="SERVIÇO",UPPER(C575)="SERVICO"),0,N(H575)*N(E575))</f>
        <v/>
      </c>
      <c r="L575" s="107">
        <f>IF(OR(UPPER(C575)="SERVIÇO",UPPER(C575)="SERVICO"),0,N(H575)*N(G575))</f>
        <v/>
      </c>
      <c r="M575" s="107">
        <f>IF(OR(UPPER(C575)="SERVIÇO",UPPER(C575)="SERVICO"),0,L575-K575)</f>
        <v/>
      </c>
    </row>
    <row r="576" ht="15" customHeight="1">
      <c r="B576" s="105" t="n">
        <v>565</v>
      </c>
      <c r="C576" s="105" t="inlineStr">
        <is>
          <t>Produto</t>
        </is>
      </c>
      <c r="D576" s="106" t="inlineStr">
        <is>
          <t>Tapete de yoga ergonômico branco</t>
        </is>
      </c>
      <c r="E576" s="107" t="n">
        <v>114.73</v>
      </c>
      <c r="F576" s="108" t="n">
        <v>50</v>
      </c>
      <c r="G576" s="107">
        <f>ROUND(E576*(1+IF(ABS(F576)&lt;=1,F576,F576/100)),2)</f>
        <v/>
      </c>
      <c r="H576" s="105" t="n">
        <v>15</v>
      </c>
      <c r="I576" s="105" t="n">
        <v>5</v>
      </c>
      <c r="J576" s="105">
        <f>IF(OR(UPPER(C576)="SERVIÇO",UPPER(C576)="SERVICO"),"SERVIÇO",IF(H576&lt;=0,"ZERADO",IF(H576&lt;=I576,"ESTOQUE BAIXO","NORMAL")))</f>
        <v/>
      </c>
      <c r="K576" s="107">
        <f>IF(OR(UPPER(C576)="SERVIÇO",UPPER(C576)="SERVICO"),0,N(H576)*N(E576))</f>
        <v/>
      </c>
      <c r="L576" s="107">
        <f>IF(OR(UPPER(C576)="SERVIÇO",UPPER(C576)="SERVICO"),0,N(H576)*N(G576))</f>
        <v/>
      </c>
      <c r="M576" s="107">
        <f>IF(OR(UPPER(C576)="SERVIÇO",UPPER(C576)="SERVICO"),0,L576-K576)</f>
        <v/>
      </c>
    </row>
    <row r="577" ht="15" customHeight="1">
      <c r="B577" s="105" t="n">
        <v>566</v>
      </c>
      <c r="C577" s="105" t="inlineStr">
        <is>
          <t>Produto</t>
        </is>
      </c>
      <c r="D577" s="106" t="inlineStr">
        <is>
          <t>Banco de musculação com ajuste branco</t>
        </is>
      </c>
      <c r="E577" s="107" t="n">
        <v>1302.08</v>
      </c>
      <c r="F577" s="108" t="n">
        <v>50</v>
      </c>
      <c r="G577" s="107">
        <f>ROUND(E577*(1+IF(ABS(F577)&lt;=1,F577,F577/100)),2)</f>
        <v/>
      </c>
      <c r="H577" s="105" t="n">
        <v>15</v>
      </c>
      <c r="I577" s="105" t="n">
        <v>5</v>
      </c>
      <c r="J577" s="105">
        <f>IF(OR(UPPER(C577)="SERVIÇO",UPPER(C577)="SERVICO"),"SERVIÇO",IF(H577&lt;=0,"ZERADO",IF(H577&lt;=I577,"ESTOQUE BAIXO","NORMAL")))</f>
        <v/>
      </c>
      <c r="K577" s="107">
        <f>IF(OR(UPPER(C577)="SERVIÇO",UPPER(C577)="SERVICO"),0,N(H577)*N(E577))</f>
        <v/>
      </c>
      <c r="L577" s="107">
        <f>IF(OR(UPPER(C577)="SERVIÇO",UPPER(C577)="SERVICO"),0,N(H577)*N(G577))</f>
        <v/>
      </c>
      <c r="M577" s="107">
        <f>IF(OR(UPPER(C577)="SERVIÇO",UPPER(C577)="SERVICO"),0,L577-K577)</f>
        <v/>
      </c>
    </row>
    <row r="578" ht="15" customHeight="1">
      <c r="B578" s="105" t="n">
        <v>567</v>
      </c>
      <c r="C578" s="105" t="inlineStr">
        <is>
          <t>Produto</t>
        </is>
      </c>
      <c r="D578" s="106" t="inlineStr">
        <is>
          <t>Caneleira de futebol reforçado laranja</t>
        </is>
      </c>
      <c r="E578" s="107" t="n">
        <v>76.28</v>
      </c>
      <c r="F578" s="108" t="n">
        <v>50</v>
      </c>
      <c r="G578" s="107">
        <f>ROUND(E578*(1+IF(ABS(F578)&lt;=1,F578,F578/100)),2)</f>
        <v/>
      </c>
      <c r="H578" s="105" t="n">
        <v>15</v>
      </c>
      <c r="I578" s="105" t="n">
        <v>5</v>
      </c>
      <c r="J578" s="105">
        <f>IF(OR(UPPER(C578)="SERVIÇO",UPPER(C578)="SERVICO"),"SERVIÇO",IF(H578&lt;=0,"ZERADO",IF(H578&lt;=I578,"ESTOQUE BAIXO","NORMAL")))</f>
        <v/>
      </c>
      <c r="K578" s="107">
        <f>IF(OR(UPPER(C578)="SERVIÇO",UPPER(C578)="SERVICO"),0,N(H578)*N(E578))</f>
        <v/>
      </c>
      <c r="L578" s="107">
        <f>IF(OR(UPPER(C578)="SERVIÇO",UPPER(C578)="SERVICO"),0,N(H578)*N(G578))</f>
        <v/>
      </c>
      <c r="M578" s="107">
        <f>IF(OR(UPPER(C578)="SERVIÇO",UPPER(C578)="SERVICO"),0,L578-K578)</f>
        <v/>
      </c>
    </row>
    <row r="579" ht="15" customHeight="1">
      <c r="B579" s="105" t="n">
        <v>568</v>
      </c>
      <c r="C579" s="105" t="inlineStr">
        <is>
          <t>Produto</t>
        </is>
      </c>
      <c r="D579" s="106" t="inlineStr">
        <is>
          <t>Óculos esportivos modelo básico cinza</t>
        </is>
      </c>
      <c r="E579" s="107" t="n">
        <v>157.69</v>
      </c>
      <c r="F579" s="108" t="n">
        <v>50</v>
      </c>
      <c r="G579" s="107">
        <f>ROUND(E579*(1+IF(ABS(F579)&lt;=1,F579,F579/100)),2)</f>
        <v/>
      </c>
      <c r="H579" s="105" t="n">
        <v>15</v>
      </c>
      <c r="I579" s="105" t="n">
        <v>5</v>
      </c>
      <c r="J579" s="105">
        <f>IF(OR(UPPER(C579)="SERVIÇO",UPPER(C579)="SERVICO"),"SERVIÇO",IF(H579&lt;=0,"ZERADO",IF(H579&lt;=I579,"ESTOQUE BAIXO","NORMAL")))</f>
        <v/>
      </c>
      <c r="K579" s="107">
        <f>IF(OR(UPPER(C579)="SERVIÇO",UPPER(C579)="SERVICO"),0,N(H579)*N(E579))</f>
        <v/>
      </c>
      <c r="L579" s="107">
        <f>IF(OR(UPPER(C579)="SERVIÇO",UPPER(C579)="SERVICO"),0,N(H579)*N(G579))</f>
        <v/>
      </c>
      <c r="M579" s="107">
        <f>IF(OR(UPPER(C579)="SERVIÇO",UPPER(C579)="SERVICO"),0,L579-K579)</f>
        <v/>
      </c>
    </row>
    <row r="580" ht="15" customHeight="1">
      <c r="B580" s="105" t="n">
        <v>569</v>
      </c>
      <c r="C580" s="105" t="inlineStr">
        <is>
          <t>Produto</t>
        </is>
      </c>
      <c r="D580" s="106" t="inlineStr">
        <is>
          <t>Protetor bucal unissex rosa</t>
        </is>
      </c>
      <c r="E580" s="107" t="n">
        <v>49.15</v>
      </c>
      <c r="F580" s="108" t="n">
        <v>50</v>
      </c>
      <c r="G580" s="107">
        <f>ROUND(E580*(1+IF(ABS(F580)&lt;=1,F580,F580/100)),2)</f>
        <v/>
      </c>
      <c r="H580" s="105" t="n">
        <v>15</v>
      </c>
      <c r="I580" s="105" t="n">
        <v>5</v>
      </c>
      <c r="J580" s="105">
        <f>IF(OR(UPPER(C580)="SERVIÇO",UPPER(C580)="SERVICO"),"SERVIÇO",IF(H580&lt;=0,"ZERADO",IF(H580&lt;=I580,"ESTOQUE BAIXO","NORMAL")))</f>
        <v/>
      </c>
      <c r="K580" s="107">
        <f>IF(OR(UPPER(C580)="SERVIÇO",UPPER(C580)="SERVICO"),0,N(H580)*N(E580))</f>
        <v/>
      </c>
      <c r="L580" s="107">
        <f>IF(OR(UPPER(C580)="SERVIÇO",UPPER(C580)="SERVICO"),0,N(H580)*N(G580))</f>
        <v/>
      </c>
      <c r="M580" s="107">
        <f>IF(OR(UPPER(C580)="SERVIÇO",UPPER(C580)="SERVICO"),0,L580-K580)</f>
        <v/>
      </c>
    </row>
    <row r="581" ht="15" customHeight="1">
      <c r="B581" s="105" t="n">
        <v>570</v>
      </c>
      <c r="C581" s="105" t="inlineStr">
        <is>
          <t>Produto</t>
        </is>
      </c>
      <c r="D581" s="106" t="inlineStr">
        <is>
          <t>Nadadeira juvenil azul</t>
        </is>
      </c>
      <c r="E581" s="107" t="n">
        <v>121.63</v>
      </c>
      <c r="F581" s="108" t="n">
        <v>50</v>
      </c>
      <c r="G581" s="107">
        <f>ROUND(E581*(1+IF(ABS(F581)&lt;=1,F581,F581/100)),2)</f>
        <v/>
      </c>
      <c r="H581" s="105" t="n">
        <v>15</v>
      </c>
      <c r="I581" s="105" t="n">
        <v>5</v>
      </c>
      <c r="J581" s="105">
        <f>IF(OR(UPPER(C581)="SERVIÇO",UPPER(C581)="SERVICO"),"SERVIÇO",IF(H581&lt;=0,"ZERADO",IF(H581&lt;=I581,"ESTOQUE BAIXO","NORMAL")))</f>
        <v/>
      </c>
      <c r="K581" s="107">
        <f>IF(OR(UPPER(C581)="SERVIÇO",UPPER(C581)="SERVICO"),0,N(H581)*N(E581))</f>
        <v/>
      </c>
      <c r="L581" s="107">
        <f>IF(OR(UPPER(C581)="SERVIÇO",UPPER(C581)="SERVICO"),0,N(H581)*N(G581))</f>
        <v/>
      </c>
      <c r="M581" s="107">
        <f>IF(OR(UPPER(C581)="SERVIÇO",UPPER(C581)="SERVICO"),0,L581-K581)</f>
        <v/>
      </c>
    </row>
    <row r="582" ht="15" customHeight="1">
      <c r="B582" s="105" t="n">
        <v>571</v>
      </c>
      <c r="C582" s="105" t="inlineStr">
        <is>
          <t>Produto</t>
        </is>
      </c>
      <c r="D582" s="106" t="inlineStr">
        <is>
          <t>Capacete de ciclismo treino vermelho</t>
        </is>
      </c>
      <c r="E582" s="107" t="n">
        <v>185.62</v>
      </c>
      <c r="F582" s="108" t="n">
        <v>50</v>
      </c>
      <c r="G582" s="107">
        <f>ROUND(E582*(1+IF(ABS(F582)&lt;=1,F582,F582/100)),2)</f>
        <v/>
      </c>
      <c r="H582" s="105" t="n">
        <v>15</v>
      </c>
      <c r="I582" s="105" t="n">
        <v>5</v>
      </c>
      <c r="J582" s="105">
        <f>IF(OR(UPPER(C582)="SERVIÇO",UPPER(C582)="SERVICO"),"SERVIÇO",IF(H582&lt;=0,"ZERADO",IF(H582&lt;=I582,"ESTOQUE BAIXO","NORMAL")))</f>
        <v/>
      </c>
      <c r="K582" s="107">
        <f>IF(OR(UPPER(C582)="SERVIÇO",UPPER(C582)="SERVICO"),0,N(H582)*N(E582))</f>
        <v/>
      </c>
      <c r="L582" s="107">
        <f>IF(OR(UPPER(C582)="SERVIÇO",UPPER(C582)="SERVICO"),0,N(H582)*N(G582))</f>
        <v/>
      </c>
      <c r="M582" s="107">
        <f>IF(OR(UPPER(C582)="SERVIÇO",UPPER(C582)="SERVICO"),0,L582-K582)</f>
        <v/>
      </c>
    </row>
    <row r="583" ht="15" customHeight="1">
      <c r="B583" s="105" t="n">
        <v>572</v>
      </c>
      <c r="C583" s="105" t="inlineStr">
        <is>
          <t>Produto</t>
        </is>
      </c>
      <c r="D583" s="106" t="inlineStr">
        <is>
          <t>Bola de futebol reforçado vermelho</t>
        </is>
      </c>
      <c r="E583" s="107" t="n">
        <v>162.26</v>
      </c>
      <c r="F583" s="108" t="n">
        <v>50</v>
      </c>
      <c r="G583" s="107">
        <f>ROUND(E583*(1+IF(ABS(F583)&lt;=1,F583,F583/100)),2)</f>
        <v/>
      </c>
      <c r="H583" s="105" t="n">
        <v>15</v>
      </c>
      <c r="I583" s="105" t="n">
        <v>5</v>
      </c>
      <c r="J583" s="105">
        <f>IF(OR(UPPER(C583)="SERVIÇO",UPPER(C583)="SERVICO"),"SERVIÇO",IF(H583&lt;=0,"ZERADO",IF(H583&lt;=I583,"ESTOQUE BAIXO","NORMAL")))</f>
        <v/>
      </c>
      <c r="K583" s="107">
        <f>IF(OR(UPPER(C583)="SERVIÇO",UPPER(C583)="SERVICO"),0,N(H583)*N(E583))</f>
        <v/>
      </c>
      <c r="L583" s="107">
        <f>IF(OR(UPPER(C583)="SERVIÇO",UPPER(C583)="SERVICO"),0,N(H583)*N(G583))</f>
        <v/>
      </c>
      <c r="M583" s="107">
        <f>IF(OR(UPPER(C583)="SERVIÇO",UPPER(C583)="SERVICO"),0,L583-K583)</f>
        <v/>
      </c>
    </row>
    <row r="584" ht="15" customHeight="1">
      <c r="B584" s="105" t="n">
        <v>573</v>
      </c>
      <c r="C584" s="105" t="inlineStr">
        <is>
          <t>Produto</t>
        </is>
      </c>
      <c r="D584" s="106" t="inlineStr">
        <is>
          <t>Coqueteleira premium azul</t>
        </is>
      </c>
      <c r="E584" s="107" t="n">
        <v>39.43</v>
      </c>
      <c r="F584" s="108" t="n">
        <v>50</v>
      </c>
      <c r="G584" s="107">
        <f>ROUND(E584*(1+IF(ABS(F584)&lt;=1,F584,F584/100)),2)</f>
        <v/>
      </c>
      <c r="H584" s="105" t="n">
        <v>15</v>
      </c>
      <c r="I584" s="105" t="n">
        <v>5</v>
      </c>
      <c r="J584" s="105">
        <f>IF(OR(UPPER(C584)="SERVIÇO",UPPER(C584)="SERVICO"),"SERVIÇO",IF(H584&lt;=0,"ZERADO",IF(H584&lt;=I584,"ESTOQUE BAIXO","NORMAL")))</f>
        <v/>
      </c>
      <c r="K584" s="107">
        <f>IF(OR(UPPER(C584)="SERVIÇO",UPPER(C584)="SERVICO"),0,N(H584)*N(E584))</f>
        <v/>
      </c>
      <c r="L584" s="107">
        <f>IF(OR(UPPER(C584)="SERVIÇO",UPPER(C584)="SERVICO"),0,N(H584)*N(G584))</f>
        <v/>
      </c>
      <c r="M584" s="107">
        <f>IF(OR(UPPER(C584)="SERVIÇO",UPPER(C584)="SERVICO"),0,L584-K584)</f>
        <v/>
      </c>
    </row>
    <row r="585" ht="15" customHeight="1">
      <c r="B585" s="105" t="n">
        <v>574</v>
      </c>
      <c r="C585" s="105" t="inlineStr">
        <is>
          <t>Produto</t>
        </is>
      </c>
      <c r="D585" s="106" t="inlineStr">
        <is>
          <t>Mochila esportiva modelo avançado vermelho</t>
        </is>
      </c>
      <c r="E585" s="107" t="n">
        <v>46.51</v>
      </c>
      <c r="F585" s="108" t="n">
        <v>50</v>
      </c>
      <c r="G585" s="107">
        <f>ROUND(E585*(1+IF(ABS(F585)&lt;=1,F585,F585/100)),2)</f>
        <v/>
      </c>
      <c r="H585" s="105" t="n">
        <v>15</v>
      </c>
      <c r="I585" s="105" t="n">
        <v>5</v>
      </c>
      <c r="J585" s="105">
        <f>IF(OR(UPPER(C585)="SERVIÇO",UPPER(C585)="SERVICO"),"SERVIÇO",IF(H585&lt;=0,"ZERADO",IF(H585&lt;=I585,"ESTOQUE BAIXO","NORMAL")))</f>
        <v/>
      </c>
      <c r="K585" s="107">
        <f>IF(OR(UPPER(C585)="SERVIÇO",UPPER(C585)="SERVICO"),0,N(H585)*N(E585))</f>
        <v/>
      </c>
      <c r="L585" s="107">
        <f>IF(OR(UPPER(C585)="SERVIÇO",UPPER(C585)="SERVICO"),0,N(H585)*N(G585))</f>
        <v/>
      </c>
      <c r="M585" s="107">
        <f>IF(OR(UPPER(C585)="SERVIÇO",UPPER(C585)="SERVICO"),0,L585-K585)</f>
        <v/>
      </c>
    </row>
    <row r="586" ht="15" customHeight="1">
      <c r="B586" s="105" t="n">
        <v>575</v>
      </c>
      <c r="C586" s="105" t="inlineStr">
        <is>
          <t>Produto</t>
        </is>
      </c>
      <c r="D586" s="106" t="inlineStr">
        <is>
          <t>Touca de natação compacto laranja tam. M</t>
        </is>
      </c>
      <c r="E586" s="107" t="n">
        <v>44.83</v>
      </c>
      <c r="F586" s="108" t="n">
        <v>50</v>
      </c>
      <c r="G586" s="107">
        <f>ROUND(E586*(1+IF(ABS(F586)&lt;=1,F586,F586/100)),2)</f>
        <v/>
      </c>
      <c r="H586" s="105" t="n">
        <v>15</v>
      </c>
      <c r="I586" s="105" t="n">
        <v>5</v>
      </c>
      <c r="J586" s="105">
        <f>IF(OR(UPPER(C586)="SERVIÇO",UPPER(C586)="SERVICO"),"SERVIÇO",IF(H586&lt;=0,"ZERADO",IF(H586&lt;=I586,"ESTOQUE BAIXO","NORMAL")))</f>
        <v/>
      </c>
      <c r="K586" s="107">
        <f>IF(OR(UPPER(C586)="SERVIÇO",UPPER(C586)="SERVICO"),0,N(H586)*N(E586))</f>
        <v/>
      </c>
      <c r="L586" s="107">
        <f>IF(OR(UPPER(C586)="SERVIÇO",UPPER(C586)="SERVICO"),0,N(H586)*N(G586))</f>
        <v/>
      </c>
      <c r="M586" s="107">
        <f>IF(OR(UPPER(C586)="SERVIÇO",UPPER(C586)="SERVICO"),0,L586-K586)</f>
        <v/>
      </c>
    </row>
    <row r="587" ht="15" customHeight="1">
      <c r="B587" s="105" t="n">
        <v>576</v>
      </c>
      <c r="C587" s="105" t="inlineStr">
        <is>
          <t>Produto</t>
        </is>
      </c>
      <c r="D587" s="106" t="inlineStr">
        <is>
          <t>Bola de futebol ergonômico azul</t>
        </is>
      </c>
      <c r="E587" s="107" t="n">
        <v>49.84</v>
      </c>
      <c r="F587" s="108" t="n">
        <v>50</v>
      </c>
      <c r="G587" s="107">
        <f>ROUND(E587*(1+IF(ABS(F587)&lt;=1,F587,F587/100)),2)</f>
        <v/>
      </c>
      <c r="H587" s="105" t="n">
        <v>15</v>
      </c>
      <c r="I587" s="105" t="n">
        <v>5</v>
      </c>
      <c r="J587" s="105">
        <f>IF(OR(UPPER(C587)="SERVIÇO",UPPER(C587)="SERVICO"),"SERVIÇO",IF(H587&lt;=0,"ZERADO",IF(H587&lt;=I587,"ESTOQUE BAIXO","NORMAL")))</f>
        <v/>
      </c>
      <c r="K587" s="107">
        <f>IF(OR(UPPER(C587)="SERVIÇO",UPPER(C587)="SERVICO"),0,N(H587)*N(E587))</f>
        <v/>
      </c>
      <c r="L587" s="107">
        <f>IF(OR(UPPER(C587)="SERVIÇO",UPPER(C587)="SERVICO"),0,N(H587)*N(G587))</f>
        <v/>
      </c>
      <c r="M587" s="107">
        <f>IF(OR(UPPER(C587)="SERVIÇO",UPPER(C587)="SERVICO"),0,L587-K587)</f>
        <v/>
      </c>
    </row>
    <row r="588" ht="15" customHeight="1">
      <c r="B588" s="105" t="n">
        <v>577</v>
      </c>
      <c r="C588" s="105" t="inlineStr">
        <is>
          <t>Produto</t>
        </is>
      </c>
      <c r="D588" s="106" t="inlineStr">
        <is>
          <t>Jaqueta esportiva com ajuste preto tam. P</t>
        </is>
      </c>
      <c r="E588" s="107" t="n">
        <v>225.05</v>
      </c>
      <c r="F588" s="108" t="n">
        <v>50</v>
      </c>
      <c r="G588" s="107">
        <f>ROUND(E588*(1+IF(ABS(F588)&lt;=1,F588,F588/100)),2)</f>
        <v/>
      </c>
      <c r="H588" s="105" t="n">
        <v>15</v>
      </c>
      <c r="I588" s="105" t="n">
        <v>5</v>
      </c>
      <c r="J588" s="105">
        <f>IF(OR(UPPER(C588)="SERVIÇO",UPPER(C588)="SERVICO"),"SERVIÇO",IF(H588&lt;=0,"ZERADO",IF(H588&lt;=I588,"ESTOQUE BAIXO","NORMAL")))</f>
        <v/>
      </c>
      <c r="K588" s="107">
        <f>IF(OR(UPPER(C588)="SERVIÇO",UPPER(C588)="SERVICO"),0,N(H588)*N(E588))</f>
        <v/>
      </c>
      <c r="L588" s="107">
        <f>IF(OR(UPPER(C588)="SERVIÇO",UPPER(C588)="SERVICO"),0,N(H588)*N(G588))</f>
        <v/>
      </c>
      <c r="M588" s="107">
        <f>IF(OR(UPPER(C588)="SERVIÇO",UPPER(C588)="SERVICO"),0,L588-K588)</f>
        <v/>
      </c>
    </row>
    <row r="589" ht="15" customHeight="1">
      <c r="B589" s="105" t="n">
        <v>578</v>
      </c>
      <c r="C589" s="105" t="inlineStr">
        <is>
          <t>Produto</t>
        </is>
      </c>
      <c r="D589" s="106" t="inlineStr">
        <is>
          <t>Tênis para quadra recreativo rosa tam. M</t>
        </is>
      </c>
      <c r="E589" s="107" t="n">
        <v>169.97</v>
      </c>
      <c r="F589" s="108" t="n">
        <v>50</v>
      </c>
      <c r="G589" s="107">
        <f>ROUND(E589*(1+IF(ABS(F589)&lt;=1,F589,F589/100)),2)</f>
        <v/>
      </c>
      <c r="H589" s="105" t="n">
        <v>15</v>
      </c>
      <c r="I589" s="105" t="n">
        <v>5</v>
      </c>
      <c r="J589" s="105">
        <f>IF(OR(UPPER(C589)="SERVIÇO",UPPER(C589)="SERVICO"),"SERVIÇO",IF(H589&lt;=0,"ZERADO",IF(H589&lt;=I589,"ESTOQUE BAIXO","NORMAL")))</f>
        <v/>
      </c>
      <c r="K589" s="107">
        <f>IF(OR(UPPER(C589)="SERVIÇO",UPPER(C589)="SERVICO"),0,N(H589)*N(E589))</f>
        <v/>
      </c>
      <c r="L589" s="107">
        <f>IF(OR(UPPER(C589)="SERVIÇO",UPPER(C589)="SERVICO"),0,N(H589)*N(G589))</f>
        <v/>
      </c>
      <c r="M589" s="107">
        <f>IF(OR(UPPER(C589)="SERVIÇO",UPPER(C589)="SERVICO"),0,L589-K589)</f>
        <v/>
      </c>
    </row>
    <row r="590" ht="15" customHeight="1">
      <c r="B590" s="105" t="n">
        <v>579</v>
      </c>
      <c r="C590" s="105" t="inlineStr">
        <is>
          <t>Produto</t>
        </is>
      </c>
      <c r="D590" s="106" t="inlineStr">
        <is>
          <t>Raquete de badminton treino branco</t>
        </is>
      </c>
      <c r="E590" s="107" t="n">
        <v>107.13</v>
      </c>
      <c r="F590" s="108" t="n">
        <v>50</v>
      </c>
      <c r="G590" s="107">
        <f>ROUND(E590*(1+IF(ABS(F590)&lt;=1,F590,F590/100)),2)</f>
        <v/>
      </c>
      <c r="H590" s="105" t="n">
        <v>15</v>
      </c>
      <c r="I590" s="105" t="n">
        <v>5</v>
      </c>
      <c r="J590" s="105">
        <f>IF(OR(UPPER(C590)="SERVIÇO",UPPER(C590)="SERVICO"),"SERVIÇO",IF(H590&lt;=0,"ZERADO",IF(H590&lt;=I590,"ESTOQUE BAIXO","NORMAL")))</f>
        <v/>
      </c>
      <c r="K590" s="107">
        <f>IF(OR(UPPER(C590)="SERVIÇO",UPPER(C590)="SERVICO"),0,N(H590)*N(E590))</f>
        <v/>
      </c>
      <c r="L590" s="107">
        <f>IF(OR(UPPER(C590)="SERVIÇO",UPPER(C590)="SERVICO"),0,N(H590)*N(G590))</f>
        <v/>
      </c>
      <c r="M590" s="107">
        <f>IF(OR(UPPER(C590)="SERVIÇO",UPPER(C590)="SERVICO"),0,L590-K590)</f>
        <v/>
      </c>
    </row>
    <row r="591" ht="15" customHeight="1">
      <c r="B591" s="105" t="n">
        <v>580</v>
      </c>
      <c r="C591" s="105" t="inlineStr">
        <is>
          <t>Produto</t>
        </is>
      </c>
      <c r="D591" s="106" t="inlineStr">
        <is>
          <t>Coqueteleira para uso diário vermelho</t>
        </is>
      </c>
      <c r="E591" s="107" t="n">
        <v>38.89</v>
      </c>
      <c r="F591" s="108" t="n">
        <v>50</v>
      </c>
      <c r="G591" s="107">
        <f>ROUND(E591*(1+IF(ABS(F591)&lt;=1,F591,F591/100)),2)</f>
        <v/>
      </c>
      <c r="H591" s="105" t="n">
        <v>15</v>
      </c>
      <c r="I591" s="105" t="n">
        <v>5</v>
      </c>
      <c r="J591" s="105">
        <f>IF(OR(UPPER(C591)="SERVIÇO",UPPER(C591)="SERVICO"),"SERVIÇO",IF(H591&lt;=0,"ZERADO",IF(H591&lt;=I591,"ESTOQUE BAIXO","NORMAL")))</f>
        <v/>
      </c>
      <c r="K591" s="107">
        <f>IF(OR(UPPER(C591)="SERVIÇO",UPPER(C591)="SERVICO"),0,N(H591)*N(E591))</f>
        <v/>
      </c>
      <c r="L591" s="107">
        <f>IF(OR(UPPER(C591)="SERVIÇO",UPPER(C591)="SERVICO"),0,N(H591)*N(G591))</f>
        <v/>
      </c>
      <c r="M591" s="107">
        <f>IF(OR(UPPER(C591)="SERVIÇO",UPPER(C591)="SERVICO"),0,L591-K591)</f>
        <v/>
      </c>
    </row>
    <row r="592" ht="15" customHeight="1">
      <c r="B592" s="105" t="n">
        <v>581</v>
      </c>
      <c r="C592" s="105" t="inlineStr">
        <is>
          <t>Produto</t>
        </is>
      </c>
      <c r="D592" s="106" t="inlineStr">
        <is>
          <t>Nadadeira profissional preto</t>
        </is>
      </c>
      <c r="E592" s="107" t="n">
        <v>119.15</v>
      </c>
      <c r="F592" s="108" t="n">
        <v>50</v>
      </c>
      <c r="G592" s="107">
        <f>ROUND(E592*(1+IF(ABS(F592)&lt;=1,F592,F592/100)),2)</f>
        <v/>
      </c>
      <c r="H592" s="105" t="n">
        <v>15</v>
      </c>
      <c r="I592" s="105" t="n">
        <v>5</v>
      </c>
      <c r="J592" s="105">
        <f>IF(OR(UPPER(C592)="SERVIÇO",UPPER(C592)="SERVICO"),"SERVIÇO",IF(H592&lt;=0,"ZERADO",IF(H592&lt;=I592,"ESTOQUE BAIXO","NORMAL")))</f>
        <v/>
      </c>
      <c r="K592" s="107">
        <f>IF(OR(UPPER(C592)="SERVIÇO",UPPER(C592)="SERVICO"),0,N(H592)*N(E592))</f>
        <v/>
      </c>
      <c r="L592" s="107">
        <f>IF(OR(UPPER(C592)="SERVIÇO",UPPER(C592)="SERVICO"),0,N(H592)*N(G592))</f>
        <v/>
      </c>
      <c r="M592" s="107">
        <f>IF(OR(UPPER(C592)="SERVIÇO",UPPER(C592)="SERVICO"),0,L592-K592)</f>
        <v/>
      </c>
    </row>
    <row r="593" ht="15" customHeight="1">
      <c r="B593" s="105" t="n">
        <v>582</v>
      </c>
      <c r="C593" s="105" t="inlineStr">
        <is>
          <t>Produto</t>
        </is>
      </c>
      <c r="D593" s="106" t="inlineStr">
        <is>
          <t>Camiseta esportiva modelo avançado verde tam. G</t>
        </is>
      </c>
      <c r="E593" s="107" t="n">
        <v>111.77</v>
      </c>
      <c r="F593" s="108" t="n">
        <v>50</v>
      </c>
      <c r="G593" s="107">
        <f>ROUND(E593*(1+IF(ABS(F593)&lt;=1,F593,F593/100)),2)</f>
        <v/>
      </c>
      <c r="H593" s="105" t="n">
        <v>15</v>
      </c>
      <c r="I593" s="105" t="n">
        <v>5</v>
      </c>
      <c r="J593" s="105">
        <f>IF(OR(UPPER(C593)="SERVIÇO",UPPER(C593)="SERVICO"),"SERVIÇO",IF(H593&lt;=0,"ZERADO",IF(H593&lt;=I593,"ESTOQUE BAIXO","NORMAL")))</f>
        <v/>
      </c>
      <c r="K593" s="107">
        <f>IF(OR(UPPER(C593)="SERVIÇO",UPPER(C593)="SERVICO"),0,N(H593)*N(E593))</f>
        <v/>
      </c>
      <c r="L593" s="107">
        <f>IF(OR(UPPER(C593)="SERVIÇO",UPPER(C593)="SERVICO"),0,N(H593)*N(G593))</f>
        <v/>
      </c>
      <c r="M593" s="107">
        <f>IF(OR(UPPER(C593)="SERVIÇO",UPPER(C593)="SERVICO"),0,L593-K593)</f>
        <v/>
      </c>
    </row>
    <row r="594" ht="15" customHeight="1">
      <c r="B594" s="105" t="n">
        <v>583</v>
      </c>
      <c r="C594" s="105" t="inlineStr">
        <is>
          <t>Produto</t>
        </is>
      </c>
      <c r="D594" s="106" t="inlineStr">
        <is>
          <t>Kimono de judô reforçado azul tam. M</t>
        </is>
      </c>
      <c r="E594" s="107" t="n">
        <v>101.95</v>
      </c>
      <c r="F594" s="108" t="n">
        <v>50</v>
      </c>
      <c r="G594" s="107">
        <f>ROUND(E594*(1+IF(ABS(F594)&lt;=1,F594,F594/100)),2)</f>
        <v/>
      </c>
      <c r="H594" s="105" t="n">
        <v>15</v>
      </c>
      <c r="I594" s="105" t="n">
        <v>5</v>
      </c>
      <c r="J594" s="105">
        <f>IF(OR(UPPER(C594)="SERVIÇO",UPPER(C594)="SERVICO"),"SERVIÇO",IF(H594&lt;=0,"ZERADO",IF(H594&lt;=I594,"ESTOQUE BAIXO","NORMAL")))</f>
        <v/>
      </c>
      <c r="K594" s="107">
        <f>IF(OR(UPPER(C594)="SERVIÇO",UPPER(C594)="SERVICO"),0,N(H594)*N(E594))</f>
        <v/>
      </c>
      <c r="L594" s="107">
        <f>IF(OR(UPPER(C594)="SERVIÇO",UPPER(C594)="SERVICO"),0,N(H594)*N(G594))</f>
        <v/>
      </c>
      <c r="M594" s="107">
        <f>IF(OR(UPPER(C594)="SERVIÇO",UPPER(C594)="SERVICO"),0,L594-K594)</f>
        <v/>
      </c>
    </row>
    <row r="595" ht="15" customHeight="1">
      <c r="B595" s="105" t="n">
        <v>584</v>
      </c>
      <c r="C595" s="105" t="inlineStr">
        <is>
          <t>Produto</t>
        </is>
      </c>
      <c r="D595" s="106" t="inlineStr">
        <is>
          <t>Tênis para quadra para uso diário branco tam. 38</t>
        </is>
      </c>
      <c r="E595" s="107" t="n">
        <v>204.37</v>
      </c>
      <c r="F595" s="108" t="n">
        <v>50</v>
      </c>
      <c r="G595" s="107">
        <f>ROUND(E595*(1+IF(ABS(F595)&lt;=1,F595,F595/100)),2)</f>
        <v/>
      </c>
      <c r="H595" s="105" t="n">
        <v>15</v>
      </c>
      <c r="I595" s="105" t="n">
        <v>5</v>
      </c>
      <c r="J595" s="105">
        <f>IF(OR(UPPER(C595)="SERVIÇO",UPPER(C595)="SERVICO"),"SERVIÇO",IF(H595&lt;=0,"ZERADO",IF(H595&lt;=I595,"ESTOQUE BAIXO","NORMAL")))</f>
        <v/>
      </c>
      <c r="K595" s="107">
        <f>IF(OR(UPPER(C595)="SERVIÇO",UPPER(C595)="SERVICO"),0,N(H595)*N(E595))</f>
        <v/>
      </c>
      <c r="L595" s="107">
        <f>IF(OR(UPPER(C595)="SERVIÇO",UPPER(C595)="SERVICO"),0,N(H595)*N(G595))</f>
        <v/>
      </c>
      <c r="M595" s="107">
        <f>IF(OR(UPPER(C595)="SERVIÇO",UPPER(C595)="SERVICO"),0,L595-K595)</f>
        <v/>
      </c>
    </row>
    <row r="596" ht="15" customHeight="1">
      <c r="B596" s="105" t="n">
        <v>585</v>
      </c>
      <c r="C596" s="105" t="inlineStr">
        <is>
          <t>Produto</t>
        </is>
      </c>
      <c r="D596" s="106" t="inlineStr">
        <is>
          <t>Chuteira de campo premium azul tam. GG</t>
        </is>
      </c>
      <c r="E596" s="107" t="n">
        <v>330.93</v>
      </c>
      <c r="F596" s="108" t="n">
        <v>50</v>
      </c>
      <c r="G596" s="107">
        <f>ROUND(E596*(1+IF(ABS(F596)&lt;=1,F596,F596/100)),2)</f>
        <v/>
      </c>
      <c r="H596" s="105" t="n">
        <v>15</v>
      </c>
      <c r="I596" s="105" t="n">
        <v>5</v>
      </c>
      <c r="J596" s="105">
        <f>IF(OR(UPPER(C596)="SERVIÇO",UPPER(C596)="SERVICO"),"SERVIÇO",IF(H596&lt;=0,"ZERADO",IF(H596&lt;=I596,"ESTOQUE BAIXO","NORMAL")))</f>
        <v/>
      </c>
      <c r="K596" s="107">
        <f>IF(OR(UPPER(C596)="SERVIÇO",UPPER(C596)="SERVICO"),0,N(H596)*N(E596))</f>
        <v/>
      </c>
      <c r="L596" s="107">
        <f>IF(OR(UPPER(C596)="SERVIÇO",UPPER(C596)="SERVICO"),0,N(H596)*N(G596))</f>
        <v/>
      </c>
      <c r="M596" s="107">
        <f>IF(OR(UPPER(C596)="SERVIÇO",UPPER(C596)="SERVICO"),0,L596-K596)</f>
        <v/>
      </c>
    </row>
    <row r="597" ht="15" customHeight="1">
      <c r="B597" s="105" t="n">
        <v>586</v>
      </c>
      <c r="C597" s="105" t="inlineStr">
        <is>
          <t>Produto</t>
        </is>
      </c>
      <c r="D597" s="106" t="inlineStr">
        <is>
          <t>Saco de pancadas iniciante preto</t>
        </is>
      </c>
      <c r="E597" s="107" t="n">
        <v>679.55</v>
      </c>
      <c r="F597" s="108" t="n">
        <v>50</v>
      </c>
      <c r="G597" s="107">
        <f>ROUND(E597*(1+IF(ABS(F597)&lt;=1,F597,F597/100)),2)</f>
        <v/>
      </c>
      <c r="H597" s="105" t="n">
        <v>15</v>
      </c>
      <c r="I597" s="105" t="n">
        <v>5</v>
      </c>
      <c r="J597" s="105">
        <f>IF(OR(UPPER(C597)="SERVIÇO",UPPER(C597)="SERVICO"),"SERVIÇO",IF(H597&lt;=0,"ZERADO",IF(H597&lt;=I597,"ESTOQUE BAIXO","NORMAL")))</f>
        <v/>
      </c>
      <c r="K597" s="107">
        <f>IF(OR(UPPER(C597)="SERVIÇO",UPPER(C597)="SERVICO"),0,N(H597)*N(E597))</f>
        <v/>
      </c>
      <c r="L597" s="107">
        <f>IF(OR(UPPER(C597)="SERVIÇO",UPPER(C597)="SERVICO"),0,N(H597)*N(G597))</f>
        <v/>
      </c>
      <c r="M597" s="107">
        <f>IF(OR(UPPER(C597)="SERVIÇO",UPPER(C597)="SERVICO"),0,L597-K597)</f>
        <v/>
      </c>
    </row>
    <row r="598" ht="15" customHeight="1">
      <c r="B598" s="105" t="n">
        <v>587</v>
      </c>
      <c r="C598" s="105" t="inlineStr">
        <is>
          <t>Produto</t>
        </is>
      </c>
      <c r="D598" s="106" t="inlineStr">
        <is>
          <t>Prancha de natação reforçado verde</t>
        </is>
      </c>
      <c r="E598" s="107" t="n">
        <v>85.25</v>
      </c>
      <c r="F598" s="108" t="n">
        <v>50</v>
      </c>
      <c r="G598" s="107">
        <f>ROUND(E598*(1+IF(ABS(F598)&lt;=1,F598,F598/100)),2)</f>
        <v/>
      </c>
      <c r="H598" s="105" t="n">
        <v>15</v>
      </c>
      <c r="I598" s="105" t="n">
        <v>5</v>
      </c>
      <c r="J598" s="105">
        <f>IF(OR(UPPER(C598)="SERVIÇO",UPPER(C598)="SERVICO"),"SERVIÇO",IF(H598&lt;=0,"ZERADO",IF(H598&lt;=I598,"ESTOQUE BAIXO","NORMAL")))</f>
        <v/>
      </c>
      <c r="K598" s="107">
        <f>IF(OR(UPPER(C598)="SERVIÇO",UPPER(C598)="SERVICO"),0,N(H598)*N(E598))</f>
        <v/>
      </c>
      <c r="L598" s="107">
        <f>IF(OR(UPPER(C598)="SERVIÇO",UPPER(C598)="SERVICO"),0,N(H598)*N(G598))</f>
        <v/>
      </c>
      <c r="M598" s="107">
        <f>IF(OR(UPPER(C598)="SERVIÇO",UPPER(C598)="SERVICO"),0,L598-K598)</f>
        <v/>
      </c>
    </row>
    <row r="599" ht="15" customHeight="1">
      <c r="B599" s="105" t="n">
        <v>588</v>
      </c>
      <c r="C599" s="105" t="inlineStr">
        <is>
          <t>Produto</t>
        </is>
      </c>
      <c r="D599" s="106" t="inlineStr">
        <is>
          <t>Garrafa squeeze compacto rosa</t>
        </is>
      </c>
      <c r="E599" s="107" t="n">
        <v>28.62</v>
      </c>
      <c r="F599" s="108" t="n">
        <v>50</v>
      </c>
      <c r="G599" s="107">
        <f>ROUND(E599*(1+IF(ABS(F599)&lt;=1,F599,F599/100)),2)</f>
        <v/>
      </c>
      <c r="H599" s="105" t="n">
        <v>15</v>
      </c>
      <c r="I599" s="105" t="n">
        <v>5</v>
      </c>
      <c r="J599" s="105">
        <f>IF(OR(UPPER(C599)="SERVIÇO",UPPER(C599)="SERVICO"),"SERVIÇO",IF(H599&lt;=0,"ZERADO",IF(H599&lt;=I599,"ESTOQUE BAIXO","NORMAL")))</f>
        <v/>
      </c>
      <c r="K599" s="107">
        <f>IF(OR(UPPER(C599)="SERVIÇO",UPPER(C599)="SERVICO"),0,N(H599)*N(E599))</f>
        <v/>
      </c>
      <c r="L599" s="107">
        <f>IF(OR(UPPER(C599)="SERVIÇO",UPPER(C599)="SERVICO"),0,N(H599)*N(G599))</f>
        <v/>
      </c>
      <c r="M599" s="107">
        <f>IF(OR(UPPER(C599)="SERVIÇO",UPPER(C599)="SERVICO"),0,L599-K599)</f>
        <v/>
      </c>
    </row>
    <row r="600" ht="15" customHeight="1">
      <c r="B600" s="105" t="n">
        <v>589</v>
      </c>
      <c r="C600" s="105" t="inlineStr">
        <is>
          <t>Produto</t>
        </is>
      </c>
      <c r="D600" s="106" t="inlineStr">
        <is>
          <t>Meias esportivas versão 2026 azul tam. 42</t>
        </is>
      </c>
      <c r="E600" s="107" t="n">
        <v>37.93</v>
      </c>
      <c r="F600" s="108" t="n">
        <v>50</v>
      </c>
      <c r="G600" s="107">
        <f>ROUND(E600*(1+IF(ABS(F600)&lt;=1,F600,F600/100)),2)</f>
        <v/>
      </c>
      <c r="H600" s="105" t="n">
        <v>15</v>
      </c>
      <c r="I600" s="105" t="n">
        <v>5</v>
      </c>
      <c r="J600" s="105">
        <f>IF(OR(UPPER(C600)="SERVIÇO",UPPER(C600)="SERVICO"),"SERVIÇO",IF(H600&lt;=0,"ZERADO",IF(H600&lt;=I600,"ESTOQUE BAIXO","NORMAL")))</f>
        <v/>
      </c>
      <c r="K600" s="107">
        <f>IF(OR(UPPER(C600)="SERVIÇO",UPPER(C600)="SERVICO"),0,N(H600)*N(E600))</f>
        <v/>
      </c>
      <c r="L600" s="107">
        <f>IF(OR(UPPER(C600)="SERVIÇO",UPPER(C600)="SERVICO"),0,N(H600)*N(G600))</f>
        <v/>
      </c>
      <c r="M600" s="107">
        <f>IF(OR(UPPER(C600)="SERVIÇO",UPPER(C600)="SERVICO"),0,L600-K600)</f>
        <v/>
      </c>
    </row>
    <row r="601" ht="15" customHeight="1">
      <c r="B601" s="105" t="n">
        <v>590</v>
      </c>
      <c r="C601" s="105" t="inlineStr">
        <is>
          <t>Produto</t>
        </is>
      </c>
      <c r="D601" s="106" t="inlineStr">
        <is>
          <t>Bola de futebol modelo básico vermelho</t>
        </is>
      </c>
      <c r="E601" s="107" t="n">
        <v>87.97</v>
      </c>
      <c r="F601" s="108" t="n">
        <v>50</v>
      </c>
      <c r="G601" s="107">
        <f>ROUND(E601*(1+IF(ABS(F601)&lt;=1,F601,F601/100)),2)</f>
        <v/>
      </c>
      <c r="H601" s="105" t="n">
        <v>15</v>
      </c>
      <c r="I601" s="105" t="n">
        <v>5</v>
      </c>
      <c r="J601" s="105">
        <f>IF(OR(UPPER(C601)="SERVIÇO",UPPER(C601)="SERVICO"),"SERVIÇO",IF(H601&lt;=0,"ZERADO",IF(H601&lt;=I601,"ESTOQUE BAIXO","NORMAL")))</f>
        <v/>
      </c>
      <c r="K601" s="107">
        <f>IF(OR(UPPER(C601)="SERVIÇO",UPPER(C601)="SERVICO"),0,N(H601)*N(E601))</f>
        <v/>
      </c>
      <c r="L601" s="107">
        <f>IF(OR(UPPER(C601)="SERVIÇO",UPPER(C601)="SERVICO"),0,N(H601)*N(G601))</f>
        <v/>
      </c>
      <c r="M601" s="107">
        <f>IF(OR(UPPER(C601)="SERVIÇO",UPPER(C601)="SERVICO"),0,L601-K601)</f>
        <v/>
      </c>
    </row>
    <row r="602" ht="15" customHeight="1">
      <c r="B602" s="105" t="n">
        <v>591</v>
      </c>
      <c r="C602" s="105" t="inlineStr">
        <is>
          <t>Produto</t>
        </is>
      </c>
      <c r="D602" s="106" t="inlineStr">
        <is>
          <t>Protetor bucal modelo avançado vermelho</t>
        </is>
      </c>
      <c r="E602" s="107" t="n">
        <v>47.84</v>
      </c>
      <c r="F602" s="108" t="n">
        <v>50</v>
      </c>
      <c r="G602" s="107">
        <f>ROUND(E602*(1+IF(ABS(F602)&lt;=1,F602,F602/100)),2)</f>
        <v/>
      </c>
      <c r="H602" s="105" t="n">
        <v>15</v>
      </c>
      <c r="I602" s="105" t="n">
        <v>5</v>
      </c>
      <c r="J602" s="105">
        <f>IF(OR(UPPER(C602)="SERVIÇO",UPPER(C602)="SERVICO"),"SERVIÇO",IF(H602&lt;=0,"ZERADO",IF(H602&lt;=I602,"ESTOQUE BAIXO","NORMAL")))</f>
        <v/>
      </c>
      <c r="K602" s="107">
        <f>IF(OR(UPPER(C602)="SERVIÇO",UPPER(C602)="SERVICO"),0,N(H602)*N(E602))</f>
        <v/>
      </c>
      <c r="L602" s="107">
        <f>IF(OR(UPPER(C602)="SERVIÇO",UPPER(C602)="SERVICO"),0,N(H602)*N(G602))</f>
        <v/>
      </c>
      <c r="M602" s="107">
        <f>IF(OR(UPPER(C602)="SERVIÇO",UPPER(C602)="SERVICO"),0,L602-K602)</f>
        <v/>
      </c>
    </row>
    <row r="603" ht="15" customHeight="1">
      <c r="B603" s="105" t="n">
        <v>592</v>
      </c>
      <c r="C603" s="105" t="inlineStr">
        <is>
          <t>Produto</t>
        </is>
      </c>
      <c r="D603" s="106" t="inlineStr">
        <is>
          <t>Banco de musculação adulto azul</t>
        </is>
      </c>
      <c r="E603" s="107" t="n">
        <v>198.15</v>
      </c>
      <c r="F603" s="108" t="n">
        <v>50</v>
      </c>
      <c r="G603" s="107">
        <f>ROUND(E603*(1+IF(ABS(F603)&lt;=1,F603,F603/100)),2)</f>
        <v/>
      </c>
      <c r="H603" s="105" t="n">
        <v>15</v>
      </c>
      <c r="I603" s="105" t="n">
        <v>5</v>
      </c>
      <c r="J603" s="105">
        <f>IF(OR(UPPER(C603)="SERVIÇO",UPPER(C603)="SERVICO"),"SERVIÇO",IF(H603&lt;=0,"ZERADO",IF(H603&lt;=I603,"ESTOQUE BAIXO","NORMAL")))</f>
        <v/>
      </c>
      <c r="K603" s="107">
        <f>IF(OR(UPPER(C603)="SERVIÇO",UPPER(C603)="SERVICO"),0,N(H603)*N(E603))</f>
        <v/>
      </c>
      <c r="L603" s="107">
        <f>IF(OR(UPPER(C603)="SERVIÇO",UPPER(C603)="SERVICO"),0,N(H603)*N(G603))</f>
        <v/>
      </c>
      <c r="M603" s="107">
        <f>IF(OR(UPPER(C603)="SERVIÇO",UPPER(C603)="SERVICO"),0,L603-K603)</f>
        <v/>
      </c>
    </row>
    <row r="604" ht="15" customHeight="1">
      <c r="B604" s="105" t="n">
        <v>593</v>
      </c>
      <c r="C604" s="105" t="inlineStr">
        <is>
          <t>Produto</t>
        </is>
      </c>
      <c r="D604" s="106" t="inlineStr">
        <is>
          <t>Calça legging juvenil laranja tam. 42</t>
        </is>
      </c>
      <c r="E604" s="107" t="n">
        <v>72.91</v>
      </c>
      <c r="F604" s="108" t="n">
        <v>50</v>
      </c>
      <c r="G604" s="107">
        <f>ROUND(E604*(1+IF(ABS(F604)&lt;=1,F604,F604/100)),2)</f>
        <v/>
      </c>
      <c r="H604" s="105" t="n">
        <v>15</v>
      </c>
      <c r="I604" s="105" t="n">
        <v>5</v>
      </c>
      <c r="J604" s="105">
        <f>IF(OR(UPPER(C604)="SERVIÇO",UPPER(C604)="SERVICO"),"SERVIÇO",IF(H604&lt;=0,"ZERADO",IF(H604&lt;=I604,"ESTOQUE BAIXO","NORMAL")))</f>
        <v/>
      </c>
      <c r="K604" s="107">
        <f>IF(OR(UPPER(C604)="SERVIÇO",UPPER(C604)="SERVICO"),0,N(H604)*N(E604))</f>
        <v/>
      </c>
      <c r="L604" s="107">
        <f>IF(OR(UPPER(C604)="SERVIÇO",UPPER(C604)="SERVICO"),0,N(H604)*N(G604))</f>
        <v/>
      </c>
      <c r="M604" s="107">
        <f>IF(OR(UPPER(C604)="SERVIÇO",UPPER(C604)="SERVICO"),0,L604-K604)</f>
        <v/>
      </c>
    </row>
    <row r="605" ht="15" customHeight="1">
      <c r="B605" s="105" t="n">
        <v>594</v>
      </c>
      <c r="C605" s="105" t="inlineStr">
        <is>
          <t>Produto</t>
        </is>
      </c>
      <c r="D605" s="106" t="inlineStr">
        <is>
          <t>Patins alta performance laranja</t>
        </is>
      </c>
      <c r="E605" s="107" t="n">
        <v>583.13</v>
      </c>
      <c r="F605" s="108" t="n">
        <v>50</v>
      </c>
      <c r="G605" s="107">
        <f>ROUND(E605*(1+IF(ABS(F605)&lt;=1,F605,F605/100)),2)</f>
        <v/>
      </c>
      <c r="H605" s="105" t="n">
        <v>15</v>
      </c>
      <c r="I605" s="105" t="n">
        <v>5</v>
      </c>
      <c r="J605" s="105">
        <f>IF(OR(UPPER(C605)="SERVIÇO",UPPER(C605)="SERVICO"),"SERVIÇO",IF(H605&lt;=0,"ZERADO",IF(H605&lt;=I605,"ESTOQUE BAIXO","NORMAL")))</f>
        <v/>
      </c>
      <c r="K605" s="107">
        <f>IF(OR(UPPER(C605)="SERVIÇO",UPPER(C605)="SERVICO"),0,N(H605)*N(E605))</f>
        <v/>
      </c>
      <c r="L605" s="107">
        <f>IF(OR(UPPER(C605)="SERVIÇO",UPPER(C605)="SERVICO"),0,N(H605)*N(G605))</f>
        <v/>
      </c>
      <c r="M605" s="107">
        <f>IF(OR(UPPER(C605)="SERVIÇO",UPPER(C605)="SERVICO"),0,L605-K605)</f>
        <v/>
      </c>
    </row>
    <row r="606" ht="15" customHeight="1">
      <c r="B606" s="105" t="n">
        <v>595</v>
      </c>
      <c r="C606" s="105" t="inlineStr">
        <is>
          <t>Produto</t>
        </is>
      </c>
      <c r="D606" s="106" t="inlineStr">
        <is>
          <t>Raquete de badminton ventilado vermelho</t>
        </is>
      </c>
      <c r="E606" s="107" t="n">
        <v>88.20999999999999</v>
      </c>
      <c r="F606" s="108" t="n">
        <v>50</v>
      </c>
      <c r="G606" s="107">
        <f>ROUND(E606*(1+IF(ABS(F606)&lt;=1,F606,F606/100)),2)</f>
        <v/>
      </c>
      <c r="H606" s="105" t="n">
        <v>15</v>
      </c>
      <c r="I606" s="105" t="n">
        <v>5</v>
      </c>
      <c r="J606" s="105">
        <f>IF(OR(UPPER(C606)="SERVIÇO",UPPER(C606)="SERVICO"),"SERVIÇO",IF(H606&lt;=0,"ZERADO",IF(H606&lt;=I606,"ESTOQUE BAIXO","NORMAL")))</f>
        <v/>
      </c>
      <c r="K606" s="107">
        <f>IF(OR(UPPER(C606)="SERVIÇO",UPPER(C606)="SERVICO"),0,N(H606)*N(E606))</f>
        <v/>
      </c>
      <c r="L606" s="107">
        <f>IF(OR(UPPER(C606)="SERVIÇO",UPPER(C606)="SERVICO"),0,N(H606)*N(G606))</f>
        <v/>
      </c>
      <c r="M606" s="107">
        <f>IF(OR(UPPER(C606)="SERVIÇO",UPPER(C606)="SERVICO"),0,L606-K606)</f>
        <v/>
      </c>
    </row>
    <row r="607" ht="15" customHeight="1">
      <c r="B607" s="105" t="n">
        <v>596</v>
      </c>
      <c r="C607" s="105" t="inlineStr">
        <is>
          <t>Produto</t>
        </is>
      </c>
      <c r="D607" s="106" t="inlineStr">
        <is>
          <t>Coqueteleira resistente verde</t>
        </is>
      </c>
      <c r="E607" s="107" t="n">
        <v>52.86</v>
      </c>
      <c r="F607" s="108" t="n">
        <v>50</v>
      </c>
      <c r="G607" s="107">
        <f>ROUND(E607*(1+IF(ABS(F607)&lt;=1,F607,F607/100)),2)</f>
        <v/>
      </c>
      <c r="H607" s="105" t="n">
        <v>15</v>
      </c>
      <c r="I607" s="105" t="n">
        <v>5</v>
      </c>
      <c r="J607" s="105">
        <f>IF(OR(UPPER(C607)="SERVIÇO",UPPER(C607)="SERVICO"),"SERVIÇO",IF(H607&lt;=0,"ZERADO",IF(H607&lt;=I607,"ESTOQUE BAIXO","NORMAL")))</f>
        <v/>
      </c>
      <c r="K607" s="107">
        <f>IF(OR(UPPER(C607)="SERVIÇO",UPPER(C607)="SERVICO"),0,N(H607)*N(E607))</f>
        <v/>
      </c>
      <c r="L607" s="107">
        <f>IF(OR(UPPER(C607)="SERVIÇO",UPPER(C607)="SERVICO"),0,N(H607)*N(G607))</f>
        <v/>
      </c>
      <c r="M607" s="107">
        <f>IF(OR(UPPER(C607)="SERVIÇO",UPPER(C607)="SERVICO"),0,L607-K607)</f>
        <v/>
      </c>
    </row>
    <row r="608" ht="15" customHeight="1">
      <c r="B608" s="105" t="n">
        <v>597</v>
      </c>
      <c r="C608" s="105" t="inlineStr">
        <is>
          <t>Produto</t>
        </is>
      </c>
      <c r="D608" s="106" t="inlineStr">
        <is>
          <t>Chuteira society modelo básico laranja tam. 44</t>
        </is>
      </c>
      <c r="E608" s="107" t="n">
        <v>288.29</v>
      </c>
      <c r="F608" s="108" t="n">
        <v>50</v>
      </c>
      <c r="G608" s="107">
        <f>ROUND(E608*(1+IF(ABS(F608)&lt;=1,F608,F608/100)),2)</f>
        <v/>
      </c>
      <c r="H608" s="105" t="n">
        <v>15</v>
      </c>
      <c r="I608" s="105" t="n">
        <v>5</v>
      </c>
      <c r="J608" s="105">
        <f>IF(OR(UPPER(C608)="SERVIÇO",UPPER(C608)="SERVICO"),"SERVIÇO",IF(H608&lt;=0,"ZERADO",IF(H608&lt;=I608,"ESTOQUE BAIXO","NORMAL")))</f>
        <v/>
      </c>
      <c r="K608" s="107">
        <f>IF(OR(UPPER(C608)="SERVIÇO",UPPER(C608)="SERVICO"),0,N(H608)*N(E608))</f>
        <v/>
      </c>
      <c r="L608" s="107">
        <f>IF(OR(UPPER(C608)="SERVIÇO",UPPER(C608)="SERVICO"),0,N(H608)*N(G608))</f>
        <v/>
      </c>
      <c r="M608" s="107">
        <f>IF(OR(UPPER(C608)="SERVIÇO",UPPER(C608)="SERVICO"),0,L608-K608)</f>
        <v/>
      </c>
    </row>
    <row r="609" ht="15" customHeight="1">
      <c r="B609" s="105" t="n">
        <v>598</v>
      </c>
      <c r="C609" s="105" t="inlineStr">
        <is>
          <t>Produto</t>
        </is>
      </c>
      <c r="D609" s="106" t="inlineStr">
        <is>
          <t>Óculos de natação iniciante laranja</t>
        </is>
      </c>
      <c r="E609" s="107" t="n">
        <v>112.67</v>
      </c>
      <c r="F609" s="108" t="n">
        <v>50</v>
      </c>
      <c r="G609" s="107">
        <f>ROUND(E609*(1+IF(ABS(F609)&lt;=1,F609,F609/100)),2)</f>
        <v/>
      </c>
      <c r="H609" s="105" t="n">
        <v>15</v>
      </c>
      <c r="I609" s="105" t="n">
        <v>5</v>
      </c>
      <c r="J609" s="105">
        <f>IF(OR(UPPER(C609)="SERVIÇO",UPPER(C609)="SERVICO"),"SERVIÇO",IF(H609&lt;=0,"ZERADO",IF(H609&lt;=I609,"ESTOQUE BAIXO","NORMAL")))</f>
        <v/>
      </c>
      <c r="K609" s="107">
        <f>IF(OR(UPPER(C609)="SERVIÇO",UPPER(C609)="SERVICO"),0,N(H609)*N(E609))</f>
        <v/>
      </c>
      <c r="L609" s="107">
        <f>IF(OR(UPPER(C609)="SERVIÇO",UPPER(C609)="SERVICO"),0,N(H609)*N(G609))</f>
        <v/>
      </c>
      <c r="M609" s="107">
        <f>IF(OR(UPPER(C609)="SERVIÇO",UPPER(C609)="SERVICO"),0,L609-K609)</f>
        <v/>
      </c>
    </row>
    <row r="610" ht="15" customHeight="1">
      <c r="B610" s="105" t="n">
        <v>599</v>
      </c>
      <c r="C610" s="105" t="inlineStr">
        <is>
          <t>Produto</t>
        </is>
      </c>
      <c r="D610" s="106" t="inlineStr">
        <is>
          <t>Meias esportivas compacto azul tam. 38</t>
        </is>
      </c>
      <c r="E610" s="107" t="n">
        <v>10.12</v>
      </c>
      <c r="F610" s="108" t="n">
        <v>50</v>
      </c>
      <c r="G610" s="107">
        <f>ROUND(E610*(1+IF(ABS(F610)&lt;=1,F610,F610/100)),2)</f>
        <v/>
      </c>
      <c r="H610" s="105" t="n">
        <v>15</v>
      </c>
      <c r="I610" s="105" t="n">
        <v>5</v>
      </c>
      <c r="J610" s="105">
        <f>IF(OR(UPPER(C610)="SERVIÇO",UPPER(C610)="SERVICO"),"SERVIÇO",IF(H610&lt;=0,"ZERADO",IF(H610&lt;=I610,"ESTOQUE BAIXO","NORMAL")))</f>
        <v/>
      </c>
      <c r="K610" s="107">
        <f>IF(OR(UPPER(C610)="SERVIÇO",UPPER(C610)="SERVICO"),0,N(H610)*N(E610))</f>
        <v/>
      </c>
      <c r="L610" s="107">
        <f>IF(OR(UPPER(C610)="SERVIÇO",UPPER(C610)="SERVICO"),0,N(H610)*N(G610))</f>
        <v/>
      </c>
      <c r="M610" s="107">
        <f>IF(OR(UPPER(C610)="SERVIÇO",UPPER(C610)="SERVICO"),0,L610-K610)</f>
        <v/>
      </c>
    </row>
    <row r="611" ht="15" customHeight="1">
      <c r="B611" s="105" t="n">
        <v>600</v>
      </c>
      <c r="C611" s="105" t="inlineStr">
        <is>
          <t>Produto</t>
        </is>
      </c>
      <c r="D611" s="106" t="inlineStr">
        <is>
          <t>Kimono de judô juvenil cinza tam. G</t>
        </is>
      </c>
      <c r="E611" s="107" t="n">
        <v>95.77</v>
      </c>
      <c r="F611" s="108" t="n">
        <v>50</v>
      </c>
      <c r="G611" s="107">
        <f>ROUND(E611*(1+IF(ABS(F611)&lt;=1,F611,F611/100)),2)</f>
        <v/>
      </c>
      <c r="H611" s="105" t="n">
        <v>15</v>
      </c>
      <c r="I611" s="105" t="n">
        <v>5</v>
      </c>
      <c r="J611" s="105">
        <f>IF(OR(UPPER(C611)="SERVIÇO",UPPER(C611)="SERVICO"),"SERVIÇO",IF(H611&lt;=0,"ZERADO",IF(H611&lt;=I611,"ESTOQUE BAIXO","NORMAL")))</f>
        <v/>
      </c>
      <c r="K611" s="107">
        <f>IF(OR(UPPER(C611)="SERVIÇO",UPPER(C611)="SERVICO"),0,N(H611)*N(E611))</f>
        <v/>
      </c>
      <c r="L611" s="107">
        <f>IF(OR(UPPER(C611)="SERVIÇO",UPPER(C611)="SERVICO"),0,N(H611)*N(G611))</f>
        <v/>
      </c>
      <c r="M611" s="107">
        <f>IF(OR(UPPER(C611)="SERVIÇO",UPPER(C611)="SERVICO"),0,L611-K611)</f>
        <v/>
      </c>
    </row>
    <row r="612" ht="15" customHeight="1">
      <c r="B612" s="105" t="n">
        <v>601</v>
      </c>
      <c r="C612" s="105" t="inlineStr">
        <is>
          <t>Produto</t>
        </is>
      </c>
      <c r="D612" s="106" t="inlineStr">
        <is>
          <t>Patins adulto vermelho</t>
        </is>
      </c>
      <c r="E612" s="107" t="n">
        <v>447.57</v>
      </c>
      <c r="F612" s="108" t="n">
        <v>50</v>
      </c>
      <c r="G612" s="107">
        <f>ROUND(E612*(1+IF(ABS(F612)&lt;=1,F612,F612/100)),2)</f>
        <v/>
      </c>
      <c r="H612" s="105" t="n">
        <v>15</v>
      </c>
      <c r="I612" s="105" t="n">
        <v>5</v>
      </c>
      <c r="J612" s="105">
        <f>IF(OR(UPPER(C612)="SERVIÇO",UPPER(C612)="SERVICO"),"SERVIÇO",IF(H612&lt;=0,"ZERADO",IF(H612&lt;=I612,"ESTOQUE BAIXO","NORMAL")))</f>
        <v/>
      </c>
      <c r="K612" s="107">
        <f>IF(OR(UPPER(C612)="SERVIÇO",UPPER(C612)="SERVICO"),0,N(H612)*N(E612))</f>
        <v/>
      </c>
      <c r="L612" s="107">
        <f>IF(OR(UPPER(C612)="SERVIÇO",UPPER(C612)="SERVICO"),0,N(H612)*N(G612))</f>
        <v/>
      </c>
      <c r="M612" s="107">
        <f>IF(OR(UPPER(C612)="SERVIÇO",UPPER(C612)="SERVICO"),0,L612-K612)</f>
        <v/>
      </c>
    </row>
    <row r="613" ht="15" customHeight="1">
      <c r="B613" s="105" t="n">
        <v>602</v>
      </c>
      <c r="C613" s="105" t="inlineStr">
        <is>
          <t>Produto</t>
        </is>
      </c>
      <c r="D613" s="106" t="inlineStr">
        <is>
          <t>Colchonete de exercício resistente cinza</t>
        </is>
      </c>
      <c r="E613" s="107" t="n">
        <v>39.97</v>
      </c>
      <c r="F613" s="108" t="n">
        <v>50</v>
      </c>
      <c r="G613" s="107">
        <f>ROUND(E613*(1+IF(ABS(F613)&lt;=1,F613,F613/100)),2)</f>
        <v/>
      </c>
      <c r="H613" s="105" t="n">
        <v>15</v>
      </c>
      <c r="I613" s="105" t="n">
        <v>5</v>
      </c>
      <c r="J613" s="105">
        <f>IF(OR(UPPER(C613)="SERVIÇO",UPPER(C613)="SERVICO"),"SERVIÇO",IF(H613&lt;=0,"ZERADO",IF(H613&lt;=I613,"ESTOQUE BAIXO","NORMAL")))</f>
        <v/>
      </c>
      <c r="K613" s="107">
        <f>IF(OR(UPPER(C613)="SERVIÇO",UPPER(C613)="SERVICO"),0,N(H613)*N(E613))</f>
        <v/>
      </c>
      <c r="L613" s="107">
        <f>IF(OR(UPPER(C613)="SERVIÇO",UPPER(C613)="SERVICO"),0,N(H613)*N(G613))</f>
        <v/>
      </c>
      <c r="M613" s="107">
        <f>IF(OR(UPPER(C613)="SERVIÇO",UPPER(C613)="SERVICO"),0,L613-K613)</f>
        <v/>
      </c>
    </row>
    <row r="614" ht="15" customHeight="1">
      <c r="B614" s="105" t="n">
        <v>603</v>
      </c>
      <c r="C614" s="105" t="inlineStr">
        <is>
          <t>Produto</t>
        </is>
      </c>
      <c r="D614" s="106" t="inlineStr">
        <is>
          <t>Chuteira de campo treino preto tam. 36</t>
        </is>
      </c>
      <c r="E614" s="107" t="n">
        <v>449.66</v>
      </c>
      <c r="F614" s="108" t="n">
        <v>50</v>
      </c>
      <c r="G614" s="107">
        <f>ROUND(E614*(1+IF(ABS(F614)&lt;=1,F614,F614/100)),2)</f>
        <v/>
      </c>
      <c r="H614" s="105" t="n">
        <v>15</v>
      </c>
      <c r="I614" s="105" t="n">
        <v>5</v>
      </c>
      <c r="J614" s="105">
        <f>IF(OR(UPPER(C614)="SERVIÇO",UPPER(C614)="SERVICO"),"SERVIÇO",IF(H614&lt;=0,"ZERADO",IF(H614&lt;=I614,"ESTOQUE BAIXO","NORMAL")))</f>
        <v/>
      </c>
      <c r="K614" s="107">
        <f>IF(OR(UPPER(C614)="SERVIÇO",UPPER(C614)="SERVICO"),0,N(H614)*N(E614))</f>
        <v/>
      </c>
      <c r="L614" s="107">
        <f>IF(OR(UPPER(C614)="SERVIÇO",UPPER(C614)="SERVICO"),0,N(H614)*N(G614))</f>
        <v/>
      </c>
      <c r="M614" s="107">
        <f>IF(OR(UPPER(C614)="SERVIÇO",UPPER(C614)="SERVICO"),0,L614-K614)</f>
        <v/>
      </c>
    </row>
    <row r="615" ht="15" customHeight="1">
      <c r="B615" s="105" t="n">
        <v>604</v>
      </c>
      <c r="C615" s="105" t="inlineStr">
        <is>
          <t>Produto</t>
        </is>
      </c>
      <c r="D615" s="106" t="inlineStr">
        <is>
          <t>Bolsa de academia profissional cinza</t>
        </is>
      </c>
      <c r="E615" s="107" t="n">
        <v>136.79</v>
      </c>
      <c r="F615" s="108" t="n">
        <v>50</v>
      </c>
      <c r="G615" s="107">
        <f>ROUND(E615*(1+IF(ABS(F615)&lt;=1,F615,F615/100)),2)</f>
        <v/>
      </c>
      <c r="H615" s="105" t="n">
        <v>15</v>
      </c>
      <c r="I615" s="105" t="n">
        <v>5</v>
      </c>
      <c r="J615" s="105">
        <f>IF(OR(UPPER(C615)="SERVIÇO",UPPER(C615)="SERVICO"),"SERVIÇO",IF(H615&lt;=0,"ZERADO",IF(H615&lt;=I615,"ESTOQUE BAIXO","NORMAL")))</f>
        <v/>
      </c>
      <c r="K615" s="107">
        <f>IF(OR(UPPER(C615)="SERVIÇO",UPPER(C615)="SERVICO"),0,N(H615)*N(E615))</f>
        <v/>
      </c>
      <c r="L615" s="107">
        <f>IF(OR(UPPER(C615)="SERVIÇO",UPPER(C615)="SERVICO"),0,N(H615)*N(G615))</f>
        <v/>
      </c>
      <c r="M615" s="107">
        <f>IF(OR(UPPER(C615)="SERVIÇO",UPPER(C615)="SERVICO"),0,L615-K615)</f>
        <v/>
      </c>
    </row>
    <row r="616" ht="15" customHeight="1">
      <c r="B616" s="105" t="n">
        <v>605</v>
      </c>
      <c r="C616" s="105" t="inlineStr">
        <is>
          <t>Produto</t>
        </is>
      </c>
      <c r="D616" s="106" t="inlineStr">
        <is>
          <t>Protetor bucal ergonômico rosa</t>
        </is>
      </c>
      <c r="E616" s="107" t="n">
        <v>34.99</v>
      </c>
      <c r="F616" s="108" t="n">
        <v>50</v>
      </c>
      <c r="G616" s="107">
        <f>ROUND(E616*(1+IF(ABS(F616)&lt;=1,F616,F616/100)),2)</f>
        <v/>
      </c>
      <c r="H616" s="105" t="n">
        <v>15</v>
      </c>
      <c r="I616" s="105" t="n">
        <v>5</v>
      </c>
      <c r="J616" s="105">
        <f>IF(OR(UPPER(C616)="SERVIÇO",UPPER(C616)="SERVICO"),"SERVIÇO",IF(H616&lt;=0,"ZERADO",IF(H616&lt;=I616,"ESTOQUE BAIXO","NORMAL")))</f>
        <v/>
      </c>
      <c r="K616" s="107">
        <f>IF(OR(UPPER(C616)="SERVIÇO",UPPER(C616)="SERVICO"),0,N(H616)*N(E616))</f>
        <v/>
      </c>
      <c r="L616" s="107">
        <f>IF(OR(UPPER(C616)="SERVIÇO",UPPER(C616)="SERVICO"),0,N(H616)*N(G616))</f>
        <v/>
      </c>
      <c r="M616" s="107">
        <f>IF(OR(UPPER(C616)="SERVIÇO",UPPER(C616)="SERVICO"),0,L616-K616)</f>
        <v/>
      </c>
    </row>
    <row r="617" ht="15" customHeight="1">
      <c r="B617" s="105" t="n">
        <v>606</v>
      </c>
      <c r="C617" s="105" t="inlineStr">
        <is>
          <t>Produto</t>
        </is>
      </c>
      <c r="D617" s="106" t="inlineStr">
        <is>
          <t>Raquete de tênis unissex vermelho tam. 36</t>
        </is>
      </c>
      <c r="E617" s="107" t="n">
        <v>130.39</v>
      </c>
      <c r="F617" s="108" t="n">
        <v>50</v>
      </c>
      <c r="G617" s="107">
        <f>ROUND(E617*(1+IF(ABS(F617)&lt;=1,F617,F617/100)),2)</f>
        <v/>
      </c>
      <c r="H617" s="105" t="n">
        <v>15</v>
      </c>
      <c r="I617" s="105" t="n">
        <v>5</v>
      </c>
      <c r="J617" s="105">
        <f>IF(OR(UPPER(C617)="SERVIÇO",UPPER(C617)="SERVICO"),"SERVIÇO",IF(H617&lt;=0,"ZERADO",IF(H617&lt;=I617,"ESTOQUE BAIXO","NORMAL")))</f>
        <v/>
      </c>
      <c r="K617" s="107">
        <f>IF(OR(UPPER(C617)="SERVIÇO",UPPER(C617)="SERVICO"),0,N(H617)*N(E617))</f>
        <v/>
      </c>
      <c r="L617" s="107">
        <f>IF(OR(UPPER(C617)="SERVIÇO",UPPER(C617)="SERVICO"),0,N(H617)*N(G617))</f>
        <v/>
      </c>
      <c r="M617" s="107">
        <f>IF(OR(UPPER(C617)="SERVIÇO",UPPER(C617)="SERVICO"),0,L617-K617)</f>
        <v/>
      </c>
    </row>
    <row r="618" ht="15" customHeight="1">
      <c r="B618" s="105" t="n">
        <v>607</v>
      </c>
      <c r="C618" s="105" t="inlineStr">
        <is>
          <t>Produto</t>
        </is>
      </c>
      <c r="D618" s="106" t="inlineStr">
        <is>
          <t>Banco de musculação unissex azul</t>
        </is>
      </c>
      <c r="E618" s="107" t="n">
        <v>481.43</v>
      </c>
      <c r="F618" s="108" t="n">
        <v>50</v>
      </c>
      <c r="G618" s="107">
        <f>ROUND(E618*(1+IF(ABS(F618)&lt;=1,F618,F618/100)),2)</f>
        <v/>
      </c>
      <c r="H618" s="105" t="n">
        <v>15</v>
      </c>
      <c r="I618" s="105" t="n">
        <v>5</v>
      </c>
      <c r="J618" s="105">
        <f>IF(OR(UPPER(C618)="SERVIÇO",UPPER(C618)="SERVICO"),"SERVIÇO",IF(H618&lt;=0,"ZERADO",IF(H618&lt;=I618,"ESTOQUE BAIXO","NORMAL")))</f>
        <v/>
      </c>
      <c r="K618" s="107">
        <f>IF(OR(UPPER(C618)="SERVIÇO",UPPER(C618)="SERVICO"),0,N(H618)*N(E618))</f>
        <v/>
      </c>
      <c r="L618" s="107">
        <f>IF(OR(UPPER(C618)="SERVIÇO",UPPER(C618)="SERVICO"),0,N(H618)*N(G618))</f>
        <v/>
      </c>
      <c r="M618" s="107">
        <f>IF(OR(UPPER(C618)="SERVIÇO",UPPER(C618)="SERVICO"),0,L618-K618)</f>
        <v/>
      </c>
    </row>
    <row r="619" ht="15" customHeight="1">
      <c r="B619" s="105" t="n">
        <v>608</v>
      </c>
      <c r="C619" s="105" t="inlineStr">
        <is>
          <t>Produto</t>
        </is>
      </c>
      <c r="D619" s="106" t="inlineStr">
        <is>
          <t>Relógio esportivo juvenil preto</t>
        </is>
      </c>
      <c r="E619" s="107" t="n">
        <v>412.09</v>
      </c>
      <c r="F619" s="108" t="n">
        <v>50</v>
      </c>
      <c r="G619" s="107">
        <f>ROUND(E619*(1+IF(ABS(F619)&lt;=1,F619,F619/100)),2)</f>
        <v/>
      </c>
      <c r="H619" s="105" t="n">
        <v>15</v>
      </c>
      <c r="I619" s="105" t="n">
        <v>5</v>
      </c>
      <c r="J619" s="105">
        <f>IF(OR(UPPER(C619)="SERVIÇO",UPPER(C619)="SERVICO"),"SERVIÇO",IF(H619&lt;=0,"ZERADO",IF(H619&lt;=I619,"ESTOQUE BAIXO","NORMAL")))</f>
        <v/>
      </c>
      <c r="K619" s="107">
        <f>IF(OR(UPPER(C619)="SERVIÇO",UPPER(C619)="SERVICO"),0,N(H619)*N(E619))</f>
        <v/>
      </c>
      <c r="L619" s="107">
        <f>IF(OR(UPPER(C619)="SERVIÇO",UPPER(C619)="SERVICO"),0,N(H619)*N(G619))</f>
        <v/>
      </c>
      <c r="M619" s="107">
        <f>IF(OR(UPPER(C619)="SERVIÇO",UPPER(C619)="SERVICO"),0,L619-K619)</f>
        <v/>
      </c>
    </row>
    <row r="620" ht="15" customHeight="1">
      <c r="B620" s="105" t="n">
        <v>609</v>
      </c>
      <c r="C620" s="105" t="inlineStr">
        <is>
          <t>Produto</t>
        </is>
      </c>
      <c r="D620" s="106" t="inlineStr">
        <is>
          <t>Luva de ciclismo para uso diário vermelho tam. G</t>
        </is>
      </c>
      <c r="E620" s="107" t="n">
        <v>112.92</v>
      </c>
      <c r="F620" s="108" t="n">
        <v>50</v>
      </c>
      <c r="G620" s="107">
        <f>ROUND(E620*(1+IF(ABS(F620)&lt;=1,F620,F620/100)),2)</f>
        <v/>
      </c>
      <c r="H620" s="105" t="n">
        <v>15</v>
      </c>
      <c r="I620" s="105" t="n">
        <v>5</v>
      </c>
      <c r="J620" s="105">
        <f>IF(OR(UPPER(C620)="SERVIÇO",UPPER(C620)="SERVICO"),"SERVIÇO",IF(H620&lt;=0,"ZERADO",IF(H620&lt;=I620,"ESTOQUE BAIXO","NORMAL")))</f>
        <v/>
      </c>
      <c r="K620" s="107">
        <f>IF(OR(UPPER(C620)="SERVIÇO",UPPER(C620)="SERVICO"),0,N(H620)*N(E620))</f>
        <v/>
      </c>
      <c r="L620" s="107">
        <f>IF(OR(UPPER(C620)="SERVIÇO",UPPER(C620)="SERVICO"),0,N(H620)*N(G620))</f>
        <v/>
      </c>
      <c r="M620" s="107">
        <f>IF(OR(UPPER(C620)="SERVIÇO",UPPER(C620)="SERVICO"),0,L620-K620)</f>
        <v/>
      </c>
    </row>
    <row r="621" ht="15" customHeight="1">
      <c r="B621" s="105" t="n">
        <v>610</v>
      </c>
      <c r="C621" s="105" t="inlineStr">
        <is>
          <t>Produto</t>
        </is>
      </c>
      <c r="D621" s="106" t="inlineStr">
        <is>
          <t>Bola de vôlei alta performance verde</t>
        </is>
      </c>
      <c r="E621" s="107" t="n">
        <v>50.97</v>
      </c>
      <c r="F621" s="108" t="n">
        <v>50</v>
      </c>
      <c r="G621" s="107">
        <f>ROUND(E621*(1+IF(ABS(F621)&lt;=1,F621,F621/100)),2)</f>
        <v/>
      </c>
      <c r="H621" s="105" t="n">
        <v>15</v>
      </c>
      <c r="I621" s="105" t="n">
        <v>5</v>
      </c>
      <c r="J621" s="105">
        <f>IF(OR(UPPER(C621)="SERVIÇO",UPPER(C621)="SERVICO"),"SERVIÇO",IF(H621&lt;=0,"ZERADO",IF(H621&lt;=I621,"ESTOQUE BAIXO","NORMAL")))</f>
        <v/>
      </c>
      <c r="K621" s="107">
        <f>IF(OR(UPPER(C621)="SERVIÇO",UPPER(C621)="SERVICO"),0,N(H621)*N(E621))</f>
        <v/>
      </c>
      <c r="L621" s="107">
        <f>IF(OR(UPPER(C621)="SERVIÇO",UPPER(C621)="SERVICO"),0,N(H621)*N(G621))</f>
        <v/>
      </c>
      <c r="M621" s="107">
        <f>IF(OR(UPPER(C621)="SERVIÇO",UPPER(C621)="SERVICO"),0,L621-K621)</f>
        <v/>
      </c>
    </row>
    <row r="622" ht="15" customHeight="1">
      <c r="B622" s="105" t="n">
        <v>611</v>
      </c>
      <c r="C622" s="105" t="inlineStr">
        <is>
          <t>Produto</t>
        </is>
      </c>
      <c r="D622" s="106" t="inlineStr">
        <is>
          <t>Corda de pular premium azul</t>
        </is>
      </c>
      <c r="E622" s="107" t="n">
        <v>55.24</v>
      </c>
      <c r="F622" s="108" t="n">
        <v>50</v>
      </c>
      <c r="G622" s="107">
        <f>ROUND(E622*(1+IF(ABS(F622)&lt;=1,F622,F622/100)),2)</f>
        <v/>
      </c>
      <c r="H622" s="105" t="n">
        <v>15</v>
      </c>
      <c r="I622" s="105" t="n">
        <v>5</v>
      </c>
      <c r="J622" s="105">
        <f>IF(OR(UPPER(C622)="SERVIÇO",UPPER(C622)="SERVICO"),"SERVIÇO",IF(H622&lt;=0,"ZERADO",IF(H622&lt;=I622,"ESTOQUE BAIXO","NORMAL")))</f>
        <v/>
      </c>
      <c r="K622" s="107">
        <f>IF(OR(UPPER(C622)="SERVIÇO",UPPER(C622)="SERVICO"),0,N(H622)*N(E622))</f>
        <v/>
      </c>
      <c r="L622" s="107">
        <f>IF(OR(UPPER(C622)="SERVIÇO",UPPER(C622)="SERVICO"),0,N(H622)*N(G622))</f>
        <v/>
      </c>
      <c r="M622" s="107">
        <f>IF(OR(UPPER(C622)="SERVIÇO",UPPER(C622)="SERVICO"),0,L622-K622)</f>
        <v/>
      </c>
    </row>
    <row r="623" ht="15" customHeight="1">
      <c r="B623" s="105" t="n">
        <v>612</v>
      </c>
      <c r="C623" s="105" t="inlineStr">
        <is>
          <t>Produto</t>
        </is>
      </c>
      <c r="D623" s="106" t="inlineStr">
        <is>
          <t>Tênis para quadra juvenil vermelho tam. GG</t>
        </is>
      </c>
      <c r="E623" s="107" t="n">
        <v>401.29</v>
      </c>
      <c r="F623" s="108" t="n">
        <v>50</v>
      </c>
      <c r="G623" s="107">
        <f>ROUND(E623*(1+IF(ABS(F623)&lt;=1,F623,F623/100)),2)</f>
        <v/>
      </c>
      <c r="H623" s="105" t="n">
        <v>15</v>
      </c>
      <c r="I623" s="105" t="n">
        <v>5</v>
      </c>
      <c r="J623" s="105">
        <f>IF(OR(UPPER(C623)="SERVIÇO",UPPER(C623)="SERVICO"),"SERVIÇO",IF(H623&lt;=0,"ZERADO",IF(H623&lt;=I623,"ESTOQUE BAIXO","NORMAL")))</f>
        <v/>
      </c>
      <c r="K623" s="107">
        <f>IF(OR(UPPER(C623)="SERVIÇO",UPPER(C623)="SERVICO"),0,N(H623)*N(E623))</f>
        <v/>
      </c>
      <c r="L623" s="107">
        <f>IF(OR(UPPER(C623)="SERVIÇO",UPPER(C623)="SERVICO"),0,N(H623)*N(G623))</f>
        <v/>
      </c>
      <c r="M623" s="107">
        <f>IF(OR(UPPER(C623)="SERVIÇO",UPPER(C623)="SERVICO"),0,L623-K623)</f>
        <v/>
      </c>
    </row>
    <row r="624" ht="15" customHeight="1">
      <c r="B624" s="105" t="n">
        <v>613</v>
      </c>
      <c r="C624" s="105" t="inlineStr">
        <is>
          <t>Produto</t>
        </is>
      </c>
      <c r="D624" s="106" t="inlineStr">
        <is>
          <t>Bola de vôlei profissional rosa</t>
        </is>
      </c>
      <c r="E624" s="107" t="n">
        <v>96.68000000000001</v>
      </c>
      <c r="F624" s="108" t="n">
        <v>50</v>
      </c>
      <c r="G624" s="107">
        <f>ROUND(E624*(1+IF(ABS(F624)&lt;=1,F624,F624/100)),2)</f>
        <v/>
      </c>
      <c r="H624" s="105" t="n">
        <v>15</v>
      </c>
      <c r="I624" s="105" t="n">
        <v>5</v>
      </c>
      <c r="J624" s="105">
        <f>IF(OR(UPPER(C624)="SERVIÇO",UPPER(C624)="SERVICO"),"SERVIÇO",IF(H624&lt;=0,"ZERADO",IF(H624&lt;=I624,"ESTOQUE BAIXO","NORMAL")))</f>
        <v/>
      </c>
      <c r="K624" s="107">
        <f>IF(OR(UPPER(C624)="SERVIÇO",UPPER(C624)="SERVICO"),0,N(H624)*N(E624))</f>
        <v/>
      </c>
      <c r="L624" s="107">
        <f>IF(OR(UPPER(C624)="SERVIÇO",UPPER(C624)="SERVICO"),0,N(H624)*N(G624))</f>
        <v/>
      </c>
      <c r="M624" s="107">
        <f>IF(OR(UPPER(C624)="SERVIÇO",UPPER(C624)="SERVICO"),0,L624-K624)</f>
        <v/>
      </c>
    </row>
    <row r="625" ht="15" customHeight="1">
      <c r="B625" s="105" t="n">
        <v>614</v>
      </c>
      <c r="C625" s="105" t="inlineStr">
        <is>
          <t>Produto</t>
        </is>
      </c>
      <c r="D625" s="106" t="inlineStr">
        <is>
          <t>Banco de musculação modelo básico azul</t>
        </is>
      </c>
      <c r="E625" s="107" t="n">
        <v>910.02</v>
      </c>
      <c r="F625" s="108" t="n">
        <v>50</v>
      </c>
      <c r="G625" s="107">
        <f>ROUND(E625*(1+IF(ABS(F625)&lt;=1,F625,F625/100)),2)</f>
        <v/>
      </c>
      <c r="H625" s="105" t="n">
        <v>15</v>
      </c>
      <c r="I625" s="105" t="n">
        <v>5</v>
      </c>
      <c r="J625" s="105">
        <f>IF(OR(UPPER(C625)="SERVIÇO",UPPER(C625)="SERVICO"),"SERVIÇO",IF(H625&lt;=0,"ZERADO",IF(H625&lt;=I625,"ESTOQUE BAIXO","NORMAL")))</f>
        <v/>
      </c>
      <c r="K625" s="107">
        <f>IF(OR(UPPER(C625)="SERVIÇO",UPPER(C625)="SERVICO"),0,N(H625)*N(E625))</f>
        <v/>
      </c>
      <c r="L625" s="107">
        <f>IF(OR(UPPER(C625)="SERVIÇO",UPPER(C625)="SERVICO"),0,N(H625)*N(G625))</f>
        <v/>
      </c>
      <c r="M625" s="107">
        <f>IF(OR(UPPER(C625)="SERVIÇO",UPPER(C625)="SERVICO"),0,L625-K625)</f>
        <v/>
      </c>
    </row>
    <row r="626" ht="15" customHeight="1">
      <c r="B626" s="105" t="n">
        <v>615</v>
      </c>
      <c r="C626" s="105" t="inlineStr">
        <is>
          <t>Produto</t>
        </is>
      </c>
      <c r="D626" s="106" t="inlineStr">
        <is>
          <t>Bola de futebol reforçado cinza</t>
        </is>
      </c>
      <c r="E626" s="107" t="n">
        <v>114.51</v>
      </c>
      <c r="F626" s="108" t="n">
        <v>50</v>
      </c>
      <c r="G626" s="107">
        <f>ROUND(E626*(1+IF(ABS(F626)&lt;=1,F626,F626/100)),2)</f>
        <v/>
      </c>
      <c r="H626" s="105" t="n">
        <v>15</v>
      </c>
      <c r="I626" s="105" t="n">
        <v>5</v>
      </c>
      <c r="J626" s="105">
        <f>IF(OR(UPPER(C626)="SERVIÇO",UPPER(C626)="SERVICO"),"SERVIÇO",IF(H626&lt;=0,"ZERADO",IF(H626&lt;=I626,"ESTOQUE BAIXO","NORMAL")))</f>
        <v/>
      </c>
      <c r="K626" s="107">
        <f>IF(OR(UPPER(C626)="SERVIÇO",UPPER(C626)="SERVICO"),0,N(H626)*N(E626))</f>
        <v/>
      </c>
      <c r="L626" s="107">
        <f>IF(OR(UPPER(C626)="SERVIÇO",UPPER(C626)="SERVICO"),0,N(H626)*N(G626))</f>
        <v/>
      </c>
      <c r="M626" s="107">
        <f>IF(OR(UPPER(C626)="SERVIÇO",UPPER(C626)="SERVICO"),0,L626-K626)</f>
        <v/>
      </c>
    </row>
    <row r="627" ht="15" customHeight="1">
      <c r="B627" s="105" t="n">
        <v>616</v>
      </c>
      <c r="C627" s="105" t="inlineStr">
        <is>
          <t>Produto</t>
        </is>
      </c>
      <c r="D627" s="106" t="inlineStr">
        <is>
          <t>Coqueteleira compacto rosa</t>
        </is>
      </c>
      <c r="E627" s="107" t="n">
        <v>27.41</v>
      </c>
      <c r="F627" s="108" t="n">
        <v>50</v>
      </c>
      <c r="G627" s="107">
        <f>ROUND(E627*(1+IF(ABS(F627)&lt;=1,F627,F627/100)),2)</f>
        <v/>
      </c>
      <c r="H627" s="105" t="n">
        <v>15</v>
      </c>
      <c r="I627" s="105" t="n">
        <v>5</v>
      </c>
      <c r="J627" s="105">
        <f>IF(OR(UPPER(C627)="SERVIÇO",UPPER(C627)="SERVICO"),"SERVIÇO",IF(H627&lt;=0,"ZERADO",IF(H627&lt;=I627,"ESTOQUE BAIXO","NORMAL")))</f>
        <v/>
      </c>
      <c r="K627" s="107">
        <f>IF(OR(UPPER(C627)="SERVIÇO",UPPER(C627)="SERVICO"),0,N(H627)*N(E627))</f>
        <v/>
      </c>
      <c r="L627" s="107">
        <f>IF(OR(UPPER(C627)="SERVIÇO",UPPER(C627)="SERVICO"),0,N(H627)*N(G627))</f>
        <v/>
      </c>
      <c r="M627" s="107">
        <f>IF(OR(UPPER(C627)="SERVIÇO",UPPER(C627)="SERVICO"),0,L627-K627)</f>
        <v/>
      </c>
    </row>
    <row r="628" ht="15" customHeight="1">
      <c r="B628" s="105" t="n">
        <v>617</v>
      </c>
      <c r="C628" s="105" t="inlineStr">
        <is>
          <t>Produto</t>
        </is>
      </c>
      <c r="D628" s="106" t="inlineStr">
        <is>
          <t>Óculos esportivos ventilado verde</t>
        </is>
      </c>
      <c r="E628" s="107" t="n">
        <v>83.56</v>
      </c>
      <c r="F628" s="108" t="n">
        <v>50</v>
      </c>
      <c r="G628" s="107">
        <f>ROUND(E628*(1+IF(ABS(F628)&lt;=1,F628,F628/100)),2)</f>
        <v/>
      </c>
      <c r="H628" s="105" t="n">
        <v>15</v>
      </c>
      <c r="I628" s="105" t="n">
        <v>5</v>
      </c>
      <c r="J628" s="105">
        <f>IF(OR(UPPER(C628)="SERVIÇO",UPPER(C628)="SERVICO"),"SERVIÇO",IF(H628&lt;=0,"ZERADO",IF(H628&lt;=I628,"ESTOQUE BAIXO","NORMAL")))</f>
        <v/>
      </c>
      <c r="K628" s="107">
        <f>IF(OR(UPPER(C628)="SERVIÇO",UPPER(C628)="SERVICO"),0,N(H628)*N(E628))</f>
        <v/>
      </c>
      <c r="L628" s="107">
        <f>IF(OR(UPPER(C628)="SERVIÇO",UPPER(C628)="SERVICO"),0,N(H628)*N(G628))</f>
        <v/>
      </c>
      <c r="M628" s="107">
        <f>IF(OR(UPPER(C628)="SERVIÇO",UPPER(C628)="SERVICO"),0,L628-K628)</f>
        <v/>
      </c>
    </row>
    <row r="629" ht="15" customHeight="1">
      <c r="B629" s="105" t="n">
        <v>618</v>
      </c>
      <c r="C629" s="105" t="inlineStr">
        <is>
          <t>Produto</t>
        </is>
      </c>
      <c r="D629" s="106" t="inlineStr">
        <is>
          <t>Corda de pular compacto branco</t>
        </is>
      </c>
      <c r="E629" s="107" t="n">
        <v>60.45</v>
      </c>
      <c r="F629" s="108" t="n">
        <v>50</v>
      </c>
      <c r="G629" s="107">
        <f>ROUND(E629*(1+IF(ABS(F629)&lt;=1,F629,F629/100)),2)</f>
        <v/>
      </c>
      <c r="H629" s="105" t="n">
        <v>15</v>
      </c>
      <c r="I629" s="105" t="n">
        <v>5</v>
      </c>
      <c r="J629" s="105">
        <f>IF(OR(UPPER(C629)="SERVIÇO",UPPER(C629)="SERVICO"),"SERVIÇO",IF(H629&lt;=0,"ZERADO",IF(H629&lt;=I629,"ESTOQUE BAIXO","NORMAL")))</f>
        <v/>
      </c>
      <c r="K629" s="107">
        <f>IF(OR(UPPER(C629)="SERVIÇO",UPPER(C629)="SERVICO"),0,N(H629)*N(E629))</f>
        <v/>
      </c>
      <c r="L629" s="107">
        <f>IF(OR(UPPER(C629)="SERVIÇO",UPPER(C629)="SERVICO"),0,N(H629)*N(G629))</f>
        <v/>
      </c>
      <c r="M629" s="107">
        <f>IF(OR(UPPER(C629)="SERVIÇO",UPPER(C629)="SERVICO"),0,L629-K629)</f>
        <v/>
      </c>
    </row>
    <row r="630" ht="15" customHeight="1">
      <c r="B630" s="105" t="n">
        <v>619</v>
      </c>
      <c r="C630" s="105" t="inlineStr">
        <is>
          <t>Produto</t>
        </is>
      </c>
      <c r="D630" s="106" t="inlineStr">
        <is>
          <t>Skate modelo básico preto</t>
        </is>
      </c>
      <c r="E630" s="107" t="n">
        <v>476.99</v>
      </c>
      <c r="F630" s="108" t="n">
        <v>50</v>
      </c>
      <c r="G630" s="107">
        <f>ROUND(E630*(1+IF(ABS(F630)&lt;=1,F630,F630/100)),2)</f>
        <v/>
      </c>
      <c r="H630" s="105" t="n">
        <v>15</v>
      </c>
      <c r="I630" s="105" t="n">
        <v>5</v>
      </c>
      <c r="J630" s="105">
        <f>IF(OR(UPPER(C630)="SERVIÇO",UPPER(C630)="SERVICO"),"SERVIÇO",IF(H630&lt;=0,"ZERADO",IF(H630&lt;=I630,"ESTOQUE BAIXO","NORMAL")))</f>
        <v/>
      </c>
      <c r="K630" s="107">
        <f>IF(OR(UPPER(C630)="SERVIÇO",UPPER(C630)="SERVICO"),0,N(H630)*N(E630))</f>
        <v/>
      </c>
      <c r="L630" s="107">
        <f>IF(OR(UPPER(C630)="SERVIÇO",UPPER(C630)="SERVICO"),0,N(H630)*N(G630))</f>
        <v/>
      </c>
      <c r="M630" s="107">
        <f>IF(OR(UPPER(C630)="SERVIÇO",UPPER(C630)="SERVICO"),0,L630-K630)</f>
        <v/>
      </c>
    </row>
    <row r="631" ht="15" customHeight="1">
      <c r="B631" s="105" t="n">
        <v>620</v>
      </c>
      <c r="C631" s="105" t="inlineStr">
        <is>
          <t>Produto</t>
        </is>
      </c>
      <c r="D631" s="106" t="inlineStr">
        <is>
          <t>Bloco para yoga treino verde</t>
        </is>
      </c>
      <c r="E631" s="107" t="n">
        <v>29.6</v>
      </c>
      <c r="F631" s="108" t="n">
        <v>50</v>
      </c>
      <c r="G631" s="107">
        <f>ROUND(E631*(1+IF(ABS(F631)&lt;=1,F631,F631/100)),2)</f>
        <v/>
      </c>
      <c r="H631" s="105" t="n">
        <v>15</v>
      </c>
      <c r="I631" s="105" t="n">
        <v>5</v>
      </c>
      <c r="J631" s="105">
        <f>IF(OR(UPPER(C631)="SERVIÇO",UPPER(C631)="SERVICO"),"SERVIÇO",IF(H631&lt;=0,"ZERADO",IF(H631&lt;=I631,"ESTOQUE BAIXO","NORMAL")))</f>
        <v/>
      </c>
      <c r="K631" s="107">
        <f>IF(OR(UPPER(C631)="SERVIÇO",UPPER(C631)="SERVICO"),0,N(H631)*N(E631))</f>
        <v/>
      </c>
      <c r="L631" s="107">
        <f>IF(OR(UPPER(C631)="SERVIÇO",UPPER(C631)="SERVICO"),0,N(H631)*N(G631))</f>
        <v/>
      </c>
      <c r="M631" s="107">
        <f>IF(OR(UPPER(C631)="SERVIÇO",UPPER(C631)="SERVICO"),0,L631-K631)</f>
        <v/>
      </c>
    </row>
    <row r="632" ht="15" customHeight="1">
      <c r="B632" s="105" t="n">
        <v>621</v>
      </c>
      <c r="C632" s="105" t="inlineStr">
        <is>
          <t>Produto</t>
        </is>
      </c>
      <c r="D632" s="106" t="inlineStr">
        <is>
          <t>Meias esportivas ergonômico preto tam. G</t>
        </is>
      </c>
      <c r="E632" s="107" t="n">
        <v>31.56</v>
      </c>
      <c r="F632" s="108" t="n">
        <v>50</v>
      </c>
      <c r="G632" s="107">
        <f>ROUND(E632*(1+IF(ABS(F632)&lt;=1,F632,F632/100)),2)</f>
        <v/>
      </c>
      <c r="H632" s="105" t="n">
        <v>15</v>
      </c>
      <c r="I632" s="105" t="n">
        <v>5</v>
      </c>
      <c r="J632" s="105">
        <f>IF(OR(UPPER(C632)="SERVIÇO",UPPER(C632)="SERVICO"),"SERVIÇO",IF(H632&lt;=0,"ZERADO",IF(H632&lt;=I632,"ESTOQUE BAIXO","NORMAL")))</f>
        <v/>
      </c>
      <c r="K632" s="107">
        <f>IF(OR(UPPER(C632)="SERVIÇO",UPPER(C632)="SERVICO"),0,N(H632)*N(E632))</f>
        <v/>
      </c>
      <c r="L632" s="107">
        <f>IF(OR(UPPER(C632)="SERVIÇO",UPPER(C632)="SERVICO"),0,N(H632)*N(G632))</f>
        <v/>
      </c>
      <c r="M632" s="107">
        <f>IF(OR(UPPER(C632)="SERVIÇO",UPPER(C632)="SERVICO"),0,L632-K632)</f>
        <v/>
      </c>
    </row>
    <row r="633" ht="15" customHeight="1">
      <c r="B633" s="105" t="n">
        <v>622</v>
      </c>
      <c r="C633" s="105" t="inlineStr">
        <is>
          <t>Produto</t>
        </is>
      </c>
      <c r="D633" s="106" t="inlineStr">
        <is>
          <t>Raquete de badminton compacto laranja</t>
        </is>
      </c>
      <c r="E633" s="107" t="n">
        <v>177.12</v>
      </c>
      <c r="F633" s="108" t="n">
        <v>50</v>
      </c>
      <c r="G633" s="107">
        <f>ROUND(E633*(1+IF(ABS(F633)&lt;=1,F633,F633/100)),2)</f>
        <v/>
      </c>
      <c r="H633" s="105" t="n">
        <v>15</v>
      </c>
      <c r="I633" s="105" t="n">
        <v>5</v>
      </c>
      <c r="J633" s="105">
        <f>IF(OR(UPPER(C633)="SERVIÇO",UPPER(C633)="SERVICO"),"SERVIÇO",IF(H633&lt;=0,"ZERADO",IF(H633&lt;=I633,"ESTOQUE BAIXO","NORMAL")))</f>
        <v/>
      </c>
      <c r="K633" s="107">
        <f>IF(OR(UPPER(C633)="SERVIÇO",UPPER(C633)="SERVICO"),0,N(H633)*N(E633))</f>
        <v/>
      </c>
      <c r="L633" s="107">
        <f>IF(OR(UPPER(C633)="SERVIÇO",UPPER(C633)="SERVICO"),0,N(H633)*N(G633))</f>
        <v/>
      </c>
      <c r="M633" s="107">
        <f>IF(OR(UPPER(C633)="SERVIÇO",UPPER(C633)="SERVICO"),0,L633-K633)</f>
        <v/>
      </c>
    </row>
    <row r="634" ht="15" customHeight="1">
      <c r="B634" s="105" t="n">
        <v>623</v>
      </c>
      <c r="C634" s="105" t="inlineStr">
        <is>
          <t>Produto</t>
        </is>
      </c>
      <c r="D634" s="106" t="inlineStr">
        <is>
          <t>Tapete de yoga profissional azul</t>
        </is>
      </c>
      <c r="E634" s="107" t="n">
        <v>102.79</v>
      </c>
      <c r="F634" s="108" t="n">
        <v>50</v>
      </c>
      <c r="G634" s="107">
        <f>ROUND(E634*(1+IF(ABS(F634)&lt;=1,F634,F634/100)),2)</f>
        <v/>
      </c>
      <c r="H634" s="105" t="n">
        <v>15</v>
      </c>
      <c r="I634" s="105" t="n">
        <v>5</v>
      </c>
      <c r="J634" s="105">
        <f>IF(OR(UPPER(C634)="SERVIÇO",UPPER(C634)="SERVICO"),"SERVIÇO",IF(H634&lt;=0,"ZERADO",IF(H634&lt;=I634,"ESTOQUE BAIXO","NORMAL")))</f>
        <v/>
      </c>
      <c r="K634" s="107">
        <f>IF(OR(UPPER(C634)="SERVIÇO",UPPER(C634)="SERVICO"),0,N(H634)*N(E634))</f>
        <v/>
      </c>
      <c r="L634" s="107">
        <f>IF(OR(UPPER(C634)="SERVIÇO",UPPER(C634)="SERVICO"),0,N(H634)*N(G634))</f>
        <v/>
      </c>
      <c r="M634" s="107">
        <f>IF(OR(UPPER(C634)="SERVIÇO",UPPER(C634)="SERVICO"),0,L634-K634)</f>
        <v/>
      </c>
    </row>
    <row r="635" ht="15" customHeight="1">
      <c r="B635" s="105" t="n">
        <v>624</v>
      </c>
      <c r="C635" s="105" t="inlineStr">
        <is>
          <t>Produto</t>
        </is>
      </c>
      <c r="D635" s="106" t="inlineStr">
        <is>
          <t>Touca de natação profissional preto tam. 38</t>
        </is>
      </c>
      <c r="E635" s="107" t="n">
        <v>42.73</v>
      </c>
      <c r="F635" s="108" t="n">
        <v>50</v>
      </c>
      <c r="G635" s="107">
        <f>ROUND(E635*(1+IF(ABS(F635)&lt;=1,F635,F635/100)),2)</f>
        <v/>
      </c>
      <c r="H635" s="105" t="n">
        <v>15</v>
      </c>
      <c r="I635" s="105" t="n">
        <v>5</v>
      </c>
      <c r="J635" s="105">
        <f>IF(OR(UPPER(C635)="SERVIÇO",UPPER(C635)="SERVICO"),"SERVIÇO",IF(H635&lt;=0,"ZERADO",IF(H635&lt;=I635,"ESTOQUE BAIXO","NORMAL")))</f>
        <v/>
      </c>
      <c r="K635" s="107">
        <f>IF(OR(UPPER(C635)="SERVIÇO",UPPER(C635)="SERVICO"),0,N(H635)*N(E635))</f>
        <v/>
      </c>
      <c r="L635" s="107">
        <f>IF(OR(UPPER(C635)="SERVIÇO",UPPER(C635)="SERVICO"),0,N(H635)*N(G635))</f>
        <v/>
      </c>
      <c r="M635" s="107">
        <f>IF(OR(UPPER(C635)="SERVIÇO",UPPER(C635)="SERVICO"),0,L635-K635)</f>
        <v/>
      </c>
    </row>
    <row r="636" ht="15" customHeight="1">
      <c r="B636" s="105" t="n">
        <v>625</v>
      </c>
      <c r="C636" s="105" t="inlineStr">
        <is>
          <t>Produto</t>
        </is>
      </c>
      <c r="D636" s="106" t="inlineStr">
        <is>
          <t>Chuteira de campo iniciante cinza tam. 36</t>
        </is>
      </c>
      <c r="E636" s="107" t="n">
        <v>505.33</v>
      </c>
      <c r="F636" s="108" t="n">
        <v>50</v>
      </c>
      <c r="G636" s="107">
        <f>ROUND(E636*(1+IF(ABS(F636)&lt;=1,F636,F636/100)),2)</f>
        <v/>
      </c>
      <c r="H636" s="105" t="n">
        <v>15</v>
      </c>
      <c r="I636" s="105" t="n">
        <v>5</v>
      </c>
      <c r="J636" s="105">
        <f>IF(OR(UPPER(C636)="SERVIÇO",UPPER(C636)="SERVICO"),"SERVIÇO",IF(H636&lt;=0,"ZERADO",IF(H636&lt;=I636,"ESTOQUE BAIXO","NORMAL")))</f>
        <v/>
      </c>
      <c r="K636" s="107">
        <f>IF(OR(UPPER(C636)="SERVIÇO",UPPER(C636)="SERVICO"),0,N(H636)*N(E636))</f>
        <v/>
      </c>
      <c r="L636" s="107">
        <f>IF(OR(UPPER(C636)="SERVIÇO",UPPER(C636)="SERVICO"),0,N(H636)*N(G636))</f>
        <v/>
      </c>
      <c r="M636" s="107">
        <f>IF(OR(UPPER(C636)="SERVIÇO",UPPER(C636)="SERVICO"),0,L636-K636)</f>
        <v/>
      </c>
    </row>
    <row r="637" ht="15" customHeight="1">
      <c r="B637" s="105" t="n">
        <v>626</v>
      </c>
      <c r="C637" s="105" t="inlineStr">
        <is>
          <t>Produto</t>
        </is>
      </c>
      <c r="D637" s="106" t="inlineStr">
        <is>
          <t>Elástico de resistência modelo básico rosa</t>
        </is>
      </c>
      <c r="E637" s="107" t="n">
        <v>21.94</v>
      </c>
      <c r="F637" s="108" t="n">
        <v>50</v>
      </c>
      <c r="G637" s="107">
        <f>ROUND(E637*(1+IF(ABS(F637)&lt;=1,F637,F637/100)),2)</f>
        <v/>
      </c>
      <c r="H637" s="105" t="n">
        <v>15</v>
      </c>
      <c r="I637" s="105" t="n">
        <v>5</v>
      </c>
      <c r="J637" s="105">
        <f>IF(OR(UPPER(C637)="SERVIÇO",UPPER(C637)="SERVICO"),"SERVIÇO",IF(H637&lt;=0,"ZERADO",IF(H637&lt;=I637,"ESTOQUE BAIXO","NORMAL")))</f>
        <v/>
      </c>
      <c r="K637" s="107">
        <f>IF(OR(UPPER(C637)="SERVIÇO",UPPER(C637)="SERVICO"),0,N(H637)*N(E637))</f>
        <v/>
      </c>
      <c r="L637" s="107">
        <f>IF(OR(UPPER(C637)="SERVIÇO",UPPER(C637)="SERVICO"),0,N(H637)*N(G637))</f>
        <v/>
      </c>
      <c r="M637" s="107">
        <f>IF(OR(UPPER(C637)="SERVIÇO",UPPER(C637)="SERVICO"),0,L637-K637)</f>
        <v/>
      </c>
    </row>
    <row r="638" ht="15" customHeight="1">
      <c r="B638" s="105" t="n">
        <v>627</v>
      </c>
      <c r="C638" s="105" t="inlineStr">
        <is>
          <t>Produto</t>
        </is>
      </c>
      <c r="D638" s="106" t="inlineStr">
        <is>
          <t>Raquete de beach tennis recreativo azul</t>
        </is>
      </c>
      <c r="E638" s="107" t="n">
        <v>187.04</v>
      </c>
      <c r="F638" s="108" t="n">
        <v>50</v>
      </c>
      <c r="G638" s="107">
        <f>ROUND(E638*(1+IF(ABS(F638)&lt;=1,F638,F638/100)),2)</f>
        <v/>
      </c>
      <c r="H638" s="105" t="n">
        <v>15</v>
      </c>
      <c r="I638" s="105" t="n">
        <v>5</v>
      </c>
      <c r="J638" s="105">
        <f>IF(OR(UPPER(C638)="SERVIÇO",UPPER(C638)="SERVICO"),"SERVIÇO",IF(H638&lt;=0,"ZERADO",IF(H638&lt;=I638,"ESTOQUE BAIXO","NORMAL")))</f>
        <v/>
      </c>
      <c r="K638" s="107">
        <f>IF(OR(UPPER(C638)="SERVIÇO",UPPER(C638)="SERVICO"),0,N(H638)*N(E638))</f>
        <v/>
      </c>
      <c r="L638" s="107">
        <f>IF(OR(UPPER(C638)="SERVIÇO",UPPER(C638)="SERVICO"),0,N(H638)*N(G638))</f>
        <v/>
      </c>
      <c r="M638" s="107">
        <f>IF(OR(UPPER(C638)="SERVIÇO",UPPER(C638)="SERVICO"),0,L638-K638)</f>
        <v/>
      </c>
    </row>
    <row r="639" ht="15" customHeight="1">
      <c r="B639" s="105" t="n">
        <v>628</v>
      </c>
      <c r="C639" s="105" t="inlineStr">
        <is>
          <t>Produto</t>
        </is>
      </c>
      <c r="D639" s="106" t="inlineStr">
        <is>
          <t>Camiseta esportiva com ajuste branco tam. 38</t>
        </is>
      </c>
      <c r="E639" s="107" t="n">
        <v>30.26</v>
      </c>
      <c r="F639" s="108" t="n">
        <v>50</v>
      </c>
      <c r="G639" s="107">
        <f>ROUND(E639*(1+IF(ABS(F639)&lt;=1,F639,F639/100)),2)</f>
        <v/>
      </c>
      <c r="H639" s="105" t="n">
        <v>15</v>
      </c>
      <c r="I639" s="105" t="n">
        <v>5</v>
      </c>
      <c r="J639" s="105">
        <f>IF(OR(UPPER(C639)="SERVIÇO",UPPER(C639)="SERVICO"),"SERVIÇO",IF(H639&lt;=0,"ZERADO",IF(H639&lt;=I639,"ESTOQUE BAIXO","NORMAL")))</f>
        <v/>
      </c>
      <c r="K639" s="107">
        <f>IF(OR(UPPER(C639)="SERVIÇO",UPPER(C639)="SERVICO"),0,N(H639)*N(E639))</f>
        <v/>
      </c>
      <c r="L639" s="107">
        <f>IF(OR(UPPER(C639)="SERVIÇO",UPPER(C639)="SERVICO"),0,N(H639)*N(G639))</f>
        <v/>
      </c>
      <c r="M639" s="107">
        <f>IF(OR(UPPER(C639)="SERVIÇO",UPPER(C639)="SERVICO"),0,L639-K639)</f>
        <v/>
      </c>
    </row>
    <row r="640" ht="15" customHeight="1">
      <c r="B640" s="105" t="n">
        <v>629</v>
      </c>
      <c r="C640" s="105" t="inlineStr">
        <is>
          <t>Produto</t>
        </is>
      </c>
      <c r="D640" s="106" t="inlineStr">
        <is>
          <t>Colchonete de exercício com ajuste cinza</t>
        </is>
      </c>
      <c r="E640" s="107" t="n">
        <v>68.42</v>
      </c>
      <c r="F640" s="108" t="n">
        <v>50</v>
      </c>
      <c r="G640" s="107">
        <f>ROUND(E640*(1+IF(ABS(F640)&lt;=1,F640,F640/100)),2)</f>
        <v/>
      </c>
      <c r="H640" s="105" t="n">
        <v>15</v>
      </c>
      <c r="I640" s="105" t="n">
        <v>5</v>
      </c>
      <c r="J640" s="105">
        <f>IF(OR(UPPER(C640)="SERVIÇO",UPPER(C640)="SERVICO"),"SERVIÇO",IF(H640&lt;=0,"ZERADO",IF(H640&lt;=I640,"ESTOQUE BAIXO","NORMAL")))</f>
        <v/>
      </c>
      <c r="K640" s="107">
        <f>IF(OR(UPPER(C640)="SERVIÇO",UPPER(C640)="SERVICO"),0,N(H640)*N(E640))</f>
        <v/>
      </c>
      <c r="L640" s="107">
        <f>IF(OR(UPPER(C640)="SERVIÇO",UPPER(C640)="SERVICO"),0,N(H640)*N(G640))</f>
        <v/>
      </c>
      <c r="M640" s="107">
        <f>IF(OR(UPPER(C640)="SERVIÇO",UPPER(C640)="SERVICO"),0,L640-K640)</f>
        <v/>
      </c>
    </row>
    <row r="641" ht="15" customHeight="1">
      <c r="B641" s="105" t="n">
        <v>630</v>
      </c>
      <c r="C641" s="105" t="inlineStr">
        <is>
          <t>Produto</t>
        </is>
      </c>
      <c r="D641" s="106" t="inlineStr">
        <is>
          <t>Tênis para quadra leve cinza tam. 44</t>
        </is>
      </c>
      <c r="E641" s="107" t="n">
        <v>94.15000000000001</v>
      </c>
      <c r="F641" s="108" t="n">
        <v>50</v>
      </c>
      <c r="G641" s="107">
        <f>ROUND(E641*(1+IF(ABS(F641)&lt;=1,F641,F641/100)),2)</f>
        <v/>
      </c>
      <c r="H641" s="105" t="n">
        <v>15</v>
      </c>
      <c r="I641" s="105" t="n">
        <v>5</v>
      </c>
      <c r="J641" s="105">
        <f>IF(OR(UPPER(C641)="SERVIÇO",UPPER(C641)="SERVICO"),"SERVIÇO",IF(H641&lt;=0,"ZERADO",IF(H641&lt;=I641,"ESTOQUE BAIXO","NORMAL")))</f>
        <v/>
      </c>
      <c r="K641" s="107">
        <f>IF(OR(UPPER(C641)="SERVIÇO",UPPER(C641)="SERVICO"),0,N(H641)*N(E641))</f>
        <v/>
      </c>
      <c r="L641" s="107">
        <f>IF(OR(UPPER(C641)="SERVIÇO",UPPER(C641)="SERVICO"),0,N(H641)*N(G641))</f>
        <v/>
      </c>
      <c r="M641" s="107">
        <f>IF(OR(UPPER(C641)="SERVIÇO",UPPER(C641)="SERVICO"),0,L641-K641)</f>
        <v/>
      </c>
    </row>
    <row r="642" ht="15" customHeight="1">
      <c r="B642" s="105" t="n">
        <v>631</v>
      </c>
      <c r="C642" s="105" t="inlineStr">
        <is>
          <t>Produto</t>
        </is>
      </c>
      <c r="D642" s="106" t="inlineStr">
        <is>
          <t>Halter profissional verde</t>
        </is>
      </c>
      <c r="E642" s="107" t="n">
        <v>145.58</v>
      </c>
      <c r="F642" s="108" t="n">
        <v>50</v>
      </c>
      <c r="G642" s="107">
        <f>ROUND(E642*(1+IF(ABS(F642)&lt;=1,F642,F642/100)),2)</f>
        <v/>
      </c>
      <c r="H642" s="105" t="n">
        <v>15</v>
      </c>
      <c r="I642" s="105" t="n">
        <v>5</v>
      </c>
      <c r="J642" s="105">
        <f>IF(OR(UPPER(C642)="SERVIÇO",UPPER(C642)="SERVICO"),"SERVIÇO",IF(H642&lt;=0,"ZERADO",IF(H642&lt;=I642,"ESTOQUE BAIXO","NORMAL")))</f>
        <v/>
      </c>
      <c r="K642" s="107">
        <f>IF(OR(UPPER(C642)="SERVIÇO",UPPER(C642)="SERVICO"),0,N(H642)*N(E642))</f>
        <v/>
      </c>
      <c r="L642" s="107">
        <f>IF(OR(UPPER(C642)="SERVIÇO",UPPER(C642)="SERVICO"),0,N(H642)*N(G642))</f>
        <v/>
      </c>
      <c r="M642" s="107">
        <f>IF(OR(UPPER(C642)="SERVIÇO",UPPER(C642)="SERVICO"),0,L642-K642)</f>
        <v/>
      </c>
    </row>
    <row r="643" ht="15" customHeight="1">
      <c r="B643" s="105" t="n">
        <v>632</v>
      </c>
      <c r="C643" s="105" t="inlineStr">
        <is>
          <t>Produto</t>
        </is>
      </c>
      <c r="D643" s="106" t="inlineStr">
        <is>
          <t>Elástico de resistência juvenil cinza</t>
        </is>
      </c>
      <c r="E643" s="107" t="n">
        <v>21.32</v>
      </c>
      <c r="F643" s="108" t="n">
        <v>50</v>
      </c>
      <c r="G643" s="107">
        <f>ROUND(E643*(1+IF(ABS(F643)&lt;=1,F643,F643/100)),2)</f>
        <v/>
      </c>
      <c r="H643" s="105" t="n">
        <v>15</v>
      </c>
      <c r="I643" s="105" t="n">
        <v>5</v>
      </c>
      <c r="J643" s="105">
        <f>IF(OR(UPPER(C643)="SERVIÇO",UPPER(C643)="SERVICO"),"SERVIÇO",IF(H643&lt;=0,"ZERADO",IF(H643&lt;=I643,"ESTOQUE BAIXO","NORMAL")))</f>
        <v/>
      </c>
      <c r="K643" s="107">
        <f>IF(OR(UPPER(C643)="SERVIÇO",UPPER(C643)="SERVICO"),0,N(H643)*N(E643))</f>
        <v/>
      </c>
      <c r="L643" s="107">
        <f>IF(OR(UPPER(C643)="SERVIÇO",UPPER(C643)="SERVICO"),0,N(H643)*N(G643))</f>
        <v/>
      </c>
      <c r="M643" s="107">
        <f>IF(OR(UPPER(C643)="SERVIÇO",UPPER(C643)="SERVICO"),0,L643-K643)</f>
        <v/>
      </c>
    </row>
    <row r="644" ht="15" customHeight="1">
      <c r="B644" s="105" t="n">
        <v>633</v>
      </c>
      <c r="C644" s="105" t="inlineStr">
        <is>
          <t>Produto</t>
        </is>
      </c>
      <c r="D644" s="106" t="inlineStr">
        <is>
          <t>Regata esportiva para uso diário rosa tam. 42</t>
        </is>
      </c>
      <c r="E644" s="107" t="n">
        <v>62.07</v>
      </c>
      <c r="F644" s="108" t="n">
        <v>50</v>
      </c>
      <c r="G644" s="107">
        <f>ROUND(E644*(1+IF(ABS(F644)&lt;=1,F644,F644/100)),2)</f>
        <v/>
      </c>
      <c r="H644" s="105" t="n">
        <v>15</v>
      </c>
      <c r="I644" s="105" t="n">
        <v>5</v>
      </c>
      <c r="J644" s="105">
        <f>IF(OR(UPPER(C644)="SERVIÇO",UPPER(C644)="SERVICO"),"SERVIÇO",IF(H644&lt;=0,"ZERADO",IF(H644&lt;=I644,"ESTOQUE BAIXO","NORMAL")))</f>
        <v/>
      </c>
      <c r="K644" s="107">
        <f>IF(OR(UPPER(C644)="SERVIÇO",UPPER(C644)="SERVICO"),0,N(H644)*N(E644))</f>
        <v/>
      </c>
      <c r="L644" s="107">
        <f>IF(OR(UPPER(C644)="SERVIÇO",UPPER(C644)="SERVICO"),0,N(H644)*N(G644))</f>
        <v/>
      </c>
      <c r="M644" s="107">
        <f>IF(OR(UPPER(C644)="SERVIÇO",UPPER(C644)="SERVICO"),0,L644-K644)</f>
        <v/>
      </c>
    </row>
    <row r="645" ht="15" customHeight="1">
      <c r="B645" s="105" t="n">
        <v>634</v>
      </c>
      <c r="C645" s="105" t="inlineStr">
        <is>
          <t>Produto</t>
        </is>
      </c>
      <c r="D645" s="106" t="inlineStr">
        <is>
          <t>Meias esportivas com ajuste azul tam. G</t>
        </is>
      </c>
      <c r="E645" s="107" t="n">
        <v>10.31</v>
      </c>
      <c r="F645" s="108" t="n">
        <v>50</v>
      </c>
      <c r="G645" s="107">
        <f>ROUND(E645*(1+IF(ABS(F645)&lt;=1,F645,F645/100)),2)</f>
        <v/>
      </c>
      <c r="H645" s="105" t="n">
        <v>15</v>
      </c>
      <c r="I645" s="105" t="n">
        <v>5</v>
      </c>
      <c r="J645" s="105">
        <f>IF(OR(UPPER(C645)="SERVIÇO",UPPER(C645)="SERVICO"),"SERVIÇO",IF(H645&lt;=0,"ZERADO",IF(H645&lt;=I645,"ESTOQUE BAIXO","NORMAL")))</f>
        <v/>
      </c>
      <c r="K645" s="107">
        <f>IF(OR(UPPER(C645)="SERVIÇO",UPPER(C645)="SERVICO"),0,N(H645)*N(E645))</f>
        <v/>
      </c>
      <c r="L645" s="107">
        <f>IF(OR(UPPER(C645)="SERVIÇO",UPPER(C645)="SERVICO"),0,N(H645)*N(G645))</f>
        <v/>
      </c>
      <c r="M645" s="107">
        <f>IF(OR(UPPER(C645)="SERVIÇO",UPPER(C645)="SERVICO"),0,L645-K645)</f>
        <v/>
      </c>
    </row>
    <row r="646" ht="15" customHeight="1">
      <c r="B646" s="105" t="n">
        <v>635</v>
      </c>
      <c r="C646" s="105" t="inlineStr">
        <is>
          <t>Produto</t>
        </is>
      </c>
      <c r="D646" s="106" t="inlineStr">
        <is>
          <t>Raquete de tênis recreativo verde tam. 38</t>
        </is>
      </c>
      <c r="E646" s="107" t="n">
        <v>234.85</v>
      </c>
      <c r="F646" s="108" t="n">
        <v>50</v>
      </c>
      <c r="G646" s="107">
        <f>ROUND(E646*(1+IF(ABS(F646)&lt;=1,F646,F646/100)),2)</f>
        <v/>
      </c>
      <c r="H646" s="105" t="n">
        <v>15</v>
      </c>
      <c r="I646" s="105" t="n">
        <v>5</v>
      </c>
      <c r="J646" s="105">
        <f>IF(OR(UPPER(C646)="SERVIÇO",UPPER(C646)="SERVICO"),"SERVIÇO",IF(H646&lt;=0,"ZERADO",IF(H646&lt;=I646,"ESTOQUE BAIXO","NORMAL")))</f>
        <v/>
      </c>
      <c r="K646" s="107">
        <f>IF(OR(UPPER(C646)="SERVIÇO",UPPER(C646)="SERVICO"),0,N(H646)*N(E646))</f>
        <v/>
      </c>
      <c r="L646" s="107">
        <f>IF(OR(UPPER(C646)="SERVIÇO",UPPER(C646)="SERVICO"),0,N(H646)*N(G646))</f>
        <v/>
      </c>
      <c r="M646" s="107">
        <f>IF(OR(UPPER(C646)="SERVIÇO",UPPER(C646)="SERVICO"),0,L646-K646)</f>
        <v/>
      </c>
    </row>
    <row r="647" ht="15" customHeight="1">
      <c r="B647" s="105" t="n">
        <v>636</v>
      </c>
      <c r="C647" s="105" t="inlineStr">
        <is>
          <t>Produto</t>
        </is>
      </c>
      <c r="D647" s="106" t="inlineStr">
        <is>
          <t>Touca de natação unissex cinza tam. M</t>
        </is>
      </c>
      <c r="E647" s="107" t="n">
        <v>10.05</v>
      </c>
      <c r="F647" s="108" t="n">
        <v>50</v>
      </c>
      <c r="G647" s="107">
        <f>ROUND(E647*(1+IF(ABS(F647)&lt;=1,F647,F647/100)),2)</f>
        <v/>
      </c>
      <c r="H647" s="105" t="n">
        <v>15</v>
      </c>
      <c r="I647" s="105" t="n">
        <v>5</v>
      </c>
      <c r="J647" s="105">
        <f>IF(OR(UPPER(C647)="SERVIÇO",UPPER(C647)="SERVICO"),"SERVIÇO",IF(H647&lt;=0,"ZERADO",IF(H647&lt;=I647,"ESTOQUE BAIXO","NORMAL")))</f>
        <v/>
      </c>
      <c r="K647" s="107">
        <f>IF(OR(UPPER(C647)="SERVIÇO",UPPER(C647)="SERVICO"),0,N(H647)*N(E647))</f>
        <v/>
      </c>
      <c r="L647" s="107">
        <f>IF(OR(UPPER(C647)="SERVIÇO",UPPER(C647)="SERVICO"),0,N(H647)*N(G647))</f>
        <v/>
      </c>
      <c r="M647" s="107">
        <f>IF(OR(UPPER(C647)="SERVIÇO",UPPER(C647)="SERVICO"),0,L647-K647)</f>
        <v/>
      </c>
    </row>
    <row r="648" ht="15" customHeight="1">
      <c r="B648" s="105" t="n">
        <v>637</v>
      </c>
      <c r="C648" s="105" t="inlineStr">
        <is>
          <t>Produto</t>
        </is>
      </c>
      <c r="D648" s="106" t="inlineStr">
        <is>
          <t>Raquete de beach tennis com ajuste vermelho</t>
        </is>
      </c>
      <c r="E648" s="107" t="n">
        <v>142.51</v>
      </c>
      <c r="F648" s="108" t="n">
        <v>50</v>
      </c>
      <c r="G648" s="107">
        <f>ROUND(E648*(1+IF(ABS(F648)&lt;=1,F648,F648/100)),2)</f>
        <v/>
      </c>
      <c r="H648" s="105" t="n">
        <v>15</v>
      </c>
      <c r="I648" s="105" t="n">
        <v>5</v>
      </c>
      <c r="J648" s="105">
        <f>IF(OR(UPPER(C648)="SERVIÇO",UPPER(C648)="SERVICO"),"SERVIÇO",IF(H648&lt;=0,"ZERADO",IF(H648&lt;=I648,"ESTOQUE BAIXO","NORMAL")))</f>
        <v/>
      </c>
      <c r="K648" s="107">
        <f>IF(OR(UPPER(C648)="SERVIÇO",UPPER(C648)="SERVICO"),0,N(H648)*N(E648))</f>
        <v/>
      </c>
      <c r="L648" s="107">
        <f>IF(OR(UPPER(C648)="SERVIÇO",UPPER(C648)="SERVICO"),0,N(H648)*N(G648))</f>
        <v/>
      </c>
      <c r="M648" s="107">
        <f>IF(OR(UPPER(C648)="SERVIÇO",UPPER(C648)="SERVICO"),0,L648-K648)</f>
        <v/>
      </c>
    </row>
    <row r="649" ht="15" customHeight="1">
      <c r="B649" s="105" t="n">
        <v>638</v>
      </c>
      <c r="C649" s="105" t="inlineStr">
        <is>
          <t>Produto</t>
        </is>
      </c>
      <c r="D649" s="106" t="inlineStr">
        <is>
          <t>Kettlebell juvenil rosa</t>
        </is>
      </c>
      <c r="E649" s="107" t="n">
        <v>40.57</v>
      </c>
      <c r="F649" s="108" t="n">
        <v>50</v>
      </c>
      <c r="G649" s="107">
        <f>ROUND(E649*(1+IF(ABS(F649)&lt;=1,F649,F649/100)),2)</f>
        <v/>
      </c>
      <c r="H649" s="105" t="n">
        <v>15</v>
      </c>
      <c r="I649" s="105" t="n">
        <v>5</v>
      </c>
      <c r="J649" s="105">
        <f>IF(OR(UPPER(C649)="SERVIÇO",UPPER(C649)="SERVICO"),"SERVIÇO",IF(H649&lt;=0,"ZERADO",IF(H649&lt;=I649,"ESTOQUE BAIXO","NORMAL")))</f>
        <v/>
      </c>
      <c r="K649" s="107">
        <f>IF(OR(UPPER(C649)="SERVIÇO",UPPER(C649)="SERVICO"),0,N(H649)*N(E649))</f>
        <v/>
      </c>
      <c r="L649" s="107">
        <f>IF(OR(UPPER(C649)="SERVIÇO",UPPER(C649)="SERVICO"),0,N(H649)*N(G649))</f>
        <v/>
      </c>
      <c r="M649" s="107">
        <f>IF(OR(UPPER(C649)="SERVIÇO",UPPER(C649)="SERVICO"),0,L649-K649)</f>
        <v/>
      </c>
    </row>
    <row r="650" ht="15" customHeight="1">
      <c r="B650" s="105" t="n">
        <v>639</v>
      </c>
      <c r="C650" s="105" t="inlineStr">
        <is>
          <t>Produto</t>
        </is>
      </c>
      <c r="D650" s="106" t="inlineStr">
        <is>
          <t>Protetor bucal para uso diário rosa</t>
        </is>
      </c>
      <c r="E650" s="107" t="n">
        <v>10.45</v>
      </c>
      <c r="F650" s="108" t="n">
        <v>50</v>
      </c>
      <c r="G650" s="107">
        <f>ROUND(E650*(1+IF(ABS(F650)&lt;=1,F650,F650/100)),2)</f>
        <v/>
      </c>
      <c r="H650" s="105" t="n">
        <v>15</v>
      </c>
      <c r="I650" s="105" t="n">
        <v>5</v>
      </c>
      <c r="J650" s="105">
        <f>IF(OR(UPPER(C650)="SERVIÇO",UPPER(C650)="SERVICO"),"SERVIÇO",IF(H650&lt;=0,"ZERADO",IF(H650&lt;=I650,"ESTOQUE BAIXO","NORMAL")))</f>
        <v/>
      </c>
      <c r="K650" s="107">
        <f>IF(OR(UPPER(C650)="SERVIÇO",UPPER(C650)="SERVICO"),0,N(H650)*N(E650))</f>
        <v/>
      </c>
      <c r="L650" s="107">
        <f>IF(OR(UPPER(C650)="SERVIÇO",UPPER(C650)="SERVICO"),0,N(H650)*N(G650))</f>
        <v/>
      </c>
      <c r="M650" s="107">
        <f>IF(OR(UPPER(C650)="SERVIÇO",UPPER(C650)="SERVICO"),0,L650-K650)</f>
        <v/>
      </c>
    </row>
    <row r="651" ht="15" customHeight="1">
      <c r="B651" s="105" t="n">
        <v>640</v>
      </c>
      <c r="C651" s="105" t="inlineStr">
        <is>
          <t>Produto</t>
        </is>
      </c>
      <c r="D651" s="106" t="inlineStr">
        <is>
          <t>Nadadeira leve branco</t>
        </is>
      </c>
      <c r="E651" s="107" t="n">
        <v>57.44</v>
      </c>
      <c r="F651" s="108" t="n">
        <v>50</v>
      </c>
      <c r="G651" s="107">
        <f>ROUND(E651*(1+IF(ABS(F651)&lt;=1,F651,F651/100)),2)</f>
        <v/>
      </c>
      <c r="H651" s="105" t="n">
        <v>15</v>
      </c>
      <c r="I651" s="105" t="n">
        <v>5</v>
      </c>
      <c r="J651" s="105">
        <f>IF(OR(UPPER(C651)="SERVIÇO",UPPER(C651)="SERVICO"),"SERVIÇO",IF(H651&lt;=0,"ZERADO",IF(H651&lt;=I651,"ESTOQUE BAIXO","NORMAL")))</f>
        <v/>
      </c>
      <c r="K651" s="107">
        <f>IF(OR(UPPER(C651)="SERVIÇO",UPPER(C651)="SERVICO"),0,N(H651)*N(E651))</f>
        <v/>
      </c>
      <c r="L651" s="107">
        <f>IF(OR(UPPER(C651)="SERVIÇO",UPPER(C651)="SERVICO"),0,N(H651)*N(G651))</f>
        <v/>
      </c>
      <c r="M651" s="107">
        <f>IF(OR(UPPER(C651)="SERVIÇO",UPPER(C651)="SERVICO"),0,L651-K651)</f>
        <v/>
      </c>
    </row>
    <row r="652" ht="15" customHeight="1">
      <c r="B652" s="105" t="n">
        <v>641</v>
      </c>
      <c r="C652" s="105" t="inlineStr">
        <is>
          <t>Produto</t>
        </is>
      </c>
      <c r="D652" s="106" t="inlineStr">
        <is>
          <t>Regata esportiva premium rosa tam. G</t>
        </is>
      </c>
      <c r="E652" s="107" t="n">
        <v>17.12</v>
      </c>
      <c r="F652" s="108" t="n">
        <v>50</v>
      </c>
      <c r="G652" s="107">
        <f>ROUND(E652*(1+IF(ABS(F652)&lt;=1,F652,F652/100)),2)</f>
        <v/>
      </c>
      <c r="H652" s="105" t="n">
        <v>15</v>
      </c>
      <c r="I652" s="105" t="n">
        <v>5</v>
      </c>
      <c r="J652" s="105">
        <f>IF(OR(UPPER(C652)="SERVIÇO",UPPER(C652)="SERVICO"),"SERVIÇO",IF(H652&lt;=0,"ZERADO",IF(H652&lt;=I652,"ESTOQUE BAIXO","NORMAL")))</f>
        <v/>
      </c>
      <c r="K652" s="107">
        <f>IF(OR(UPPER(C652)="SERVIÇO",UPPER(C652)="SERVICO"),0,N(H652)*N(E652))</f>
        <v/>
      </c>
      <c r="L652" s="107">
        <f>IF(OR(UPPER(C652)="SERVIÇO",UPPER(C652)="SERVICO"),0,N(H652)*N(G652))</f>
        <v/>
      </c>
      <c r="M652" s="107">
        <f>IF(OR(UPPER(C652)="SERVIÇO",UPPER(C652)="SERVICO"),0,L652-K652)</f>
        <v/>
      </c>
    </row>
    <row r="653" ht="15" customHeight="1">
      <c r="B653" s="105" t="n">
        <v>642</v>
      </c>
      <c r="C653" s="105" t="inlineStr">
        <is>
          <t>Produto</t>
        </is>
      </c>
      <c r="D653" s="106" t="inlineStr">
        <is>
          <t>Kimono de judô compacto cinza tam. 40</t>
        </is>
      </c>
      <c r="E653" s="107" t="n">
        <v>183.54</v>
      </c>
      <c r="F653" s="108" t="n">
        <v>50</v>
      </c>
      <c r="G653" s="107">
        <f>ROUND(E653*(1+IF(ABS(F653)&lt;=1,F653,F653/100)),2)</f>
        <v/>
      </c>
      <c r="H653" s="105" t="n">
        <v>15</v>
      </c>
      <c r="I653" s="105" t="n">
        <v>5</v>
      </c>
      <c r="J653" s="105">
        <f>IF(OR(UPPER(C653)="SERVIÇO",UPPER(C653)="SERVICO"),"SERVIÇO",IF(H653&lt;=0,"ZERADO",IF(H653&lt;=I653,"ESTOQUE BAIXO","NORMAL")))</f>
        <v/>
      </c>
      <c r="K653" s="107">
        <f>IF(OR(UPPER(C653)="SERVIÇO",UPPER(C653)="SERVICO"),0,N(H653)*N(E653))</f>
        <v/>
      </c>
      <c r="L653" s="107">
        <f>IF(OR(UPPER(C653)="SERVIÇO",UPPER(C653)="SERVICO"),0,N(H653)*N(G653))</f>
        <v/>
      </c>
      <c r="M653" s="107">
        <f>IF(OR(UPPER(C653)="SERVIÇO",UPPER(C653)="SERVICO"),0,L653-K653)</f>
        <v/>
      </c>
    </row>
    <row r="654" ht="15" customHeight="1">
      <c r="B654" s="105" t="n">
        <v>643</v>
      </c>
      <c r="C654" s="105" t="inlineStr">
        <is>
          <t>Produto</t>
        </is>
      </c>
      <c r="D654" s="106" t="inlineStr">
        <is>
          <t>Luva de goleiro juvenil azul tam. 34</t>
        </is>
      </c>
      <c r="E654" s="107" t="n">
        <v>106.67</v>
      </c>
      <c r="F654" s="108" t="n">
        <v>50</v>
      </c>
      <c r="G654" s="107">
        <f>ROUND(E654*(1+IF(ABS(F654)&lt;=1,F654,F654/100)),2)</f>
        <v/>
      </c>
      <c r="H654" s="105" t="n">
        <v>15</v>
      </c>
      <c r="I654" s="105" t="n">
        <v>5</v>
      </c>
      <c r="J654" s="105">
        <f>IF(OR(UPPER(C654)="SERVIÇO",UPPER(C654)="SERVICO"),"SERVIÇO",IF(H654&lt;=0,"ZERADO",IF(H654&lt;=I654,"ESTOQUE BAIXO","NORMAL")))</f>
        <v/>
      </c>
      <c r="K654" s="107">
        <f>IF(OR(UPPER(C654)="SERVIÇO",UPPER(C654)="SERVICO"),0,N(H654)*N(E654))</f>
        <v/>
      </c>
      <c r="L654" s="107">
        <f>IF(OR(UPPER(C654)="SERVIÇO",UPPER(C654)="SERVICO"),0,N(H654)*N(G654))</f>
        <v/>
      </c>
      <c r="M654" s="107">
        <f>IF(OR(UPPER(C654)="SERVIÇO",UPPER(C654)="SERVICO"),0,L654-K654)</f>
        <v/>
      </c>
    </row>
    <row r="655" ht="15" customHeight="1">
      <c r="B655" s="105" t="n">
        <v>644</v>
      </c>
      <c r="C655" s="105" t="inlineStr">
        <is>
          <t>Produto</t>
        </is>
      </c>
      <c r="D655" s="106" t="inlineStr">
        <is>
          <t>Corda de pular resistente verde</t>
        </is>
      </c>
      <c r="E655" s="107" t="n">
        <v>60.03</v>
      </c>
      <c r="F655" s="108" t="n">
        <v>50</v>
      </c>
      <c r="G655" s="107">
        <f>ROUND(E655*(1+IF(ABS(F655)&lt;=1,F655,F655/100)),2)</f>
        <v/>
      </c>
      <c r="H655" s="105" t="n">
        <v>15</v>
      </c>
      <c r="I655" s="105" t="n">
        <v>5</v>
      </c>
      <c r="J655" s="105">
        <f>IF(OR(UPPER(C655)="SERVIÇO",UPPER(C655)="SERVICO"),"SERVIÇO",IF(H655&lt;=0,"ZERADO",IF(H655&lt;=I655,"ESTOQUE BAIXO","NORMAL")))</f>
        <v/>
      </c>
      <c r="K655" s="107">
        <f>IF(OR(UPPER(C655)="SERVIÇO",UPPER(C655)="SERVICO"),0,N(H655)*N(E655))</f>
        <v/>
      </c>
      <c r="L655" s="107">
        <f>IF(OR(UPPER(C655)="SERVIÇO",UPPER(C655)="SERVICO"),0,N(H655)*N(G655))</f>
        <v/>
      </c>
      <c r="M655" s="107">
        <f>IF(OR(UPPER(C655)="SERVIÇO",UPPER(C655)="SERVICO"),0,L655-K655)</f>
        <v/>
      </c>
    </row>
    <row r="656" ht="15" customHeight="1">
      <c r="B656" s="105" t="n">
        <v>645</v>
      </c>
      <c r="C656" s="105" t="inlineStr">
        <is>
          <t>Produto</t>
        </is>
      </c>
      <c r="D656" s="106" t="inlineStr">
        <is>
          <t>Caneleira de futebol para uso diário branco</t>
        </is>
      </c>
      <c r="E656" s="107" t="n">
        <v>49.36</v>
      </c>
      <c r="F656" s="108" t="n">
        <v>50</v>
      </c>
      <c r="G656" s="107">
        <f>ROUND(E656*(1+IF(ABS(F656)&lt;=1,F656,F656/100)),2)</f>
        <v/>
      </c>
      <c r="H656" s="105" t="n">
        <v>15</v>
      </c>
      <c r="I656" s="105" t="n">
        <v>5</v>
      </c>
      <c r="J656" s="105">
        <f>IF(OR(UPPER(C656)="SERVIÇO",UPPER(C656)="SERVICO"),"SERVIÇO",IF(H656&lt;=0,"ZERADO",IF(H656&lt;=I656,"ESTOQUE BAIXO","NORMAL")))</f>
        <v/>
      </c>
      <c r="K656" s="107">
        <f>IF(OR(UPPER(C656)="SERVIÇO",UPPER(C656)="SERVICO"),0,N(H656)*N(E656))</f>
        <v/>
      </c>
      <c r="L656" s="107">
        <f>IF(OR(UPPER(C656)="SERVIÇO",UPPER(C656)="SERVICO"),0,N(H656)*N(G656))</f>
        <v/>
      </c>
      <c r="M656" s="107">
        <f>IF(OR(UPPER(C656)="SERVIÇO",UPPER(C656)="SERVICO"),0,L656-K656)</f>
        <v/>
      </c>
    </row>
    <row r="657" ht="15" customHeight="1">
      <c r="B657" s="105" t="n">
        <v>646</v>
      </c>
      <c r="C657" s="105" t="inlineStr">
        <is>
          <t>Produto</t>
        </is>
      </c>
      <c r="D657" s="106" t="inlineStr">
        <is>
          <t>Óculos esportivos unissex branco</t>
        </is>
      </c>
      <c r="E657" s="107" t="n">
        <v>177.74</v>
      </c>
      <c r="F657" s="108" t="n">
        <v>50</v>
      </c>
      <c r="G657" s="107">
        <f>ROUND(E657*(1+IF(ABS(F657)&lt;=1,F657,F657/100)),2)</f>
        <v/>
      </c>
      <c r="H657" s="105" t="n">
        <v>15</v>
      </c>
      <c r="I657" s="105" t="n">
        <v>5</v>
      </c>
      <c r="J657" s="105">
        <f>IF(OR(UPPER(C657)="SERVIÇO",UPPER(C657)="SERVICO"),"SERVIÇO",IF(H657&lt;=0,"ZERADO",IF(H657&lt;=I657,"ESTOQUE BAIXO","NORMAL")))</f>
        <v/>
      </c>
      <c r="K657" s="107">
        <f>IF(OR(UPPER(C657)="SERVIÇO",UPPER(C657)="SERVICO"),0,N(H657)*N(E657))</f>
        <v/>
      </c>
      <c r="L657" s="107">
        <f>IF(OR(UPPER(C657)="SERVIÇO",UPPER(C657)="SERVICO"),0,N(H657)*N(G657))</f>
        <v/>
      </c>
      <c r="M657" s="107">
        <f>IF(OR(UPPER(C657)="SERVIÇO",UPPER(C657)="SERVICO"),0,L657-K657)</f>
        <v/>
      </c>
    </row>
    <row r="658" ht="15" customHeight="1">
      <c r="B658" s="105" t="n">
        <v>647</v>
      </c>
      <c r="C658" s="105" t="inlineStr">
        <is>
          <t>Produto</t>
        </is>
      </c>
      <c r="D658" s="106" t="inlineStr">
        <is>
          <t>Regata esportiva modelo básico verde tam. P</t>
        </is>
      </c>
      <c r="E658" s="107" t="n">
        <v>71.38</v>
      </c>
      <c r="F658" s="108" t="n">
        <v>50</v>
      </c>
      <c r="G658" s="107">
        <f>ROUND(E658*(1+IF(ABS(F658)&lt;=1,F658,F658/100)),2)</f>
        <v/>
      </c>
      <c r="H658" s="105" t="n">
        <v>15</v>
      </c>
      <c r="I658" s="105" t="n">
        <v>5</v>
      </c>
      <c r="J658" s="105">
        <f>IF(OR(UPPER(C658)="SERVIÇO",UPPER(C658)="SERVICO"),"SERVIÇO",IF(H658&lt;=0,"ZERADO",IF(H658&lt;=I658,"ESTOQUE BAIXO","NORMAL")))</f>
        <v/>
      </c>
      <c r="K658" s="107">
        <f>IF(OR(UPPER(C658)="SERVIÇO",UPPER(C658)="SERVICO"),0,N(H658)*N(E658))</f>
        <v/>
      </c>
      <c r="L658" s="107">
        <f>IF(OR(UPPER(C658)="SERVIÇO",UPPER(C658)="SERVICO"),0,N(H658)*N(G658))</f>
        <v/>
      </c>
      <c r="M658" s="107">
        <f>IF(OR(UPPER(C658)="SERVIÇO",UPPER(C658)="SERVICO"),0,L658-K658)</f>
        <v/>
      </c>
    </row>
    <row r="659" ht="15" customHeight="1">
      <c r="B659" s="105" t="n">
        <v>648</v>
      </c>
      <c r="C659" s="105" t="inlineStr">
        <is>
          <t>Produto</t>
        </is>
      </c>
      <c r="D659" s="106" t="inlineStr">
        <is>
          <t>Banco de musculação juvenil rosa</t>
        </is>
      </c>
      <c r="E659" s="107" t="n">
        <v>878.79</v>
      </c>
      <c r="F659" s="108" t="n">
        <v>50</v>
      </c>
      <c r="G659" s="107">
        <f>ROUND(E659*(1+IF(ABS(F659)&lt;=1,F659,F659/100)),2)</f>
        <v/>
      </c>
      <c r="H659" s="105" t="n">
        <v>15</v>
      </c>
      <c r="I659" s="105" t="n">
        <v>5</v>
      </c>
      <c r="J659" s="105">
        <f>IF(OR(UPPER(C659)="SERVIÇO",UPPER(C659)="SERVICO"),"SERVIÇO",IF(H659&lt;=0,"ZERADO",IF(H659&lt;=I659,"ESTOQUE BAIXO","NORMAL")))</f>
        <v/>
      </c>
      <c r="K659" s="107">
        <f>IF(OR(UPPER(C659)="SERVIÇO",UPPER(C659)="SERVICO"),0,N(H659)*N(E659))</f>
        <v/>
      </c>
      <c r="L659" s="107">
        <f>IF(OR(UPPER(C659)="SERVIÇO",UPPER(C659)="SERVICO"),0,N(H659)*N(G659))</f>
        <v/>
      </c>
      <c r="M659" s="107">
        <f>IF(OR(UPPER(C659)="SERVIÇO",UPPER(C659)="SERVICO"),0,L659-K659)</f>
        <v/>
      </c>
    </row>
    <row r="660" ht="15" customHeight="1">
      <c r="B660" s="105" t="n">
        <v>649</v>
      </c>
      <c r="C660" s="105" t="inlineStr">
        <is>
          <t>Produto</t>
        </is>
      </c>
      <c r="D660" s="106" t="inlineStr">
        <is>
          <t>Banco de musculação compacto vermelho</t>
        </is>
      </c>
      <c r="E660" s="107" t="n">
        <v>312.12</v>
      </c>
      <c r="F660" s="108" t="n">
        <v>50</v>
      </c>
      <c r="G660" s="107">
        <f>ROUND(E660*(1+IF(ABS(F660)&lt;=1,F660,F660/100)),2)</f>
        <v/>
      </c>
      <c r="H660" s="105" t="n">
        <v>15</v>
      </c>
      <c r="I660" s="105" t="n">
        <v>5</v>
      </c>
      <c r="J660" s="105">
        <f>IF(OR(UPPER(C660)="SERVIÇO",UPPER(C660)="SERVICO"),"SERVIÇO",IF(H660&lt;=0,"ZERADO",IF(H660&lt;=I660,"ESTOQUE BAIXO","NORMAL")))</f>
        <v/>
      </c>
      <c r="K660" s="107">
        <f>IF(OR(UPPER(C660)="SERVIÇO",UPPER(C660)="SERVICO"),0,N(H660)*N(E660))</f>
        <v/>
      </c>
      <c r="L660" s="107">
        <f>IF(OR(UPPER(C660)="SERVIÇO",UPPER(C660)="SERVICO"),0,N(H660)*N(G660))</f>
        <v/>
      </c>
      <c r="M660" s="107">
        <f>IF(OR(UPPER(C660)="SERVIÇO",UPPER(C660)="SERVICO"),0,L660-K660)</f>
        <v/>
      </c>
    </row>
    <row r="661" ht="15" customHeight="1">
      <c r="B661" s="105" t="n">
        <v>650</v>
      </c>
      <c r="C661" s="105" t="inlineStr">
        <is>
          <t>Produto</t>
        </is>
      </c>
      <c r="D661" s="106" t="inlineStr">
        <is>
          <t>Prancha de natação premium preto</t>
        </is>
      </c>
      <c r="E661" s="107" t="n">
        <v>86.70999999999999</v>
      </c>
      <c r="F661" s="108" t="n">
        <v>50</v>
      </c>
      <c r="G661" s="107">
        <f>ROUND(E661*(1+IF(ABS(F661)&lt;=1,F661,F661/100)),2)</f>
        <v/>
      </c>
      <c r="H661" s="105" t="n">
        <v>15</v>
      </c>
      <c r="I661" s="105" t="n">
        <v>5</v>
      </c>
      <c r="J661" s="105">
        <f>IF(OR(UPPER(C661)="SERVIÇO",UPPER(C661)="SERVICO"),"SERVIÇO",IF(H661&lt;=0,"ZERADO",IF(H661&lt;=I661,"ESTOQUE BAIXO","NORMAL")))</f>
        <v/>
      </c>
      <c r="K661" s="107">
        <f>IF(OR(UPPER(C661)="SERVIÇO",UPPER(C661)="SERVICO"),0,N(H661)*N(E661))</f>
        <v/>
      </c>
      <c r="L661" s="107">
        <f>IF(OR(UPPER(C661)="SERVIÇO",UPPER(C661)="SERVICO"),0,N(H661)*N(G661))</f>
        <v/>
      </c>
      <c r="M661" s="107">
        <f>IF(OR(UPPER(C661)="SERVIÇO",UPPER(C661)="SERVICO"),0,L661-K661)</f>
        <v/>
      </c>
    </row>
    <row r="662" ht="15" customHeight="1">
      <c r="B662" s="105" t="n">
        <v>651</v>
      </c>
      <c r="C662" s="105" t="inlineStr">
        <is>
          <t>Produto</t>
        </is>
      </c>
      <c r="D662" s="106" t="inlineStr">
        <is>
          <t>Jaqueta esportiva para uso diário branco tam. G</t>
        </is>
      </c>
      <c r="E662" s="107" t="n">
        <v>97.26000000000001</v>
      </c>
      <c r="F662" s="108" t="n">
        <v>50</v>
      </c>
      <c r="G662" s="107">
        <f>ROUND(E662*(1+IF(ABS(F662)&lt;=1,F662,F662/100)),2)</f>
        <v/>
      </c>
      <c r="H662" s="105" t="n">
        <v>15</v>
      </c>
      <c r="I662" s="105" t="n">
        <v>5</v>
      </c>
      <c r="J662" s="105">
        <f>IF(OR(UPPER(C662)="SERVIÇO",UPPER(C662)="SERVICO"),"SERVIÇO",IF(H662&lt;=0,"ZERADO",IF(H662&lt;=I662,"ESTOQUE BAIXO","NORMAL")))</f>
        <v/>
      </c>
      <c r="K662" s="107">
        <f>IF(OR(UPPER(C662)="SERVIÇO",UPPER(C662)="SERVICO"),0,N(H662)*N(E662))</f>
        <v/>
      </c>
      <c r="L662" s="107">
        <f>IF(OR(UPPER(C662)="SERVIÇO",UPPER(C662)="SERVICO"),0,N(H662)*N(G662))</f>
        <v/>
      </c>
      <c r="M662" s="107">
        <f>IF(OR(UPPER(C662)="SERVIÇO",UPPER(C662)="SERVICO"),0,L662-K662)</f>
        <v/>
      </c>
    </row>
    <row r="663" ht="15" customHeight="1">
      <c r="B663" s="105" t="n">
        <v>652</v>
      </c>
      <c r="C663" s="105" t="inlineStr">
        <is>
          <t>Produto</t>
        </is>
      </c>
      <c r="D663" s="106" t="inlineStr">
        <is>
          <t>Luva de boxe modelo avançado preto tam. 36</t>
        </is>
      </c>
      <c r="E663" s="107" t="n">
        <v>286.41</v>
      </c>
      <c r="F663" s="108" t="n">
        <v>50</v>
      </c>
      <c r="G663" s="107">
        <f>ROUND(E663*(1+IF(ABS(F663)&lt;=1,F663,F663/100)),2)</f>
        <v/>
      </c>
      <c r="H663" s="105" t="n">
        <v>15</v>
      </c>
      <c r="I663" s="105" t="n">
        <v>5</v>
      </c>
      <c r="J663" s="105">
        <f>IF(OR(UPPER(C663)="SERVIÇO",UPPER(C663)="SERVICO"),"SERVIÇO",IF(H663&lt;=0,"ZERADO",IF(H663&lt;=I663,"ESTOQUE BAIXO","NORMAL")))</f>
        <v/>
      </c>
      <c r="K663" s="107">
        <f>IF(OR(UPPER(C663)="SERVIÇO",UPPER(C663)="SERVICO"),0,N(H663)*N(E663))</f>
        <v/>
      </c>
      <c r="L663" s="107">
        <f>IF(OR(UPPER(C663)="SERVIÇO",UPPER(C663)="SERVICO"),0,N(H663)*N(G663))</f>
        <v/>
      </c>
      <c r="M663" s="107">
        <f>IF(OR(UPPER(C663)="SERVIÇO",UPPER(C663)="SERVICO"),0,L663-K663)</f>
        <v/>
      </c>
    </row>
    <row r="664" ht="15" customHeight="1">
      <c r="B664" s="105" t="n">
        <v>653</v>
      </c>
      <c r="C664" s="105" t="inlineStr">
        <is>
          <t>Produto</t>
        </is>
      </c>
      <c r="D664" s="106" t="inlineStr">
        <is>
          <t>Protetor bucal unissex verde</t>
        </is>
      </c>
      <c r="E664" s="107" t="n">
        <v>51.61</v>
      </c>
      <c r="F664" s="108" t="n">
        <v>50</v>
      </c>
      <c r="G664" s="107">
        <f>ROUND(E664*(1+IF(ABS(F664)&lt;=1,F664,F664/100)),2)</f>
        <v/>
      </c>
      <c r="H664" s="105" t="n">
        <v>15</v>
      </c>
      <c r="I664" s="105" t="n">
        <v>5</v>
      </c>
      <c r="J664" s="105">
        <f>IF(OR(UPPER(C664)="SERVIÇO",UPPER(C664)="SERVICO"),"SERVIÇO",IF(H664&lt;=0,"ZERADO",IF(H664&lt;=I664,"ESTOQUE BAIXO","NORMAL")))</f>
        <v/>
      </c>
      <c r="K664" s="107">
        <f>IF(OR(UPPER(C664)="SERVIÇO",UPPER(C664)="SERVICO"),0,N(H664)*N(E664))</f>
        <v/>
      </c>
      <c r="L664" s="107">
        <f>IF(OR(UPPER(C664)="SERVIÇO",UPPER(C664)="SERVICO"),0,N(H664)*N(G664))</f>
        <v/>
      </c>
      <c r="M664" s="107">
        <f>IF(OR(UPPER(C664)="SERVIÇO",UPPER(C664)="SERVICO"),0,L664-K664)</f>
        <v/>
      </c>
    </row>
    <row r="665" ht="15" customHeight="1">
      <c r="B665" s="105" t="n">
        <v>654</v>
      </c>
      <c r="C665" s="105" t="inlineStr">
        <is>
          <t>Produto</t>
        </is>
      </c>
      <c r="D665" s="106" t="inlineStr">
        <is>
          <t>Óculos esportivos iniciante vermelho</t>
        </is>
      </c>
      <c r="E665" s="107" t="n">
        <v>218.15</v>
      </c>
      <c r="F665" s="108" t="n">
        <v>50</v>
      </c>
      <c r="G665" s="107">
        <f>ROUND(E665*(1+IF(ABS(F665)&lt;=1,F665,F665/100)),2)</f>
        <v/>
      </c>
      <c r="H665" s="105" t="n">
        <v>15</v>
      </c>
      <c r="I665" s="105" t="n">
        <v>5</v>
      </c>
      <c r="J665" s="105">
        <f>IF(OR(UPPER(C665)="SERVIÇO",UPPER(C665)="SERVICO"),"SERVIÇO",IF(H665&lt;=0,"ZERADO",IF(H665&lt;=I665,"ESTOQUE BAIXO","NORMAL")))</f>
        <v/>
      </c>
      <c r="K665" s="107">
        <f>IF(OR(UPPER(C665)="SERVIÇO",UPPER(C665)="SERVICO"),0,N(H665)*N(E665))</f>
        <v/>
      </c>
      <c r="L665" s="107">
        <f>IF(OR(UPPER(C665)="SERVIÇO",UPPER(C665)="SERVICO"),0,N(H665)*N(G665))</f>
        <v/>
      </c>
      <c r="M665" s="107">
        <f>IF(OR(UPPER(C665)="SERVIÇO",UPPER(C665)="SERVICO"),0,L665-K665)</f>
        <v/>
      </c>
    </row>
    <row r="666" ht="15" customHeight="1">
      <c r="B666" s="105" t="n">
        <v>655</v>
      </c>
      <c r="C666" s="105" t="inlineStr">
        <is>
          <t>Produto</t>
        </is>
      </c>
      <c r="D666" s="106" t="inlineStr">
        <is>
          <t>Raquete de badminton compacto verde</t>
        </is>
      </c>
      <c r="E666" s="107" t="n">
        <v>34.12</v>
      </c>
      <c r="F666" s="108" t="n">
        <v>50</v>
      </c>
      <c r="G666" s="107">
        <f>ROUND(E666*(1+IF(ABS(F666)&lt;=1,F666,F666/100)),2)</f>
        <v/>
      </c>
      <c r="H666" s="105" t="n">
        <v>15</v>
      </c>
      <c r="I666" s="105" t="n">
        <v>5</v>
      </c>
      <c r="J666" s="105">
        <f>IF(OR(UPPER(C666)="SERVIÇO",UPPER(C666)="SERVICO"),"SERVIÇO",IF(H666&lt;=0,"ZERADO",IF(H666&lt;=I666,"ESTOQUE BAIXO","NORMAL")))</f>
        <v/>
      </c>
      <c r="K666" s="107">
        <f>IF(OR(UPPER(C666)="SERVIÇO",UPPER(C666)="SERVICO"),0,N(H666)*N(E666))</f>
        <v/>
      </c>
      <c r="L666" s="107">
        <f>IF(OR(UPPER(C666)="SERVIÇO",UPPER(C666)="SERVICO"),0,N(H666)*N(G666))</f>
        <v/>
      </c>
      <c r="M666" s="107">
        <f>IF(OR(UPPER(C666)="SERVIÇO",UPPER(C666)="SERVICO"),0,L666-K666)</f>
        <v/>
      </c>
    </row>
    <row r="667" ht="15" customHeight="1">
      <c r="B667" s="105" t="n">
        <v>656</v>
      </c>
      <c r="C667" s="105" t="inlineStr">
        <is>
          <t>Produto</t>
        </is>
      </c>
      <c r="D667" s="106" t="inlineStr">
        <is>
          <t>Luva de ciclismo modelo básico verde tam. G</t>
        </is>
      </c>
      <c r="E667" s="107" t="n">
        <v>52.7</v>
      </c>
      <c r="F667" s="108" t="n">
        <v>50</v>
      </c>
      <c r="G667" s="107">
        <f>ROUND(E667*(1+IF(ABS(F667)&lt;=1,F667,F667/100)),2)</f>
        <v/>
      </c>
      <c r="H667" s="105" t="n">
        <v>15</v>
      </c>
      <c r="I667" s="105" t="n">
        <v>5</v>
      </c>
      <c r="J667" s="105">
        <f>IF(OR(UPPER(C667)="SERVIÇO",UPPER(C667)="SERVICO"),"SERVIÇO",IF(H667&lt;=0,"ZERADO",IF(H667&lt;=I667,"ESTOQUE BAIXO","NORMAL")))</f>
        <v/>
      </c>
      <c r="K667" s="107">
        <f>IF(OR(UPPER(C667)="SERVIÇO",UPPER(C667)="SERVICO"),0,N(H667)*N(E667))</f>
        <v/>
      </c>
      <c r="L667" s="107">
        <f>IF(OR(UPPER(C667)="SERVIÇO",UPPER(C667)="SERVICO"),0,N(H667)*N(G667))</f>
        <v/>
      </c>
      <c r="M667" s="107">
        <f>IF(OR(UPPER(C667)="SERVIÇO",UPPER(C667)="SERVICO"),0,L667-K667)</f>
        <v/>
      </c>
    </row>
    <row r="668" ht="15" customHeight="1">
      <c r="B668" s="105" t="n">
        <v>657</v>
      </c>
      <c r="C668" s="105" t="inlineStr">
        <is>
          <t>Produto</t>
        </is>
      </c>
      <c r="D668" s="106" t="inlineStr">
        <is>
          <t>Regata esportiva juvenil preto tam. G</t>
        </is>
      </c>
      <c r="E668" s="107" t="n">
        <v>51.89</v>
      </c>
      <c r="F668" s="108" t="n">
        <v>50</v>
      </c>
      <c r="G668" s="107">
        <f>ROUND(E668*(1+IF(ABS(F668)&lt;=1,F668,F668/100)),2)</f>
        <v/>
      </c>
      <c r="H668" s="105" t="n">
        <v>15</v>
      </c>
      <c r="I668" s="105" t="n">
        <v>5</v>
      </c>
      <c r="J668" s="105">
        <f>IF(OR(UPPER(C668)="SERVIÇO",UPPER(C668)="SERVICO"),"SERVIÇO",IF(H668&lt;=0,"ZERADO",IF(H668&lt;=I668,"ESTOQUE BAIXO","NORMAL")))</f>
        <v/>
      </c>
      <c r="K668" s="107">
        <f>IF(OR(UPPER(C668)="SERVIÇO",UPPER(C668)="SERVICO"),0,N(H668)*N(E668))</f>
        <v/>
      </c>
      <c r="L668" s="107">
        <f>IF(OR(UPPER(C668)="SERVIÇO",UPPER(C668)="SERVICO"),0,N(H668)*N(G668))</f>
        <v/>
      </c>
      <c r="M668" s="107">
        <f>IF(OR(UPPER(C668)="SERVIÇO",UPPER(C668)="SERVICO"),0,L668-K668)</f>
        <v/>
      </c>
    </row>
    <row r="669" ht="15" customHeight="1">
      <c r="B669" s="105" t="n">
        <v>658</v>
      </c>
      <c r="C669" s="105" t="inlineStr">
        <is>
          <t>Produto</t>
        </is>
      </c>
      <c r="D669" s="106" t="inlineStr">
        <is>
          <t>Chuteira society resistente branco tam. M</t>
        </is>
      </c>
      <c r="E669" s="107" t="n">
        <v>194.43</v>
      </c>
      <c r="F669" s="108" t="n">
        <v>50</v>
      </c>
      <c r="G669" s="107">
        <f>ROUND(E669*(1+IF(ABS(F669)&lt;=1,F669,F669/100)),2)</f>
        <v/>
      </c>
      <c r="H669" s="105" t="n">
        <v>15</v>
      </c>
      <c r="I669" s="105" t="n">
        <v>5</v>
      </c>
      <c r="J669" s="105">
        <f>IF(OR(UPPER(C669)="SERVIÇO",UPPER(C669)="SERVICO"),"SERVIÇO",IF(H669&lt;=0,"ZERADO",IF(H669&lt;=I669,"ESTOQUE BAIXO","NORMAL")))</f>
        <v/>
      </c>
      <c r="K669" s="107">
        <f>IF(OR(UPPER(C669)="SERVIÇO",UPPER(C669)="SERVICO"),0,N(H669)*N(E669))</f>
        <v/>
      </c>
      <c r="L669" s="107">
        <f>IF(OR(UPPER(C669)="SERVIÇO",UPPER(C669)="SERVICO"),0,N(H669)*N(G669))</f>
        <v/>
      </c>
      <c r="M669" s="107">
        <f>IF(OR(UPPER(C669)="SERVIÇO",UPPER(C669)="SERVICO"),0,L669-K669)</f>
        <v/>
      </c>
    </row>
    <row r="670" ht="15" customHeight="1">
      <c r="B670" s="105" t="n">
        <v>659</v>
      </c>
      <c r="C670" s="105" t="inlineStr">
        <is>
          <t>Produto</t>
        </is>
      </c>
      <c r="D670" s="106" t="inlineStr">
        <is>
          <t>Prancha de natação unissex azul</t>
        </is>
      </c>
      <c r="E670" s="107" t="n">
        <v>48.23</v>
      </c>
      <c r="F670" s="108" t="n">
        <v>50</v>
      </c>
      <c r="G670" s="107">
        <f>ROUND(E670*(1+IF(ABS(F670)&lt;=1,F670,F670/100)),2)</f>
        <v/>
      </c>
      <c r="H670" s="105" t="n">
        <v>15</v>
      </c>
      <c r="I670" s="105" t="n">
        <v>5</v>
      </c>
      <c r="J670" s="105">
        <f>IF(OR(UPPER(C670)="SERVIÇO",UPPER(C670)="SERVICO"),"SERVIÇO",IF(H670&lt;=0,"ZERADO",IF(H670&lt;=I670,"ESTOQUE BAIXO","NORMAL")))</f>
        <v/>
      </c>
      <c r="K670" s="107">
        <f>IF(OR(UPPER(C670)="SERVIÇO",UPPER(C670)="SERVICO"),0,N(H670)*N(E670))</f>
        <v/>
      </c>
      <c r="L670" s="107">
        <f>IF(OR(UPPER(C670)="SERVIÇO",UPPER(C670)="SERVICO"),0,N(H670)*N(G670))</f>
        <v/>
      </c>
      <c r="M670" s="107">
        <f>IF(OR(UPPER(C670)="SERVIÇO",UPPER(C670)="SERVICO"),0,L670-K670)</f>
        <v/>
      </c>
    </row>
    <row r="671" ht="15" customHeight="1">
      <c r="B671" s="105" t="n">
        <v>660</v>
      </c>
      <c r="C671" s="105" t="inlineStr">
        <is>
          <t>Produto</t>
        </is>
      </c>
      <c r="D671" s="106" t="inlineStr">
        <is>
          <t>Halter leve laranja</t>
        </is>
      </c>
      <c r="E671" s="107" t="n">
        <v>121.21</v>
      </c>
      <c r="F671" s="108" t="n">
        <v>50</v>
      </c>
      <c r="G671" s="107">
        <f>ROUND(E671*(1+IF(ABS(F671)&lt;=1,F671,F671/100)),2)</f>
        <v/>
      </c>
      <c r="H671" s="105" t="n">
        <v>15</v>
      </c>
      <c r="I671" s="105" t="n">
        <v>5</v>
      </c>
      <c r="J671" s="105">
        <f>IF(OR(UPPER(C671)="SERVIÇO",UPPER(C671)="SERVICO"),"SERVIÇO",IF(H671&lt;=0,"ZERADO",IF(H671&lt;=I671,"ESTOQUE BAIXO","NORMAL")))</f>
        <v/>
      </c>
      <c r="K671" s="107">
        <f>IF(OR(UPPER(C671)="SERVIÇO",UPPER(C671)="SERVICO"),0,N(H671)*N(E671))</f>
        <v/>
      </c>
      <c r="L671" s="107">
        <f>IF(OR(UPPER(C671)="SERVIÇO",UPPER(C671)="SERVICO"),0,N(H671)*N(G671))</f>
        <v/>
      </c>
      <c r="M671" s="107">
        <f>IF(OR(UPPER(C671)="SERVIÇO",UPPER(C671)="SERVICO"),0,L671-K671)</f>
        <v/>
      </c>
    </row>
    <row r="672" ht="15" customHeight="1">
      <c r="B672" s="105" t="n">
        <v>661</v>
      </c>
      <c r="C672" s="105" t="inlineStr">
        <is>
          <t>Produto</t>
        </is>
      </c>
      <c r="D672" s="106" t="inlineStr">
        <is>
          <t>Óculos esportivos leve branco</t>
        </is>
      </c>
      <c r="E672" s="107" t="n">
        <v>112.34</v>
      </c>
      <c r="F672" s="108" t="n">
        <v>50</v>
      </c>
      <c r="G672" s="107">
        <f>ROUND(E672*(1+IF(ABS(F672)&lt;=1,F672,F672/100)),2)</f>
        <v/>
      </c>
      <c r="H672" s="105" t="n">
        <v>15</v>
      </c>
      <c r="I672" s="105" t="n">
        <v>5</v>
      </c>
      <c r="J672" s="105">
        <f>IF(OR(UPPER(C672)="SERVIÇO",UPPER(C672)="SERVICO"),"SERVIÇO",IF(H672&lt;=0,"ZERADO",IF(H672&lt;=I672,"ESTOQUE BAIXO","NORMAL")))</f>
        <v/>
      </c>
      <c r="K672" s="107">
        <f>IF(OR(UPPER(C672)="SERVIÇO",UPPER(C672)="SERVICO"),0,N(H672)*N(E672))</f>
        <v/>
      </c>
      <c r="L672" s="107">
        <f>IF(OR(UPPER(C672)="SERVIÇO",UPPER(C672)="SERVICO"),0,N(H672)*N(G672))</f>
        <v/>
      </c>
      <c r="M672" s="107">
        <f>IF(OR(UPPER(C672)="SERVIÇO",UPPER(C672)="SERVICO"),0,L672-K672)</f>
        <v/>
      </c>
    </row>
    <row r="673" ht="15" customHeight="1">
      <c r="B673" s="105" t="n">
        <v>662</v>
      </c>
      <c r="C673" s="105" t="inlineStr">
        <is>
          <t>Produto</t>
        </is>
      </c>
      <c r="D673" s="106" t="inlineStr">
        <is>
          <t>Luva de boxe para uso diário cinza tam. 34</t>
        </is>
      </c>
      <c r="E673" s="107" t="n">
        <v>74.8</v>
      </c>
      <c r="F673" s="108" t="n">
        <v>50</v>
      </c>
      <c r="G673" s="107">
        <f>ROUND(E673*(1+IF(ABS(F673)&lt;=1,F673,F673/100)),2)</f>
        <v/>
      </c>
      <c r="H673" s="105" t="n">
        <v>15</v>
      </c>
      <c r="I673" s="105" t="n">
        <v>5</v>
      </c>
      <c r="J673" s="105">
        <f>IF(OR(UPPER(C673)="SERVIÇO",UPPER(C673)="SERVICO"),"SERVIÇO",IF(H673&lt;=0,"ZERADO",IF(H673&lt;=I673,"ESTOQUE BAIXO","NORMAL")))</f>
        <v/>
      </c>
      <c r="K673" s="107">
        <f>IF(OR(UPPER(C673)="SERVIÇO",UPPER(C673)="SERVICO"),0,N(H673)*N(E673))</f>
        <v/>
      </c>
      <c r="L673" s="107">
        <f>IF(OR(UPPER(C673)="SERVIÇO",UPPER(C673)="SERVICO"),0,N(H673)*N(G673))</f>
        <v/>
      </c>
      <c r="M673" s="107">
        <f>IF(OR(UPPER(C673)="SERVIÇO",UPPER(C673)="SERVICO"),0,L673-K673)</f>
        <v/>
      </c>
    </row>
    <row r="674" ht="15" customHeight="1">
      <c r="B674" s="105" t="n">
        <v>663</v>
      </c>
      <c r="C674" s="105" t="inlineStr">
        <is>
          <t>Produto</t>
        </is>
      </c>
      <c r="D674" s="106" t="inlineStr">
        <is>
          <t>Bastão de caminhada unissex laranja</t>
        </is>
      </c>
      <c r="E674" s="107" t="n">
        <v>157.55</v>
      </c>
      <c r="F674" s="108" t="n">
        <v>50</v>
      </c>
      <c r="G674" s="107">
        <f>ROUND(E674*(1+IF(ABS(F674)&lt;=1,F674,F674/100)),2)</f>
        <v/>
      </c>
      <c r="H674" s="105" t="n">
        <v>15</v>
      </c>
      <c r="I674" s="105" t="n">
        <v>5</v>
      </c>
      <c r="J674" s="105">
        <f>IF(OR(UPPER(C674)="SERVIÇO",UPPER(C674)="SERVICO"),"SERVIÇO",IF(H674&lt;=0,"ZERADO",IF(H674&lt;=I674,"ESTOQUE BAIXO","NORMAL")))</f>
        <v/>
      </c>
      <c r="K674" s="107">
        <f>IF(OR(UPPER(C674)="SERVIÇO",UPPER(C674)="SERVICO"),0,N(H674)*N(E674))</f>
        <v/>
      </c>
      <c r="L674" s="107">
        <f>IF(OR(UPPER(C674)="SERVIÇO",UPPER(C674)="SERVICO"),0,N(H674)*N(G674))</f>
        <v/>
      </c>
      <c r="M674" s="107">
        <f>IF(OR(UPPER(C674)="SERVIÇO",UPPER(C674)="SERVICO"),0,L674-K674)</f>
        <v/>
      </c>
    </row>
    <row r="675" ht="15" customHeight="1">
      <c r="B675" s="105" t="n">
        <v>664</v>
      </c>
      <c r="C675" s="105" t="inlineStr">
        <is>
          <t>Produto</t>
        </is>
      </c>
      <c r="D675" s="106" t="inlineStr">
        <is>
          <t>Banco de musculação juvenil vermelho</t>
        </is>
      </c>
      <c r="E675" s="107" t="n">
        <v>975.1</v>
      </c>
      <c r="F675" s="108" t="n">
        <v>50</v>
      </c>
      <c r="G675" s="107">
        <f>ROUND(E675*(1+IF(ABS(F675)&lt;=1,F675,F675/100)),2)</f>
        <v/>
      </c>
      <c r="H675" s="105" t="n">
        <v>15</v>
      </c>
      <c r="I675" s="105" t="n">
        <v>5</v>
      </c>
      <c r="J675" s="105">
        <f>IF(OR(UPPER(C675)="SERVIÇO",UPPER(C675)="SERVICO"),"SERVIÇO",IF(H675&lt;=0,"ZERADO",IF(H675&lt;=I675,"ESTOQUE BAIXO","NORMAL")))</f>
        <v/>
      </c>
      <c r="K675" s="107">
        <f>IF(OR(UPPER(C675)="SERVIÇO",UPPER(C675)="SERVICO"),0,N(H675)*N(E675))</f>
        <v/>
      </c>
      <c r="L675" s="107">
        <f>IF(OR(UPPER(C675)="SERVIÇO",UPPER(C675)="SERVICO"),0,N(H675)*N(G675))</f>
        <v/>
      </c>
      <c r="M675" s="107">
        <f>IF(OR(UPPER(C675)="SERVIÇO",UPPER(C675)="SERVICO"),0,L675-K675)</f>
        <v/>
      </c>
    </row>
    <row r="676" ht="15" customHeight="1">
      <c r="B676" s="105" t="n">
        <v>665</v>
      </c>
      <c r="C676" s="105" t="inlineStr">
        <is>
          <t>Produto</t>
        </is>
      </c>
      <c r="D676" s="106" t="inlineStr">
        <is>
          <t>Kimono de judô unissex azul tam. 40</t>
        </is>
      </c>
      <c r="E676" s="107" t="n">
        <v>102.13</v>
      </c>
      <c r="F676" s="108" t="n">
        <v>50</v>
      </c>
      <c r="G676" s="107">
        <f>ROUND(E676*(1+IF(ABS(F676)&lt;=1,F676,F676/100)),2)</f>
        <v/>
      </c>
      <c r="H676" s="105" t="n">
        <v>15</v>
      </c>
      <c r="I676" s="105" t="n">
        <v>5</v>
      </c>
      <c r="J676" s="105">
        <f>IF(OR(UPPER(C676)="SERVIÇO",UPPER(C676)="SERVICO"),"SERVIÇO",IF(H676&lt;=0,"ZERADO",IF(H676&lt;=I676,"ESTOQUE BAIXO","NORMAL")))</f>
        <v/>
      </c>
      <c r="K676" s="107">
        <f>IF(OR(UPPER(C676)="SERVIÇO",UPPER(C676)="SERVICO"),0,N(H676)*N(E676))</f>
        <v/>
      </c>
      <c r="L676" s="107">
        <f>IF(OR(UPPER(C676)="SERVIÇO",UPPER(C676)="SERVICO"),0,N(H676)*N(G676))</f>
        <v/>
      </c>
      <c r="M676" s="107">
        <f>IF(OR(UPPER(C676)="SERVIÇO",UPPER(C676)="SERVICO"),0,L676-K676)</f>
        <v/>
      </c>
    </row>
    <row r="677" ht="15" customHeight="1">
      <c r="B677" s="105" t="n">
        <v>666</v>
      </c>
      <c r="C677" s="105" t="inlineStr">
        <is>
          <t>Produto</t>
        </is>
      </c>
      <c r="D677" s="106" t="inlineStr">
        <is>
          <t>Bola de pilates compacto branco</t>
        </is>
      </c>
      <c r="E677" s="107" t="n">
        <v>118.25</v>
      </c>
      <c r="F677" s="108" t="n">
        <v>50</v>
      </c>
      <c r="G677" s="107">
        <f>ROUND(E677*(1+IF(ABS(F677)&lt;=1,F677,F677/100)),2)</f>
        <v/>
      </c>
      <c r="H677" s="105" t="n">
        <v>15</v>
      </c>
      <c r="I677" s="105" t="n">
        <v>5</v>
      </c>
      <c r="J677" s="105">
        <f>IF(OR(UPPER(C677)="SERVIÇO",UPPER(C677)="SERVICO"),"SERVIÇO",IF(H677&lt;=0,"ZERADO",IF(H677&lt;=I677,"ESTOQUE BAIXO","NORMAL")))</f>
        <v/>
      </c>
      <c r="K677" s="107">
        <f>IF(OR(UPPER(C677)="SERVIÇO",UPPER(C677)="SERVICO"),0,N(H677)*N(E677))</f>
        <v/>
      </c>
      <c r="L677" s="107">
        <f>IF(OR(UPPER(C677)="SERVIÇO",UPPER(C677)="SERVICO"),0,N(H677)*N(G677))</f>
        <v/>
      </c>
      <c r="M677" s="107">
        <f>IF(OR(UPPER(C677)="SERVIÇO",UPPER(C677)="SERVICO"),0,L677-K677)</f>
        <v/>
      </c>
    </row>
    <row r="678" ht="15" customHeight="1">
      <c r="B678" s="105" t="n">
        <v>667</v>
      </c>
      <c r="C678" s="105" t="inlineStr">
        <is>
          <t>Produto</t>
        </is>
      </c>
      <c r="D678" s="106" t="inlineStr">
        <is>
          <t>Camiseta esportiva modelo básico rosa tam. P</t>
        </is>
      </c>
      <c r="E678" s="107" t="n">
        <v>44.99</v>
      </c>
      <c r="F678" s="108" t="n">
        <v>50</v>
      </c>
      <c r="G678" s="107">
        <f>ROUND(E678*(1+IF(ABS(F678)&lt;=1,F678,F678/100)),2)</f>
        <v/>
      </c>
      <c r="H678" s="105" t="n">
        <v>15</v>
      </c>
      <c r="I678" s="105" t="n">
        <v>5</v>
      </c>
      <c r="J678" s="105">
        <f>IF(OR(UPPER(C678)="SERVIÇO",UPPER(C678)="SERVICO"),"SERVIÇO",IF(H678&lt;=0,"ZERADO",IF(H678&lt;=I678,"ESTOQUE BAIXO","NORMAL")))</f>
        <v/>
      </c>
      <c r="K678" s="107">
        <f>IF(OR(UPPER(C678)="SERVIÇO",UPPER(C678)="SERVICO"),0,N(H678)*N(E678))</f>
        <v/>
      </c>
      <c r="L678" s="107">
        <f>IF(OR(UPPER(C678)="SERVIÇO",UPPER(C678)="SERVICO"),0,N(H678)*N(G678))</f>
        <v/>
      </c>
      <c r="M678" s="107">
        <f>IF(OR(UPPER(C678)="SERVIÇO",UPPER(C678)="SERVICO"),0,L678-K678)</f>
        <v/>
      </c>
    </row>
    <row r="679" ht="15" customHeight="1">
      <c r="B679" s="105" t="n">
        <v>668</v>
      </c>
      <c r="C679" s="105" t="inlineStr">
        <is>
          <t>Produto</t>
        </is>
      </c>
      <c r="D679" s="106" t="inlineStr">
        <is>
          <t>Meias esportivas modelo avançado cinza tam. M</t>
        </is>
      </c>
      <c r="E679" s="107" t="n">
        <v>31.87</v>
      </c>
      <c r="F679" s="108" t="n">
        <v>50</v>
      </c>
      <c r="G679" s="107">
        <f>ROUND(E679*(1+IF(ABS(F679)&lt;=1,F679,F679/100)),2)</f>
        <v/>
      </c>
      <c r="H679" s="105" t="n">
        <v>15</v>
      </c>
      <c r="I679" s="105" t="n">
        <v>5</v>
      </c>
      <c r="J679" s="105">
        <f>IF(OR(UPPER(C679)="SERVIÇO",UPPER(C679)="SERVICO"),"SERVIÇO",IF(H679&lt;=0,"ZERADO",IF(H679&lt;=I679,"ESTOQUE BAIXO","NORMAL")))</f>
        <v/>
      </c>
      <c r="K679" s="107">
        <f>IF(OR(UPPER(C679)="SERVIÇO",UPPER(C679)="SERVICO"),0,N(H679)*N(E679))</f>
        <v/>
      </c>
      <c r="L679" s="107">
        <f>IF(OR(UPPER(C679)="SERVIÇO",UPPER(C679)="SERVICO"),0,N(H679)*N(G679))</f>
        <v/>
      </c>
      <c r="M679" s="107">
        <f>IF(OR(UPPER(C679)="SERVIÇO",UPPER(C679)="SERVICO"),0,L679-K679)</f>
        <v/>
      </c>
    </row>
    <row r="680" ht="15" customHeight="1">
      <c r="B680" s="105" t="n">
        <v>669</v>
      </c>
      <c r="C680" s="105" t="inlineStr">
        <is>
          <t>Produto</t>
        </is>
      </c>
      <c r="D680" s="106" t="inlineStr">
        <is>
          <t>Raquete de tênis com ajuste laranja tam. G</t>
        </is>
      </c>
      <c r="E680" s="107" t="n">
        <v>483.83</v>
      </c>
      <c r="F680" s="108" t="n">
        <v>50</v>
      </c>
      <c r="G680" s="107">
        <f>ROUND(E680*(1+IF(ABS(F680)&lt;=1,F680,F680/100)),2)</f>
        <v/>
      </c>
      <c r="H680" s="105" t="n">
        <v>15</v>
      </c>
      <c r="I680" s="105" t="n">
        <v>5</v>
      </c>
      <c r="J680" s="105">
        <f>IF(OR(UPPER(C680)="SERVIÇO",UPPER(C680)="SERVICO"),"SERVIÇO",IF(H680&lt;=0,"ZERADO",IF(H680&lt;=I680,"ESTOQUE BAIXO","NORMAL")))</f>
        <v/>
      </c>
      <c r="K680" s="107">
        <f>IF(OR(UPPER(C680)="SERVIÇO",UPPER(C680)="SERVICO"),0,N(H680)*N(E680))</f>
        <v/>
      </c>
      <c r="L680" s="107">
        <f>IF(OR(UPPER(C680)="SERVIÇO",UPPER(C680)="SERVICO"),0,N(H680)*N(G680))</f>
        <v/>
      </c>
      <c r="M680" s="107">
        <f>IF(OR(UPPER(C680)="SERVIÇO",UPPER(C680)="SERVICO"),0,L680-K680)</f>
        <v/>
      </c>
    </row>
    <row r="681" ht="15" customHeight="1">
      <c r="B681" s="105" t="n">
        <v>670</v>
      </c>
      <c r="C681" s="105" t="inlineStr">
        <is>
          <t>Produto</t>
        </is>
      </c>
      <c r="D681" s="106" t="inlineStr">
        <is>
          <t>Óculos esportivos modelo avançado laranja</t>
        </is>
      </c>
      <c r="E681" s="107" t="n">
        <v>64.09999999999999</v>
      </c>
      <c r="F681" s="108" t="n">
        <v>50</v>
      </c>
      <c r="G681" s="107">
        <f>ROUND(E681*(1+IF(ABS(F681)&lt;=1,F681,F681/100)),2)</f>
        <v/>
      </c>
      <c r="H681" s="105" t="n">
        <v>15</v>
      </c>
      <c r="I681" s="105" t="n">
        <v>5</v>
      </c>
      <c r="J681" s="105">
        <f>IF(OR(UPPER(C681)="SERVIÇO",UPPER(C681)="SERVICO"),"SERVIÇO",IF(H681&lt;=0,"ZERADO",IF(H681&lt;=I681,"ESTOQUE BAIXO","NORMAL")))</f>
        <v/>
      </c>
      <c r="K681" s="107">
        <f>IF(OR(UPPER(C681)="SERVIÇO",UPPER(C681)="SERVICO"),0,N(H681)*N(E681))</f>
        <v/>
      </c>
      <c r="L681" s="107">
        <f>IF(OR(UPPER(C681)="SERVIÇO",UPPER(C681)="SERVICO"),0,N(H681)*N(G681))</f>
        <v/>
      </c>
      <c r="M681" s="107">
        <f>IF(OR(UPPER(C681)="SERVIÇO",UPPER(C681)="SERVICO"),0,L681-K681)</f>
        <v/>
      </c>
    </row>
    <row r="682" ht="15" customHeight="1">
      <c r="B682" s="105" t="n">
        <v>671</v>
      </c>
      <c r="C682" s="105" t="inlineStr">
        <is>
          <t>Produto</t>
        </is>
      </c>
      <c r="D682" s="106" t="inlineStr">
        <is>
          <t>Luva de ciclismo compacto vermelho tam. 40</t>
        </is>
      </c>
      <c r="E682" s="107" t="n">
        <v>25.46</v>
      </c>
      <c r="F682" s="108" t="n">
        <v>50</v>
      </c>
      <c r="G682" s="107">
        <f>ROUND(E682*(1+IF(ABS(F682)&lt;=1,F682,F682/100)),2)</f>
        <v/>
      </c>
      <c r="H682" s="105" t="n">
        <v>15</v>
      </c>
      <c r="I682" s="105" t="n">
        <v>5</v>
      </c>
      <c r="J682" s="105">
        <f>IF(OR(UPPER(C682)="SERVIÇO",UPPER(C682)="SERVICO"),"SERVIÇO",IF(H682&lt;=0,"ZERADO",IF(H682&lt;=I682,"ESTOQUE BAIXO","NORMAL")))</f>
        <v/>
      </c>
      <c r="K682" s="107">
        <f>IF(OR(UPPER(C682)="SERVIÇO",UPPER(C682)="SERVICO"),0,N(H682)*N(E682))</f>
        <v/>
      </c>
      <c r="L682" s="107">
        <f>IF(OR(UPPER(C682)="SERVIÇO",UPPER(C682)="SERVICO"),0,N(H682)*N(G682))</f>
        <v/>
      </c>
      <c r="M682" s="107">
        <f>IF(OR(UPPER(C682)="SERVIÇO",UPPER(C682)="SERVICO"),0,L682-K682)</f>
        <v/>
      </c>
    </row>
    <row r="683" ht="15" customHeight="1">
      <c r="B683" s="105" t="n">
        <v>672</v>
      </c>
      <c r="C683" s="105" t="inlineStr">
        <is>
          <t>Produto</t>
        </is>
      </c>
      <c r="D683" s="106" t="inlineStr">
        <is>
          <t>Bola de vôlei adulto branco</t>
        </is>
      </c>
      <c r="E683" s="107" t="n">
        <v>45.88</v>
      </c>
      <c r="F683" s="108" t="n">
        <v>50</v>
      </c>
      <c r="G683" s="107">
        <f>ROUND(E683*(1+IF(ABS(F683)&lt;=1,F683,F683/100)),2)</f>
        <v/>
      </c>
      <c r="H683" s="105" t="n">
        <v>15</v>
      </c>
      <c r="I683" s="105" t="n">
        <v>5</v>
      </c>
      <c r="J683" s="105">
        <f>IF(OR(UPPER(C683)="SERVIÇO",UPPER(C683)="SERVICO"),"SERVIÇO",IF(H683&lt;=0,"ZERADO",IF(H683&lt;=I683,"ESTOQUE BAIXO","NORMAL")))</f>
        <v/>
      </c>
      <c r="K683" s="107">
        <f>IF(OR(UPPER(C683)="SERVIÇO",UPPER(C683)="SERVICO"),0,N(H683)*N(E683))</f>
        <v/>
      </c>
      <c r="L683" s="107">
        <f>IF(OR(UPPER(C683)="SERVIÇO",UPPER(C683)="SERVICO"),0,N(H683)*N(G683))</f>
        <v/>
      </c>
      <c r="M683" s="107">
        <f>IF(OR(UPPER(C683)="SERVIÇO",UPPER(C683)="SERVICO"),0,L683-K683)</f>
        <v/>
      </c>
    </row>
    <row r="684" ht="15" customHeight="1">
      <c r="B684" s="105" t="n">
        <v>673</v>
      </c>
      <c r="C684" s="105" t="inlineStr">
        <is>
          <t>Produto</t>
        </is>
      </c>
      <c r="D684" s="106" t="inlineStr">
        <is>
          <t>Tênis de corrida modelo básico vermelho tam. 38</t>
        </is>
      </c>
      <c r="E684" s="107" t="n">
        <v>172</v>
      </c>
      <c r="F684" s="108" t="n">
        <v>50</v>
      </c>
      <c r="G684" s="107">
        <f>ROUND(E684*(1+IF(ABS(F684)&lt;=1,F684,F684/100)),2)</f>
        <v/>
      </c>
      <c r="H684" s="105" t="n">
        <v>15</v>
      </c>
      <c r="I684" s="105" t="n">
        <v>5</v>
      </c>
      <c r="J684" s="105">
        <f>IF(OR(UPPER(C684)="SERVIÇO",UPPER(C684)="SERVICO"),"SERVIÇO",IF(H684&lt;=0,"ZERADO",IF(H684&lt;=I684,"ESTOQUE BAIXO","NORMAL")))</f>
        <v/>
      </c>
      <c r="K684" s="107">
        <f>IF(OR(UPPER(C684)="SERVIÇO",UPPER(C684)="SERVICO"),0,N(H684)*N(E684))</f>
        <v/>
      </c>
      <c r="L684" s="107">
        <f>IF(OR(UPPER(C684)="SERVIÇO",UPPER(C684)="SERVICO"),0,N(H684)*N(G684))</f>
        <v/>
      </c>
      <c r="M684" s="107">
        <f>IF(OR(UPPER(C684)="SERVIÇO",UPPER(C684)="SERVICO"),0,L684-K684)</f>
        <v/>
      </c>
    </row>
    <row r="685" ht="15" customHeight="1">
      <c r="B685" s="105" t="n">
        <v>674</v>
      </c>
      <c r="C685" s="105" t="inlineStr">
        <is>
          <t>Produto</t>
        </is>
      </c>
      <c r="D685" s="106" t="inlineStr">
        <is>
          <t>Raquete de beach tennis profissional branco</t>
        </is>
      </c>
      <c r="E685" s="107" t="n">
        <v>494.95</v>
      </c>
      <c r="F685" s="108" t="n">
        <v>50</v>
      </c>
      <c r="G685" s="107">
        <f>ROUND(E685*(1+IF(ABS(F685)&lt;=1,F685,F685/100)),2)</f>
        <v/>
      </c>
      <c r="H685" s="105" t="n">
        <v>15</v>
      </c>
      <c r="I685" s="105" t="n">
        <v>5</v>
      </c>
      <c r="J685" s="105">
        <f>IF(OR(UPPER(C685)="SERVIÇO",UPPER(C685)="SERVICO"),"SERVIÇO",IF(H685&lt;=0,"ZERADO",IF(H685&lt;=I685,"ESTOQUE BAIXO","NORMAL")))</f>
        <v/>
      </c>
      <c r="K685" s="107">
        <f>IF(OR(UPPER(C685)="SERVIÇO",UPPER(C685)="SERVICO"),0,N(H685)*N(E685))</f>
        <v/>
      </c>
      <c r="L685" s="107">
        <f>IF(OR(UPPER(C685)="SERVIÇO",UPPER(C685)="SERVICO"),0,N(H685)*N(G685))</f>
        <v/>
      </c>
      <c r="M685" s="107">
        <f>IF(OR(UPPER(C685)="SERVIÇO",UPPER(C685)="SERVICO"),0,L685-K685)</f>
        <v/>
      </c>
    </row>
    <row r="686" ht="15" customHeight="1">
      <c r="B686" s="105" t="n">
        <v>675</v>
      </c>
      <c r="C686" s="105" t="inlineStr">
        <is>
          <t>Produto</t>
        </is>
      </c>
      <c r="D686" s="106" t="inlineStr">
        <is>
          <t>Kimono de judô adulto laranja tam. G</t>
        </is>
      </c>
      <c r="E686" s="107" t="n">
        <v>242.14</v>
      </c>
      <c r="F686" s="108" t="n">
        <v>50</v>
      </c>
      <c r="G686" s="107">
        <f>ROUND(E686*(1+IF(ABS(F686)&lt;=1,F686,F686/100)),2)</f>
        <v/>
      </c>
      <c r="H686" s="105" t="n">
        <v>15</v>
      </c>
      <c r="I686" s="105" t="n">
        <v>5</v>
      </c>
      <c r="J686" s="105">
        <f>IF(OR(UPPER(C686)="SERVIÇO",UPPER(C686)="SERVICO"),"SERVIÇO",IF(H686&lt;=0,"ZERADO",IF(H686&lt;=I686,"ESTOQUE BAIXO","NORMAL")))</f>
        <v/>
      </c>
      <c r="K686" s="107">
        <f>IF(OR(UPPER(C686)="SERVIÇO",UPPER(C686)="SERVICO"),0,N(H686)*N(E686))</f>
        <v/>
      </c>
      <c r="L686" s="107">
        <f>IF(OR(UPPER(C686)="SERVIÇO",UPPER(C686)="SERVICO"),0,N(H686)*N(G686))</f>
        <v/>
      </c>
      <c r="M686" s="107">
        <f>IF(OR(UPPER(C686)="SERVIÇO",UPPER(C686)="SERVICO"),0,L686-K686)</f>
        <v/>
      </c>
    </row>
    <row r="687" ht="15" customHeight="1">
      <c r="B687" s="105" t="n">
        <v>676</v>
      </c>
      <c r="C687" s="105" t="inlineStr">
        <is>
          <t>Produto</t>
        </is>
      </c>
      <c r="D687" s="106" t="inlineStr">
        <is>
          <t>Bicicleta ergométrica juvenil azul</t>
        </is>
      </c>
      <c r="E687" s="107" t="n">
        <v>1234.03</v>
      </c>
      <c r="F687" s="108" t="n">
        <v>50</v>
      </c>
      <c r="G687" s="107">
        <f>ROUND(E687*(1+IF(ABS(F687)&lt;=1,F687,F687/100)),2)</f>
        <v/>
      </c>
      <c r="H687" s="105" t="n">
        <v>15</v>
      </c>
      <c r="I687" s="105" t="n">
        <v>5</v>
      </c>
      <c r="J687" s="105">
        <f>IF(OR(UPPER(C687)="SERVIÇO",UPPER(C687)="SERVICO"),"SERVIÇO",IF(H687&lt;=0,"ZERADO",IF(H687&lt;=I687,"ESTOQUE BAIXO","NORMAL")))</f>
        <v/>
      </c>
      <c r="K687" s="107">
        <f>IF(OR(UPPER(C687)="SERVIÇO",UPPER(C687)="SERVICO"),0,N(H687)*N(E687))</f>
        <v/>
      </c>
      <c r="L687" s="107">
        <f>IF(OR(UPPER(C687)="SERVIÇO",UPPER(C687)="SERVICO"),0,N(H687)*N(G687))</f>
        <v/>
      </c>
      <c r="M687" s="107">
        <f>IF(OR(UPPER(C687)="SERVIÇO",UPPER(C687)="SERVICO"),0,L687-K687)</f>
        <v/>
      </c>
    </row>
    <row r="688" ht="15" customHeight="1">
      <c r="B688" s="105" t="n">
        <v>677</v>
      </c>
      <c r="C688" s="105" t="inlineStr">
        <is>
          <t>Produto</t>
        </is>
      </c>
      <c r="D688" s="106" t="inlineStr">
        <is>
          <t>Short esportivo ventilado cinza tam. 34</t>
        </is>
      </c>
      <c r="E688" s="107" t="n">
        <v>44.71</v>
      </c>
      <c r="F688" s="108" t="n">
        <v>50</v>
      </c>
      <c r="G688" s="107">
        <f>ROUND(E688*(1+IF(ABS(F688)&lt;=1,F688,F688/100)),2)</f>
        <v/>
      </c>
      <c r="H688" s="105" t="n">
        <v>15</v>
      </c>
      <c r="I688" s="105" t="n">
        <v>5</v>
      </c>
      <c r="J688" s="105">
        <f>IF(OR(UPPER(C688)="SERVIÇO",UPPER(C688)="SERVICO"),"SERVIÇO",IF(H688&lt;=0,"ZERADO",IF(H688&lt;=I688,"ESTOQUE BAIXO","NORMAL")))</f>
        <v/>
      </c>
      <c r="K688" s="107">
        <f>IF(OR(UPPER(C688)="SERVIÇO",UPPER(C688)="SERVICO"),0,N(H688)*N(E688))</f>
        <v/>
      </c>
      <c r="L688" s="107">
        <f>IF(OR(UPPER(C688)="SERVIÇO",UPPER(C688)="SERVICO"),0,N(H688)*N(G688))</f>
        <v/>
      </c>
      <c r="M688" s="107">
        <f>IF(OR(UPPER(C688)="SERVIÇO",UPPER(C688)="SERVICO"),0,L688-K688)</f>
        <v/>
      </c>
    </row>
    <row r="689" ht="15" customHeight="1">
      <c r="B689" s="105" t="n">
        <v>678</v>
      </c>
      <c r="C689" s="105" t="inlineStr">
        <is>
          <t>Produto</t>
        </is>
      </c>
      <c r="D689" s="106" t="inlineStr">
        <is>
          <t>Tênis de corrida para uso diário rosa tam. G</t>
        </is>
      </c>
      <c r="E689" s="107" t="n">
        <v>117.74</v>
      </c>
      <c r="F689" s="108" t="n">
        <v>50</v>
      </c>
      <c r="G689" s="107">
        <f>ROUND(E689*(1+IF(ABS(F689)&lt;=1,F689,F689/100)),2)</f>
        <v/>
      </c>
      <c r="H689" s="105" t="n">
        <v>15</v>
      </c>
      <c r="I689" s="105" t="n">
        <v>5</v>
      </c>
      <c r="J689" s="105">
        <f>IF(OR(UPPER(C689)="SERVIÇO",UPPER(C689)="SERVICO"),"SERVIÇO",IF(H689&lt;=0,"ZERADO",IF(H689&lt;=I689,"ESTOQUE BAIXO","NORMAL")))</f>
        <v/>
      </c>
      <c r="K689" s="107">
        <f>IF(OR(UPPER(C689)="SERVIÇO",UPPER(C689)="SERVICO"),0,N(H689)*N(E689))</f>
        <v/>
      </c>
      <c r="L689" s="107">
        <f>IF(OR(UPPER(C689)="SERVIÇO",UPPER(C689)="SERVICO"),0,N(H689)*N(G689))</f>
        <v/>
      </c>
      <c r="M689" s="107">
        <f>IF(OR(UPPER(C689)="SERVIÇO",UPPER(C689)="SERVICO"),0,L689-K689)</f>
        <v/>
      </c>
    </row>
    <row r="690" ht="15" customHeight="1">
      <c r="B690" s="105" t="n">
        <v>679</v>
      </c>
      <c r="C690" s="105" t="inlineStr">
        <is>
          <t>Produto</t>
        </is>
      </c>
      <c r="D690" s="106" t="inlineStr">
        <is>
          <t>Bola de futebol profissional cinza</t>
        </is>
      </c>
      <c r="E690" s="107" t="n">
        <v>153.52</v>
      </c>
      <c r="F690" s="108" t="n">
        <v>50</v>
      </c>
      <c r="G690" s="107">
        <f>ROUND(E690*(1+IF(ABS(F690)&lt;=1,F690,F690/100)),2)</f>
        <v/>
      </c>
      <c r="H690" s="105" t="n">
        <v>15</v>
      </c>
      <c r="I690" s="105" t="n">
        <v>5</v>
      </c>
      <c r="J690" s="105">
        <f>IF(OR(UPPER(C690)="SERVIÇO",UPPER(C690)="SERVICO"),"SERVIÇO",IF(H690&lt;=0,"ZERADO",IF(H690&lt;=I690,"ESTOQUE BAIXO","NORMAL")))</f>
        <v/>
      </c>
      <c r="K690" s="107">
        <f>IF(OR(UPPER(C690)="SERVIÇO",UPPER(C690)="SERVICO"),0,N(H690)*N(E690))</f>
        <v/>
      </c>
      <c r="L690" s="107">
        <f>IF(OR(UPPER(C690)="SERVIÇO",UPPER(C690)="SERVICO"),0,N(H690)*N(G690))</f>
        <v/>
      </c>
      <c r="M690" s="107">
        <f>IF(OR(UPPER(C690)="SERVIÇO",UPPER(C690)="SERVICO"),0,L690-K690)</f>
        <v/>
      </c>
    </row>
    <row r="691" ht="15" customHeight="1">
      <c r="B691" s="105" t="n">
        <v>680</v>
      </c>
      <c r="C691" s="105" t="inlineStr">
        <is>
          <t>Produto</t>
        </is>
      </c>
      <c r="D691" s="106" t="inlineStr">
        <is>
          <t>Touca de natação ergonômico verde tam. M</t>
        </is>
      </c>
      <c r="E691" s="107" t="n">
        <v>10.25</v>
      </c>
      <c r="F691" s="108" t="n">
        <v>50</v>
      </c>
      <c r="G691" s="107">
        <f>ROUND(E691*(1+IF(ABS(F691)&lt;=1,F691,F691/100)),2)</f>
        <v/>
      </c>
      <c r="H691" s="105" t="n">
        <v>15</v>
      </c>
      <c r="I691" s="105" t="n">
        <v>5</v>
      </c>
      <c r="J691" s="105">
        <f>IF(OR(UPPER(C691)="SERVIÇO",UPPER(C691)="SERVICO"),"SERVIÇO",IF(H691&lt;=0,"ZERADO",IF(H691&lt;=I691,"ESTOQUE BAIXO","NORMAL")))</f>
        <v/>
      </c>
      <c r="K691" s="107">
        <f>IF(OR(UPPER(C691)="SERVIÇO",UPPER(C691)="SERVICO"),0,N(H691)*N(E691))</f>
        <v/>
      </c>
      <c r="L691" s="107">
        <f>IF(OR(UPPER(C691)="SERVIÇO",UPPER(C691)="SERVICO"),0,N(H691)*N(G691))</f>
        <v/>
      </c>
      <c r="M691" s="107">
        <f>IF(OR(UPPER(C691)="SERVIÇO",UPPER(C691)="SERVICO"),0,L691-K691)</f>
        <v/>
      </c>
    </row>
    <row r="692" ht="15" customHeight="1">
      <c r="B692" s="105" t="n">
        <v>681</v>
      </c>
      <c r="C692" s="105" t="inlineStr">
        <is>
          <t>Produto</t>
        </is>
      </c>
      <c r="D692" s="106" t="inlineStr">
        <is>
          <t>Camiseta esportiva profissional rosa tam. M</t>
        </is>
      </c>
      <c r="E692" s="107" t="n">
        <v>49.39</v>
      </c>
      <c r="F692" s="108" t="n">
        <v>50</v>
      </c>
      <c r="G692" s="107">
        <f>ROUND(E692*(1+IF(ABS(F692)&lt;=1,F692,F692/100)),2)</f>
        <v/>
      </c>
      <c r="H692" s="105" t="n">
        <v>15</v>
      </c>
      <c r="I692" s="105" t="n">
        <v>5</v>
      </c>
      <c r="J692" s="105">
        <f>IF(OR(UPPER(C692)="SERVIÇO",UPPER(C692)="SERVICO"),"SERVIÇO",IF(H692&lt;=0,"ZERADO",IF(H692&lt;=I692,"ESTOQUE BAIXO","NORMAL")))</f>
        <v/>
      </c>
      <c r="K692" s="107">
        <f>IF(OR(UPPER(C692)="SERVIÇO",UPPER(C692)="SERVICO"),0,N(H692)*N(E692))</f>
        <v/>
      </c>
      <c r="L692" s="107">
        <f>IF(OR(UPPER(C692)="SERVIÇO",UPPER(C692)="SERVICO"),0,N(H692)*N(G692))</f>
        <v/>
      </c>
      <c r="M692" s="107">
        <f>IF(OR(UPPER(C692)="SERVIÇO",UPPER(C692)="SERVICO"),0,L692-K692)</f>
        <v/>
      </c>
    </row>
    <row r="693" ht="15" customHeight="1">
      <c r="B693" s="105" t="n">
        <v>682</v>
      </c>
      <c r="C693" s="105" t="inlineStr">
        <is>
          <t>Produto</t>
        </is>
      </c>
      <c r="D693" s="106" t="inlineStr">
        <is>
          <t>Elástico de resistência ergonômico cinza</t>
        </is>
      </c>
      <c r="E693" s="107" t="n">
        <v>12.5</v>
      </c>
      <c r="F693" s="108" t="n">
        <v>50</v>
      </c>
      <c r="G693" s="107">
        <f>ROUND(E693*(1+IF(ABS(F693)&lt;=1,F693,F693/100)),2)</f>
        <v/>
      </c>
      <c r="H693" s="105" t="n">
        <v>15</v>
      </c>
      <c r="I693" s="105" t="n">
        <v>5</v>
      </c>
      <c r="J693" s="105">
        <f>IF(OR(UPPER(C693)="SERVIÇO",UPPER(C693)="SERVICO"),"SERVIÇO",IF(H693&lt;=0,"ZERADO",IF(H693&lt;=I693,"ESTOQUE BAIXO","NORMAL")))</f>
        <v/>
      </c>
      <c r="K693" s="107">
        <f>IF(OR(UPPER(C693)="SERVIÇO",UPPER(C693)="SERVICO"),0,N(H693)*N(E693))</f>
        <v/>
      </c>
      <c r="L693" s="107">
        <f>IF(OR(UPPER(C693)="SERVIÇO",UPPER(C693)="SERVICO"),0,N(H693)*N(G693))</f>
        <v/>
      </c>
      <c r="M693" s="107">
        <f>IF(OR(UPPER(C693)="SERVIÇO",UPPER(C693)="SERVICO"),0,L693-K693)</f>
        <v/>
      </c>
    </row>
    <row r="694" ht="15" customHeight="1">
      <c r="B694" s="105" t="n">
        <v>683</v>
      </c>
      <c r="C694" s="105" t="inlineStr">
        <is>
          <t>Produto</t>
        </is>
      </c>
      <c r="D694" s="106" t="inlineStr">
        <is>
          <t>Caneleira de futebol leve branco</t>
        </is>
      </c>
      <c r="E694" s="107" t="n">
        <v>81.01000000000001</v>
      </c>
      <c r="F694" s="108" t="n">
        <v>50</v>
      </c>
      <c r="G694" s="107">
        <f>ROUND(E694*(1+IF(ABS(F694)&lt;=1,F694,F694/100)),2)</f>
        <v/>
      </c>
      <c r="H694" s="105" t="n">
        <v>15</v>
      </c>
      <c r="I694" s="105" t="n">
        <v>5</v>
      </c>
      <c r="J694" s="105">
        <f>IF(OR(UPPER(C694)="SERVIÇO",UPPER(C694)="SERVICO"),"SERVIÇO",IF(H694&lt;=0,"ZERADO",IF(H694&lt;=I694,"ESTOQUE BAIXO","NORMAL")))</f>
        <v/>
      </c>
      <c r="K694" s="107">
        <f>IF(OR(UPPER(C694)="SERVIÇO",UPPER(C694)="SERVICO"),0,N(H694)*N(E694))</f>
        <v/>
      </c>
      <c r="L694" s="107">
        <f>IF(OR(UPPER(C694)="SERVIÇO",UPPER(C694)="SERVICO"),0,N(H694)*N(G694))</f>
        <v/>
      </c>
      <c r="M694" s="107">
        <f>IF(OR(UPPER(C694)="SERVIÇO",UPPER(C694)="SERVICO"),0,L694-K694)</f>
        <v/>
      </c>
    </row>
    <row r="695" ht="15" customHeight="1">
      <c r="B695" s="105" t="n">
        <v>684</v>
      </c>
      <c r="C695" s="105" t="inlineStr">
        <is>
          <t>Produto</t>
        </is>
      </c>
      <c r="D695" s="106" t="inlineStr">
        <is>
          <t>Tapete de yoga com ajuste preto</t>
        </is>
      </c>
      <c r="E695" s="107" t="n">
        <v>65.02</v>
      </c>
      <c r="F695" s="108" t="n">
        <v>50</v>
      </c>
      <c r="G695" s="107">
        <f>ROUND(E695*(1+IF(ABS(F695)&lt;=1,F695,F695/100)),2)</f>
        <v/>
      </c>
      <c r="H695" s="105" t="n">
        <v>15</v>
      </c>
      <c r="I695" s="105" t="n">
        <v>5</v>
      </c>
      <c r="J695" s="105">
        <f>IF(OR(UPPER(C695)="SERVIÇO",UPPER(C695)="SERVICO"),"SERVIÇO",IF(H695&lt;=0,"ZERADO",IF(H695&lt;=I695,"ESTOQUE BAIXO","NORMAL")))</f>
        <v/>
      </c>
      <c r="K695" s="107">
        <f>IF(OR(UPPER(C695)="SERVIÇO",UPPER(C695)="SERVICO"),0,N(H695)*N(E695))</f>
        <v/>
      </c>
      <c r="L695" s="107">
        <f>IF(OR(UPPER(C695)="SERVIÇO",UPPER(C695)="SERVICO"),0,N(H695)*N(G695))</f>
        <v/>
      </c>
      <c r="M695" s="107">
        <f>IF(OR(UPPER(C695)="SERVIÇO",UPPER(C695)="SERVICO"),0,L695-K695)</f>
        <v/>
      </c>
    </row>
    <row r="696" ht="15" customHeight="1">
      <c r="B696" s="105" t="n">
        <v>685</v>
      </c>
      <c r="C696" s="105" t="inlineStr">
        <is>
          <t>Produto</t>
        </is>
      </c>
      <c r="D696" s="106" t="inlineStr">
        <is>
          <t>Capacete de ciclismo compacto cinza</t>
        </is>
      </c>
      <c r="E696" s="107" t="n">
        <v>223.99</v>
      </c>
      <c r="F696" s="108" t="n">
        <v>50</v>
      </c>
      <c r="G696" s="107">
        <f>ROUND(E696*(1+IF(ABS(F696)&lt;=1,F696,F696/100)),2)</f>
        <v/>
      </c>
      <c r="H696" s="105" t="n">
        <v>15</v>
      </c>
      <c r="I696" s="105" t="n">
        <v>5</v>
      </c>
      <c r="J696" s="105">
        <f>IF(OR(UPPER(C696)="SERVIÇO",UPPER(C696)="SERVICO"),"SERVIÇO",IF(H696&lt;=0,"ZERADO",IF(H696&lt;=I696,"ESTOQUE BAIXO","NORMAL")))</f>
        <v/>
      </c>
      <c r="K696" s="107">
        <f>IF(OR(UPPER(C696)="SERVIÇO",UPPER(C696)="SERVICO"),0,N(H696)*N(E696))</f>
        <v/>
      </c>
      <c r="L696" s="107">
        <f>IF(OR(UPPER(C696)="SERVIÇO",UPPER(C696)="SERVICO"),0,N(H696)*N(G696))</f>
        <v/>
      </c>
      <c r="M696" s="107">
        <f>IF(OR(UPPER(C696)="SERVIÇO",UPPER(C696)="SERVICO"),0,L696-K696)</f>
        <v/>
      </c>
    </row>
    <row r="697" ht="15" customHeight="1">
      <c r="B697" s="105" t="n">
        <v>686</v>
      </c>
      <c r="C697" s="105" t="inlineStr">
        <is>
          <t>Produto</t>
        </is>
      </c>
      <c r="D697" s="106" t="inlineStr">
        <is>
          <t>Chuteira society profissional branco tam. 42</t>
        </is>
      </c>
      <c r="E697" s="107" t="n">
        <v>208.97</v>
      </c>
      <c r="F697" s="108" t="n">
        <v>50</v>
      </c>
      <c r="G697" s="107">
        <f>ROUND(E697*(1+IF(ABS(F697)&lt;=1,F697,F697/100)),2)</f>
        <v/>
      </c>
      <c r="H697" s="105" t="n">
        <v>15</v>
      </c>
      <c r="I697" s="105" t="n">
        <v>5</v>
      </c>
      <c r="J697" s="105">
        <f>IF(OR(UPPER(C697)="SERVIÇO",UPPER(C697)="SERVICO"),"SERVIÇO",IF(H697&lt;=0,"ZERADO",IF(H697&lt;=I697,"ESTOQUE BAIXO","NORMAL")))</f>
        <v/>
      </c>
      <c r="K697" s="107">
        <f>IF(OR(UPPER(C697)="SERVIÇO",UPPER(C697)="SERVICO"),0,N(H697)*N(E697))</f>
        <v/>
      </c>
      <c r="L697" s="107">
        <f>IF(OR(UPPER(C697)="SERVIÇO",UPPER(C697)="SERVICO"),0,N(H697)*N(G697))</f>
        <v/>
      </c>
      <c r="M697" s="107">
        <f>IF(OR(UPPER(C697)="SERVIÇO",UPPER(C697)="SERVICO"),0,L697-K697)</f>
        <v/>
      </c>
    </row>
    <row r="698" ht="15" customHeight="1">
      <c r="B698" s="105" t="n">
        <v>687</v>
      </c>
      <c r="C698" s="105" t="inlineStr">
        <is>
          <t>Produto</t>
        </is>
      </c>
      <c r="D698" s="106" t="inlineStr">
        <is>
          <t>Step de ginástica compacto preto</t>
        </is>
      </c>
      <c r="E698" s="107" t="n">
        <v>261.73</v>
      </c>
      <c r="F698" s="108" t="n">
        <v>50</v>
      </c>
      <c r="G698" s="107">
        <f>ROUND(E698*(1+IF(ABS(F698)&lt;=1,F698,F698/100)),2)</f>
        <v/>
      </c>
      <c r="H698" s="105" t="n">
        <v>15</v>
      </c>
      <c r="I698" s="105" t="n">
        <v>5</v>
      </c>
      <c r="J698" s="105">
        <f>IF(OR(UPPER(C698)="SERVIÇO",UPPER(C698)="SERVICO"),"SERVIÇO",IF(H698&lt;=0,"ZERADO",IF(H698&lt;=I698,"ESTOQUE BAIXO","NORMAL")))</f>
        <v/>
      </c>
      <c r="K698" s="107">
        <f>IF(OR(UPPER(C698)="SERVIÇO",UPPER(C698)="SERVICO"),0,N(H698)*N(E698))</f>
        <v/>
      </c>
      <c r="L698" s="107">
        <f>IF(OR(UPPER(C698)="SERVIÇO",UPPER(C698)="SERVICO"),0,N(H698)*N(G698))</f>
        <v/>
      </c>
      <c r="M698" s="107">
        <f>IF(OR(UPPER(C698)="SERVIÇO",UPPER(C698)="SERVICO"),0,L698-K698)</f>
        <v/>
      </c>
    </row>
    <row r="699" ht="15" customHeight="1">
      <c r="B699" s="105" t="n">
        <v>688</v>
      </c>
      <c r="C699" s="105" t="inlineStr">
        <is>
          <t>Produto</t>
        </is>
      </c>
      <c r="D699" s="106" t="inlineStr">
        <is>
          <t>Monitor cardíaco ventilado rosa</t>
        </is>
      </c>
      <c r="E699" s="107" t="n">
        <v>366.64</v>
      </c>
      <c r="F699" s="108" t="n">
        <v>50</v>
      </c>
      <c r="G699" s="107">
        <f>ROUND(E699*(1+IF(ABS(F699)&lt;=1,F699,F699/100)),2)</f>
        <v/>
      </c>
      <c r="H699" s="105" t="n">
        <v>15</v>
      </c>
      <c r="I699" s="105" t="n">
        <v>5</v>
      </c>
      <c r="J699" s="105">
        <f>IF(OR(UPPER(C699)="SERVIÇO",UPPER(C699)="SERVICO"),"SERVIÇO",IF(H699&lt;=0,"ZERADO",IF(H699&lt;=I699,"ESTOQUE BAIXO","NORMAL")))</f>
        <v/>
      </c>
      <c r="K699" s="107">
        <f>IF(OR(UPPER(C699)="SERVIÇO",UPPER(C699)="SERVICO"),0,N(H699)*N(E699))</f>
        <v/>
      </c>
      <c r="L699" s="107">
        <f>IF(OR(UPPER(C699)="SERVIÇO",UPPER(C699)="SERVICO"),0,N(H699)*N(G699))</f>
        <v/>
      </c>
      <c r="M699" s="107">
        <f>IF(OR(UPPER(C699)="SERVIÇO",UPPER(C699)="SERVICO"),0,L699-K699)</f>
        <v/>
      </c>
    </row>
    <row r="700" ht="15" customHeight="1">
      <c r="B700" s="105" t="n">
        <v>689</v>
      </c>
      <c r="C700" s="105" t="inlineStr">
        <is>
          <t>Produto</t>
        </is>
      </c>
      <c r="D700" s="106" t="inlineStr">
        <is>
          <t>Meias esportivas iniciante azul tam. 38</t>
        </is>
      </c>
      <c r="E700" s="107" t="n">
        <v>38.44</v>
      </c>
      <c r="F700" s="108" t="n">
        <v>50</v>
      </c>
      <c r="G700" s="107">
        <f>ROUND(E700*(1+IF(ABS(F700)&lt;=1,F700,F700/100)),2)</f>
        <v/>
      </c>
      <c r="H700" s="105" t="n">
        <v>15</v>
      </c>
      <c r="I700" s="105" t="n">
        <v>5</v>
      </c>
      <c r="J700" s="105">
        <f>IF(OR(UPPER(C700)="SERVIÇO",UPPER(C700)="SERVICO"),"SERVIÇO",IF(H700&lt;=0,"ZERADO",IF(H700&lt;=I700,"ESTOQUE BAIXO","NORMAL")))</f>
        <v/>
      </c>
      <c r="K700" s="107">
        <f>IF(OR(UPPER(C700)="SERVIÇO",UPPER(C700)="SERVICO"),0,N(H700)*N(E700))</f>
        <v/>
      </c>
      <c r="L700" s="107">
        <f>IF(OR(UPPER(C700)="SERVIÇO",UPPER(C700)="SERVICO"),0,N(H700)*N(G700))</f>
        <v/>
      </c>
      <c r="M700" s="107">
        <f>IF(OR(UPPER(C700)="SERVIÇO",UPPER(C700)="SERVICO"),0,L700-K700)</f>
        <v/>
      </c>
    </row>
    <row r="701" ht="15" customHeight="1">
      <c r="B701" s="105" t="n">
        <v>690</v>
      </c>
      <c r="C701" s="105" t="inlineStr">
        <is>
          <t>Produto</t>
        </is>
      </c>
      <c r="D701" s="106" t="inlineStr">
        <is>
          <t>Patins resistente vermelho</t>
        </is>
      </c>
      <c r="E701" s="107" t="n">
        <v>199.33</v>
      </c>
      <c r="F701" s="108" t="n">
        <v>50</v>
      </c>
      <c r="G701" s="107">
        <f>ROUND(E701*(1+IF(ABS(F701)&lt;=1,F701,F701/100)),2)</f>
        <v/>
      </c>
      <c r="H701" s="105" t="n">
        <v>15</v>
      </c>
      <c r="I701" s="105" t="n">
        <v>5</v>
      </c>
      <c r="J701" s="105">
        <f>IF(OR(UPPER(C701)="SERVIÇO",UPPER(C701)="SERVICO"),"SERVIÇO",IF(H701&lt;=0,"ZERADO",IF(H701&lt;=I701,"ESTOQUE BAIXO","NORMAL")))</f>
        <v/>
      </c>
      <c r="K701" s="107">
        <f>IF(OR(UPPER(C701)="SERVIÇO",UPPER(C701)="SERVICO"),0,N(H701)*N(E701))</f>
        <v/>
      </c>
      <c r="L701" s="107">
        <f>IF(OR(UPPER(C701)="SERVIÇO",UPPER(C701)="SERVICO"),0,N(H701)*N(G701))</f>
        <v/>
      </c>
      <c r="M701" s="107">
        <f>IF(OR(UPPER(C701)="SERVIÇO",UPPER(C701)="SERVICO"),0,L701-K701)</f>
        <v/>
      </c>
    </row>
    <row r="702" ht="15" customHeight="1">
      <c r="B702" s="105" t="n">
        <v>691</v>
      </c>
      <c r="C702" s="105" t="inlineStr">
        <is>
          <t>Produto</t>
        </is>
      </c>
      <c r="D702" s="106" t="inlineStr">
        <is>
          <t>Step de ginástica leve vermelho</t>
        </is>
      </c>
      <c r="E702" s="107" t="n">
        <v>293.26</v>
      </c>
      <c r="F702" s="108" t="n">
        <v>50</v>
      </c>
      <c r="G702" s="107">
        <f>ROUND(E702*(1+IF(ABS(F702)&lt;=1,F702,F702/100)),2)</f>
        <v/>
      </c>
      <c r="H702" s="105" t="n">
        <v>15</v>
      </c>
      <c r="I702" s="105" t="n">
        <v>5</v>
      </c>
      <c r="J702" s="105">
        <f>IF(OR(UPPER(C702)="SERVIÇO",UPPER(C702)="SERVICO"),"SERVIÇO",IF(H702&lt;=0,"ZERADO",IF(H702&lt;=I702,"ESTOQUE BAIXO","NORMAL")))</f>
        <v/>
      </c>
      <c r="K702" s="107">
        <f>IF(OR(UPPER(C702)="SERVIÇO",UPPER(C702)="SERVICO"),0,N(H702)*N(E702))</f>
        <v/>
      </c>
      <c r="L702" s="107">
        <f>IF(OR(UPPER(C702)="SERVIÇO",UPPER(C702)="SERVICO"),0,N(H702)*N(G702))</f>
        <v/>
      </c>
      <c r="M702" s="107">
        <f>IF(OR(UPPER(C702)="SERVIÇO",UPPER(C702)="SERVICO"),0,L702-K702)</f>
        <v/>
      </c>
    </row>
    <row r="703" ht="15" customHeight="1">
      <c r="B703" s="105" t="n">
        <v>692</v>
      </c>
      <c r="C703" s="105" t="inlineStr">
        <is>
          <t>Produto</t>
        </is>
      </c>
      <c r="D703" s="106" t="inlineStr">
        <is>
          <t>Short esportivo juvenil laranja tam. M</t>
        </is>
      </c>
      <c r="E703" s="107" t="n">
        <v>106.88</v>
      </c>
      <c r="F703" s="108" t="n">
        <v>50</v>
      </c>
      <c r="G703" s="107">
        <f>ROUND(E703*(1+IF(ABS(F703)&lt;=1,F703,F703/100)),2)</f>
        <v/>
      </c>
      <c r="H703" s="105" t="n">
        <v>15</v>
      </c>
      <c r="I703" s="105" t="n">
        <v>5</v>
      </c>
      <c r="J703" s="105">
        <f>IF(OR(UPPER(C703)="SERVIÇO",UPPER(C703)="SERVICO"),"SERVIÇO",IF(H703&lt;=0,"ZERADO",IF(H703&lt;=I703,"ESTOQUE BAIXO","NORMAL")))</f>
        <v/>
      </c>
      <c r="K703" s="107">
        <f>IF(OR(UPPER(C703)="SERVIÇO",UPPER(C703)="SERVICO"),0,N(H703)*N(E703))</f>
        <v/>
      </c>
      <c r="L703" s="107">
        <f>IF(OR(UPPER(C703)="SERVIÇO",UPPER(C703)="SERVICO"),0,N(H703)*N(G703))</f>
        <v/>
      </c>
      <c r="M703" s="107">
        <f>IF(OR(UPPER(C703)="SERVIÇO",UPPER(C703)="SERVICO"),0,L703-K703)</f>
        <v/>
      </c>
    </row>
    <row r="704" ht="15" customHeight="1">
      <c r="B704" s="105" t="n">
        <v>693</v>
      </c>
      <c r="C704" s="105" t="inlineStr">
        <is>
          <t>Produto</t>
        </is>
      </c>
      <c r="D704" s="106" t="inlineStr">
        <is>
          <t>Bicicleta ergométrica recreativo cinza</t>
        </is>
      </c>
      <c r="E704" s="107" t="n">
        <v>1204.08</v>
      </c>
      <c r="F704" s="108" t="n">
        <v>50</v>
      </c>
      <c r="G704" s="107">
        <f>ROUND(E704*(1+IF(ABS(F704)&lt;=1,F704,F704/100)),2)</f>
        <v/>
      </c>
      <c r="H704" s="105" t="n">
        <v>15</v>
      </c>
      <c r="I704" s="105" t="n">
        <v>5</v>
      </c>
      <c r="J704" s="105">
        <f>IF(OR(UPPER(C704)="SERVIÇO",UPPER(C704)="SERVICO"),"SERVIÇO",IF(H704&lt;=0,"ZERADO",IF(H704&lt;=I704,"ESTOQUE BAIXO","NORMAL")))</f>
        <v/>
      </c>
      <c r="K704" s="107">
        <f>IF(OR(UPPER(C704)="SERVIÇO",UPPER(C704)="SERVICO"),0,N(H704)*N(E704))</f>
        <v/>
      </c>
      <c r="L704" s="107">
        <f>IF(OR(UPPER(C704)="SERVIÇO",UPPER(C704)="SERVICO"),0,N(H704)*N(G704))</f>
        <v/>
      </c>
      <c r="M704" s="107">
        <f>IF(OR(UPPER(C704)="SERVIÇO",UPPER(C704)="SERVICO"),0,L704-K704)</f>
        <v/>
      </c>
    </row>
    <row r="705" ht="15" customHeight="1">
      <c r="B705" s="105" t="n">
        <v>694</v>
      </c>
      <c r="C705" s="105" t="inlineStr">
        <is>
          <t>Produto</t>
        </is>
      </c>
      <c r="D705" s="106" t="inlineStr">
        <is>
          <t>Bastão de caminhada profissional laranja</t>
        </is>
      </c>
      <c r="E705" s="107" t="n">
        <v>113.39</v>
      </c>
      <c r="F705" s="108" t="n">
        <v>50</v>
      </c>
      <c r="G705" s="107">
        <f>ROUND(E705*(1+IF(ABS(F705)&lt;=1,F705,F705/100)),2)</f>
        <v/>
      </c>
      <c r="H705" s="105" t="n">
        <v>15</v>
      </c>
      <c r="I705" s="105" t="n">
        <v>5</v>
      </c>
      <c r="J705" s="105">
        <f>IF(OR(UPPER(C705)="SERVIÇO",UPPER(C705)="SERVICO"),"SERVIÇO",IF(H705&lt;=0,"ZERADO",IF(H705&lt;=I705,"ESTOQUE BAIXO","NORMAL")))</f>
        <v/>
      </c>
      <c r="K705" s="107">
        <f>IF(OR(UPPER(C705)="SERVIÇO",UPPER(C705)="SERVICO"),0,N(H705)*N(E705))</f>
        <v/>
      </c>
      <c r="L705" s="107">
        <f>IF(OR(UPPER(C705)="SERVIÇO",UPPER(C705)="SERVICO"),0,N(H705)*N(G705))</f>
        <v/>
      </c>
      <c r="M705" s="107">
        <f>IF(OR(UPPER(C705)="SERVIÇO",UPPER(C705)="SERVICO"),0,L705-K705)</f>
        <v/>
      </c>
    </row>
    <row r="706" ht="15" customHeight="1">
      <c r="B706" s="105" t="n">
        <v>695</v>
      </c>
      <c r="C706" s="105" t="inlineStr">
        <is>
          <t>Produto</t>
        </is>
      </c>
      <c r="D706" s="106" t="inlineStr">
        <is>
          <t>Luva de goleiro premium rosa tam. P</t>
        </is>
      </c>
      <c r="E706" s="107" t="n">
        <v>193.84</v>
      </c>
      <c r="F706" s="108" t="n">
        <v>50</v>
      </c>
      <c r="G706" s="107">
        <f>ROUND(E706*(1+IF(ABS(F706)&lt;=1,F706,F706/100)),2)</f>
        <v/>
      </c>
      <c r="H706" s="105" t="n">
        <v>15</v>
      </c>
      <c r="I706" s="105" t="n">
        <v>5</v>
      </c>
      <c r="J706" s="105">
        <f>IF(OR(UPPER(C706)="SERVIÇO",UPPER(C706)="SERVICO"),"SERVIÇO",IF(H706&lt;=0,"ZERADO",IF(H706&lt;=I706,"ESTOQUE BAIXO","NORMAL")))</f>
        <v/>
      </c>
      <c r="K706" s="107">
        <f>IF(OR(UPPER(C706)="SERVIÇO",UPPER(C706)="SERVICO"),0,N(H706)*N(E706))</f>
        <v/>
      </c>
      <c r="L706" s="107">
        <f>IF(OR(UPPER(C706)="SERVIÇO",UPPER(C706)="SERVICO"),0,N(H706)*N(G706))</f>
        <v/>
      </c>
      <c r="M706" s="107">
        <f>IF(OR(UPPER(C706)="SERVIÇO",UPPER(C706)="SERVICO"),0,L706-K706)</f>
        <v/>
      </c>
    </row>
    <row r="707" ht="15" customHeight="1">
      <c r="B707" s="105" t="n">
        <v>696</v>
      </c>
      <c r="C707" s="105" t="inlineStr">
        <is>
          <t>Produto</t>
        </is>
      </c>
      <c r="D707" s="106" t="inlineStr">
        <is>
          <t>Kimono de judô resistente laranja tam. M</t>
        </is>
      </c>
      <c r="E707" s="107" t="n">
        <v>184.27</v>
      </c>
      <c r="F707" s="108" t="n">
        <v>50</v>
      </c>
      <c r="G707" s="107">
        <f>ROUND(E707*(1+IF(ABS(F707)&lt;=1,F707,F707/100)),2)</f>
        <v/>
      </c>
      <c r="H707" s="105" t="n">
        <v>15</v>
      </c>
      <c r="I707" s="105" t="n">
        <v>5</v>
      </c>
      <c r="J707" s="105">
        <f>IF(OR(UPPER(C707)="SERVIÇO",UPPER(C707)="SERVICO"),"SERVIÇO",IF(H707&lt;=0,"ZERADO",IF(H707&lt;=I707,"ESTOQUE BAIXO","NORMAL")))</f>
        <v/>
      </c>
      <c r="K707" s="107">
        <f>IF(OR(UPPER(C707)="SERVIÇO",UPPER(C707)="SERVICO"),0,N(H707)*N(E707))</f>
        <v/>
      </c>
      <c r="L707" s="107">
        <f>IF(OR(UPPER(C707)="SERVIÇO",UPPER(C707)="SERVICO"),0,N(H707)*N(G707))</f>
        <v/>
      </c>
      <c r="M707" s="107">
        <f>IF(OR(UPPER(C707)="SERVIÇO",UPPER(C707)="SERVICO"),0,L707-K707)</f>
        <v/>
      </c>
    </row>
    <row r="708" ht="15" customHeight="1">
      <c r="B708" s="105" t="n">
        <v>697</v>
      </c>
      <c r="C708" s="105" t="inlineStr">
        <is>
          <t>Produto</t>
        </is>
      </c>
      <c r="D708" s="106" t="inlineStr">
        <is>
          <t>Chuteira society unissex azul tam. M</t>
        </is>
      </c>
      <c r="E708" s="107" t="n">
        <v>262.51</v>
      </c>
      <c r="F708" s="108" t="n">
        <v>50</v>
      </c>
      <c r="G708" s="107">
        <f>ROUND(E708*(1+IF(ABS(F708)&lt;=1,F708,F708/100)),2)</f>
        <v/>
      </c>
      <c r="H708" s="105" t="n">
        <v>15</v>
      </c>
      <c r="I708" s="105" t="n">
        <v>5</v>
      </c>
      <c r="J708" s="105">
        <f>IF(OR(UPPER(C708)="SERVIÇO",UPPER(C708)="SERVICO"),"SERVIÇO",IF(H708&lt;=0,"ZERADO",IF(H708&lt;=I708,"ESTOQUE BAIXO","NORMAL")))</f>
        <v/>
      </c>
      <c r="K708" s="107">
        <f>IF(OR(UPPER(C708)="SERVIÇO",UPPER(C708)="SERVICO"),0,N(H708)*N(E708))</f>
        <v/>
      </c>
      <c r="L708" s="107">
        <f>IF(OR(UPPER(C708)="SERVIÇO",UPPER(C708)="SERVICO"),0,N(H708)*N(G708))</f>
        <v/>
      </c>
      <c r="M708" s="107">
        <f>IF(OR(UPPER(C708)="SERVIÇO",UPPER(C708)="SERVICO"),0,L708-K708)</f>
        <v/>
      </c>
    </row>
    <row r="709" ht="15" customHeight="1">
      <c r="B709" s="105" t="n">
        <v>698</v>
      </c>
      <c r="C709" s="105" t="inlineStr">
        <is>
          <t>Produto</t>
        </is>
      </c>
      <c r="D709" s="106" t="inlineStr">
        <is>
          <t>Tênis de corrida ventilado branco tam. 38</t>
        </is>
      </c>
      <c r="E709" s="107" t="n">
        <v>224.65</v>
      </c>
      <c r="F709" s="108" t="n">
        <v>50</v>
      </c>
      <c r="G709" s="107">
        <f>ROUND(E709*(1+IF(ABS(F709)&lt;=1,F709,F709/100)),2)</f>
        <v/>
      </c>
      <c r="H709" s="105" t="n">
        <v>15</v>
      </c>
      <c r="I709" s="105" t="n">
        <v>5</v>
      </c>
      <c r="J709" s="105">
        <f>IF(OR(UPPER(C709)="SERVIÇO",UPPER(C709)="SERVICO"),"SERVIÇO",IF(H709&lt;=0,"ZERADO",IF(H709&lt;=I709,"ESTOQUE BAIXO","NORMAL")))</f>
        <v/>
      </c>
      <c r="K709" s="107">
        <f>IF(OR(UPPER(C709)="SERVIÇO",UPPER(C709)="SERVICO"),0,N(H709)*N(E709))</f>
        <v/>
      </c>
      <c r="L709" s="107">
        <f>IF(OR(UPPER(C709)="SERVIÇO",UPPER(C709)="SERVICO"),0,N(H709)*N(G709))</f>
        <v/>
      </c>
      <c r="M709" s="107">
        <f>IF(OR(UPPER(C709)="SERVIÇO",UPPER(C709)="SERVICO"),0,L709-K709)</f>
        <v/>
      </c>
    </row>
    <row r="710" ht="15" customHeight="1">
      <c r="B710" s="105" t="n">
        <v>699</v>
      </c>
      <c r="C710" s="105" t="inlineStr">
        <is>
          <t>Produto</t>
        </is>
      </c>
      <c r="D710" s="106" t="inlineStr">
        <is>
          <t>Óculos de natação unissex rosa</t>
        </is>
      </c>
      <c r="E710" s="107" t="n">
        <v>17.11</v>
      </c>
      <c r="F710" s="108" t="n">
        <v>50</v>
      </c>
      <c r="G710" s="107">
        <f>ROUND(E710*(1+IF(ABS(F710)&lt;=1,F710,F710/100)),2)</f>
        <v/>
      </c>
      <c r="H710" s="105" t="n">
        <v>15</v>
      </c>
      <c r="I710" s="105" t="n">
        <v>5</v>
      </c>
      <c r="J710" s="105">
        <f>IF(OR(UPPER(C710)="SERVIÇO",UPPER(C710)="SERVICO"),"SERVIÇO",IF(H710&lt;=0,"ZERADO",IF(H710&lt;=I710,"ESTOQUE BAIXO","NORMAL")))</f>
        <v/>
      </c>
      <c r="K710" s="107">
        <f>IF(OR(UPPER(C710)="SERVIÇO",UPPER(C710)="SERVICO"),0,N(H710)*N(E710))</f>
        <v/>
      </c>
      <c r="L710" s="107">
        <f>IF(OR(UPPER(C710)="SERVIÇO",UPPER(C710)="SERVICO"),0,N(H710)*N(G710))</f>
        <v/>
      </c>
      <c r="M710" s="107">
        <f>IF(OR(UPPER(C710)="SERVIÇO",UPPER(C710)="SERVICO"),0,L710-K710)</f>
        <v/>
      </c>
    </row>
    <row r="711" ht="15" customHeight="1">
      <c r="B711" s="105" t="n">
        <v>700</v>
      </c>
      <c r="C711" s="105" t="inlineStr">
        <is>
          <t>Produto</t>
        </is>
      </c>
      <c r="D711" s="106" t="inlineStr">
        <is>
          <t>Bolsa de academia recreativo laranja</t>
        </is>
      </c>
      <c r="E711" s="107" t="n">
        <v>35.76</v>
      </c>
      <c r="F711" s="108" t="n">
        <v>50</v>
      </c>
      <c r="G711" s="107">
        <f>ROUND(E711*(1+IF(ABS(F711)&lt;=1,F711,F711/100)),2)</f>
        <v/>
      </c>
      <c r="H711" s="105" t="n">
        <v>15</v>
      </c>
      <c r="I711" s="105" t="n">
        <v>5</v>
      </c>
      <c r="J711" s="105">
        <f>IF(OR(UPPER(C711)="SERVIÇO",UPPER(C711)="SERVICO"),"SERVIÇO",IF(H711&lt;=0,"ZERADO",IF(H711&lt;=I711,"ESTOQUE BAIXO","NORMAL")))</f>
        <v/>
      </c>
      <c r="K711" s="107">
        <f>IF(OR(UPPER(C711)="SERVIÇO",UPPER(C711)="SERVICO"),0,N(H711)*N(E711))</f>
        <v/>
      </c>
      <c r="L711" s="107">
        <f>IF(OR(UPPER(C711)="SERVIÇO",UPPER(C711)="SERVICO"),0,N(H711)*N(G711))</f>
        <v/>
      </c>
      <c r="M711" s="107">
        <f>IF(OR(UPPER(C711)="SERVIÇO",UPPER(C711)="SERVICO"),0,L711-K711)</f>
        <v/>
      </c>
    </row>
    <row r="712" ht="15" customHeight="1">
      <c r="B712" s="105" t="n">
        <v>701</v>
      </c>
      <c r="C712" s="105" t="inlineStr">
        <is>
          <t>Produto</t>
        </is>
      </c>
      <c r="D712" s="106" t="inlineStr">
        <is>
          <t>Kettlebell juvenil rosa</t>
        </is>
      </c>
      <c r="E712" s="107" t="n">
        <v>223.31</v>
      </c>
      <c r="F712" s="108" t="n">
        <v>50</v>
      </c>
      <c r="G712" s="107">
        <f>ROUND(E712*(1+IF(ABS(F712)&lt;=1,F712,F712/100)),2)</f>
        <v/>
      </c>
      <c r="H712" s="105" t="n">
        <v>15</v>
      </c>
      <c r="I712" s="105" t="n">
        <v>5</v>
      </c>
      <c r="J712" s="105">
        <f>IF(OR(UPPER(C712)="SERVIÇO",UPPER(C712)="SERVICO"),"SERVIÇO",IF(H712&lt;=0,"ZERADO",IF(H712&lt;=I712,"ESTOQUE BAIXO","NORMAL")))</f>
        <v/>
      </c>
      <c r="K712" s="107">
        <f>IF(OR(UPPER(C712)="SERVIÇO",UPPER(C712)="SERVICO"),0,N(H712)*N(E712))</f>
        <v/>
      </c>
      <c r="L712" s="107">
        <f>IF(OR(UPPER(C712)="SERVIÇO",UPPER(C712)="SERVICO"),0,N(H712)*N(G712))</f>
        <v/>
      </c>
      <c r="M712" s="107">
        <f>IF(OR(UPPER(C712)="SERVIÇO",UPPER(C712)="SERVICO"),0,L712-K712)</f>
        <v/>
      </c>
    </row>
    <row r="713" ht="15" customHeight="1">
      <c r="B713" s="105" t="n">
        <v>702</v>
      </c>
      <c r="C713" s="105" t="inlineStr">
        <is>
          <t>Produto</t>
        </is>
      </c>
      <c r="D713" s="106" t="inlineStr">
        <is>
          <t>Tapete de yoga modelo básico cinza</t>
        </is>
      </c>
      <c r="E713" s="107" t="n">
        <v>72.45</v>
      </c>
      <c r="F713" s="108" t="n">
        <v>50</v>
      </c>
      <c r="G713" s="107">
        <f>ROUND(E713*(1+IF(ABS(F713)&lt;=1,F713,F713/100)),2)</f>
        <v/>
      </c>
      <c r="H713" s="105" t="n">
        <v>15</v>
      </c>
      <c r="I713" s="105" t="n">
        <v>5</v>
      </c>
      <c r="J713" s="105">
        <f>IF(OR(UPPER(C713)="SERVIÇO",UPPER(C713)="SERVICO"),"SERVIÇO",IF(H713&lt;=0,"ZERADO",IF(H713&lt;=I713,"ESTOQUE BAIXO","NORMAL")))</f>
        <v/>
      </c>
      <c r="K713" s="107">
        <f>IF(OR(UPPER(C713)="SERVIÇO",UPPER(C713)="SERVICO"),0,N(H713)*N(E713))</f>
        <v/>
      </c>
      <c r="L713" s="107">
        <f>IF(OR(UPPER(C713)="SERVIÇO",UPPER(C713)="SERVICO"),0,N(H713)*N(G713))</f>
        <v/>
      </c>
      <c r="M713" s="107">
        <f>IF(OR(UPPER(C713)="SERVIÇO",UPPER(C713)="SERVICO"),0,L713-K713)</f>
        <v/>
      </c>
    </row>
    <row r="714" ht="15" customHeight="1">
      <c r="B714" s="105" t="n">
        <v>703</v>
      </c>
      <c r="C714" s="105" t="inlineStr">
        <is>
          <t>Produto</t>
        </is>
      </c>
      <c r="D714" s="106" t="inlineStr">
        <is>
          <t>Óculos esportivos compacto vermelho</t>
        </is>
      </c>
      <c r="E714" s="107" t="n">
        <v>142.93</v>
      </c>
      <c r="F714" s="108" t="n">
        <v>50</v>
      </c>
      <c r="G714" s="107">
        <f>ROUND(E714*(1+IF(ABS(F714)&lt;=1,F714,F714/100)),2)</f>
        <v/>
      </c>
      <c r="H714" s="105" t="n">
        <v>15</v>
      </c>
      <c r="I714" s="105" t="n">
        <v>5</v>
      </c>
      <c r="J714" s="105">
        <f>IF(OR(UPPER(C714)="SERVIÇO",UPPER(C714)="SERVICO"),"SERVIÇO",IF(H714&lt;=0,"ZERADO",IF(H714&lt;=I714,"ESTOQUE BAIXO","NORMAL")))</f>
        <v/>
      </c>
      <c r="K714" s="107">
        <f>IF(OR(UPPER(C714)="SERVIÇO",UPPER(C714)="SERVICO"),0,N(H714)*N(E714))</f>
        <v/>
      </c>
      <c r="L714" s="107">
        <f>IF(OR(UPPER(C714)="SERVIÇO",UPPER(C714)="SERVICO"),0,N(H714)*N(G714))</f>
        <v/>
      </c>
      <c r="M714" s="107">
        <f>IF(OR(UPPER(C714)="SERVIÇO",UPPER(C714)="SERVICO"),0,L714-K714)</f>
        <v/>
      </c>
    </row>
    <row r="715" ht="15" customHeight="1">
      <c r="B715" s="105" t="n">
        <v>704</v>
      </c>
      <c r="C715" s="105" t="inlineStr">
        <is>
          <t>Produto</t>
        </is>
      </c>
      <c r="D715" s="106" t="inlineStr">
        <is>
          <t>Bola de pilates modelo básico cinza</t>
        </is>
      </c>
      <c r="E715" s="107" t="n">
        <v>93.91</v>
      </c>
      <c r="F715" s="108" t="n">
        <v>50</v>
      </c>
      <c r="G715" s="107">
        <f>ROUND(E715*(1+IF(ABS(F715)&lt;=1,F715,F715/100)),2)</f>
        <v/>
      </c>
      <c r="H715" s="105" t="n">
        <v>15</v>
      </c>
      <c r="I715" s="105" t="n">
        <v>5</v>
      </c>
      <c r="J715" s="105">
        <f>IF(OR(UPPER(C715)="SERVIÇO",UPPER(C715)="SERVICO"),"SERVIÇO",IF(H715&lt;=0,"ZERADO",IF(H715&lt;=I715,"ESTOQUE BAIXO","NORMAL")))</f>
        <v/>
      </c>
      <c r="K715" s="107">
        <f>IF(OR(UPPER(C715)="SERVIÇO",UPPER(C715)="SERVICO"),0,N(H715)*N(E715))</f>
        <v/>
      </c>
      <c r="L715" s="107">
        <f>IF(OR(UPPER(C715)="SERVIÇO",UPPER(C715)="SERVICO"),0,N(H715)*N(G715))</f>
        <v/>
      </c>
      <c r="M715" s="107">
        <f>IF(OR(UPPER(C715)="SERVIÇO",UPPER(C715)="SERVICO"),0,L715-K715)</f>
        <v/>
      </c>
    </row>
    <row r="716" ht="15" customHeight="1">
      <c r="B716" s="105" t="n">
        <v>705</v>
      </c>
      <c r="C716" s="105" t="inlineStr">
        <is>
          <t>Produto</t>
        </is>
      </c>
      <c r="D716" s="106" t="inlineStr">
        <is>
          <t>Saco de pancadas reforçado rosa</t>
        </is>
      </c>
      <c r="E716" s="107" t="n">
        <v>259.46</v>
      </c>
      <c r="F716" s="108" t="n">
        <v>50</v>
      </c>
      <c r="G716" s="107">
        <f>ROUND(E716*(1+IF(ABS(F716)&lt;=1,F716,F716/100)),2)</f>
        <v/>
      </c>
      <c r="H716" s="105" t="n">
        <v>15</v>
      </c>
      <c r="I716" s="105" t="n">
        <v>5</v>
      </c>
      <c r="J716" s="105">
        <f>IF(OR(UPPER(C716)="SERVIÇO",UPPER(C716)="SERVICO"),"SERVIÇO",IF(H716&lt;=0,"ZERADO",IF(H716&lt;=I716,"ESTOQUE BAIXO","NORMAL")))</f>
        <v/>
      </c>
      <c r="K716" s="107">
        <f>IF(OR(UPPER(C716)="SERVIÇO",UPPER(C716)="SERVICO"),0,N(H716)*N(E716))</f>
        <v/>
      </c>
      <c r="L716" s="107">
        <f>IF(OR(UPPER(C716)="SERVIÇO",UPPER(C716)="SERVICO"),0,N(H716)*N(G716))</f>
        <v/>
      </c>
      <c r="M716" s="107">
        <f>IF(OR(UPPER(C716)="SERVIÇO",UPPER(C716)="SERVICO"),0,L716-K716)</f>
        <v/>
      </c>
    </row>
    <row r="717" ht="15" customHeight="1">
      <c r="B717" s="105" t="n">
        <v>706</v>
      </c>
      <c r="C717" s="105" t="inlineStr">
        <is>
          <t>Produto</t>
        </is>
      </c>
      <c r="D717" s="106" t="inlineStr">
        <is>
          <t>Corda de pular resistente branco</t>
        </is>
      </c>
      <c r="E717" s="107" t="n">
        <v>75.44</v>
      </c>
      <c r="F717" s="108" t="n">
        <v>50</v>
      </c>
      <c r="G717" s="107">
        <f>ROUND(E717*(1+IF(ABS(F717)&lt;=1,F717,F717/100)),2)</f>
        <v/>
      </c>
      <c r="H717" s="105" t="n">
        <v>15</v>
      </c>
      <c r="I717" s="105" t="n">
        <v>5</v>
      </c>
      <c r="J717" s="105">
        <f>IF(OR(UPPER(C717)="SERVIÇO",UPPER(C717)="SERVICO"),"SERVIÇO",IF(H717&lt;=0,"ZERADO",IF(H717&lt;=I717,"ESTOQUE BAIXO","NORMAL")))</f>
        <v/>
      </c>
      <c r="K717" s="107">
        <f>IF(OR(UPPER(C717)="SERVIÇO",UPPER(C717)="SERVICO"),0,N(H717)*N(E717))</f>
        <v/>
      </c>
      <c r="L717" s="107">
        <f>IF(OR(UPPER(C717)="SERVIÇO",UPPER(C717)="SERVICO"),0,N(H717)*N(G717))</f>
        <v/>
      </c>
      <c r="M717" s="107">
        <f>IF(OR(UPPER(C717)="SERVIÇO",UPPER(C717)="SERVICO"),0,L717-K717)</f>
        <v/>
      </c>
    </row>
    <row r="718" ht="15" customHeight="1">
      <c r="B718" s="105" t="n">
        <v>707</v>
      </c>
      <c r="C718" s="105" t="inlineStr">
        <is>
          <t>Produto</t>
        </is>
      </c>
      <c r="D718" s="106" t="inlineStr">
        <is>
          <t>Relógio esportivo profissional cinza</t>
        </is>
      </c>
      <c r="E718" s="107" t="n">
        <v>1081.72</v>
      </c>
      <c r="F718" s="108" t="n">
        <v>50</v>
      </c>
      <c r="G718" s="107">
        <f>ROUND(E718*(1+IF(ABS(F718)&lt;=1,F718,F718/100)),2)</f>
        <v/>
      </c>
      <c r="H718" s="105" t="n">
        <v>15</v>
      </c>
      <c r="I718" s="105" t="n">
        <v>5</v>
      </c>
      <c r="J718" s="105">
        <f>IF(OR(UPPER(C718)="SERVIÇO",UPPER(C718)="SERVICO"),"SERVIÇO",IF(H718&lt;=0,"ZERADO",IF(H718&lt;=I718,"ESTOQUE BAIXO","NORMAL")))</f>
        <v/>
      </c>
      <c r="K718" s="107">
        <f>IF(OR(UPPER(C718)="SERVIÇO",UPPER(C718)="SERVICO"),0,N(H718)*N(E718))</f>
        <v/>
      </c>
      <c r="L718" s="107">
        <f>IF(OR(UPPER(C718)="SERVIÇO",UPPER(C718)="SERVICO"),0,N(H718)*N(G718))</f>
        <v/>
      </c>
      <c r="M718" s="107">
        <f>IF(OR(UPPER(C718)="SERVIÇO",UPPER(C718)="SERVICO"),0,L718-K718)</f>
        <v/>
      </c>
    </row>
    <row r="719" ht="15" customHeight="1">
      <c r="B719" s="105" t="n">
        <v>708</v>
      </c>
      <c r="C719" s="105" t="inlineStr">
        <is>
          <t>Produto</t>
        </is>
      </c>
      <c r="D719" s="106" t="inlineStr">
        <is>
          <t>Elástico de resistência resistente preto</t>
        </is>
      </c>
      <c r="E719" s="107" t="n">
        <v>16.81</v>
      </c>
      <c r="F719" s="108" t="n">
        <v>50</v>
      </c>
      <c r="G719" s="107">
        <f>ROUND(E719*(1+IF(ABS(F719)&lt;=1,F719,F719/100)),2)</f>
        <v/>
      </c>
      <c r="H719" s="105" t="n">
        <v>15</v>
      </c>
      <c r="I719" s="105" t="n">
        <v>5</v>
      </c>
      <c r="J719" s="105">
        <f>IF(OR(UPPER(C719)="SERVIÇO",UPPER(C719)="SERVICO"),"SERVIÇO",IF(H719&lt;=0,"ZERADO",IF(H719&lt;=I719,"ESTOQUE BAIXO","NORMAL")))</f>
        <v/>
      </c>
      <c r="K719" s="107">
        <f>IF(OR(UPPER(C719)="SERVIÇO",UPPER(C719)="SERVICO"),0,N(H719)*N(E719))</f>
        <v/>
      </c>
      <c r="L719" s="107">
        <f>IF(OR(UPPER(C719)="SERVIÇO",UPPER(C719)="SERVICO"),0,N(H719)*N(G719))</f>
        <v/>
      </c>
      <c r="M719" s="107">
        <f>IF(OR(UPPER(C719)="SERVIÇO",UPPER(C719)="SERVICO"),0,L719-K719)</f>
        <v/>
      </c>
    </row>
    <row r="720" ht="15" customHeight="1">
      <c r="B720" s="105" t="n">
        <v>709</v>
      </c>
      <c r="C720" s="105" t="inlineStr">
        <is>
          <t>Produto</t>
        </is>
      </c>
      <c r="D720" s="106" t="inlineStr">
        <is>
          <t>Short esportivo compacto preto tam. 40</t>
        </is>
      </c>
      <c r="E720" s="107" t="n">
        <v>22.49</v>
      </c>
      <c r="F720" s="108" t="n">
        <v>50</v>
      </c>
      <c r="G720" s="107">
        <f>ROUND(E720*(1+IF(ABS(F720)&lt;=1,F720,F720/100)),2)</f>
        <v/>
      </c>
      <c r="H720" s="105" t="n">
        <v>15</v>
      </c>
      <c r="I720" s="105" t="n">
        <v>5</v>
      </c>
      <c r="J720" s="105">
        <f>IF(OR(UPPER(C720)="SERVIÇO",UPPER(C720)="SERVICO"),"SERVIÇO",IF(H720&lt;=0,"ZERADO",IF(H720&lt;=I720,"ESTOQUE BAIXO","NORMAL")))</f>
        <v/>
      </c>
      <c r="K720" s="107">
        <f>IF(OR(UPPER(C720)="SERVIÇO",UPPER(C720)="SERVICO"),0,N(H720)*N(E720))</f>
        <v/>
      </c>
      <c r="L720" s="107">
        <f>IF(OR(UPPER(C720)="SERVIÇO",UPPER(C720)="SERVICO"),0,N(H720)*N(G720))</f>
        <v/>
      </c>
      <c r="M720" s="107">
        <f>IF(OR(UPPER(C720)="SERVIÇO",UPPER(C720)="SERVICO"),0,L720-K720)</f>
        <v/>
      </c>
    </row>
    <row r="721" ht="15" customHeight="1">
      <c r="B721" s="105" t="n">
        <v>710</v>
      </c>
      <c r="C721" s="105" t="inlineStr">
        <is>
          <t>Produto</t>
        </is>
      </c>
      <c r="D721" s="106" t="inlineStr">
        <is>
          <t>Tapete de yoga premium branco</t>
        </is>
      </c>
      <c r="E721" s="107" t="n">
        <v>152.41</v>
      </c>
      <c r="F721" s="108" t="n">
        <v>50</v>
      </c>
      <c r="G721" s="107">
        <f>ROUND(E721*(1+IF(ABS(F721)&lt;=1,F721,F721/100)),2)</f>
        <v/>
      </c>
      <c r="H721" s="105" t="n">
        <v>15</v>
      </c>
      <c r="I721" s="105" t="n">
        <v>5</v>
      </c>
      <c r="J721" s="105">
        <f>IF(OR(UPPER(C721)="SERVIÇO",UPPER(C721)="SERVICO"),"SERVIÇO",IF(H721&lt;=0,"ZERADO",IF(H721&lt;=I721,"ESTOQUE BAIXO","NORMAL")))</f>
        <v/>
      </c>
      <c r="K721" s="107">
        <f>IF(OR(UPPER(C721)="SERVIÇO",UPPER(C721)="SERVICO"),0,N(H721)*N(E721))</f>
        <v/>
      </c>
      <c r="L721" s="107">
        <f>IF(OR(UPPER(C721)="SERVIÇO",UPPER(C721)="SERVICO"),0,N(H721)*N(G721))</f>
        <v/>
      </c>
      <c r="M721" s="107">
        <f>IF(OR(UPPER(C721)="SERVIÇO",UPPER(C721)="SERVICO"),0,L721-K721)</f>
        <v/>
      </c>
    </row>
    <row r="722" ht="15" customHeight="1">
      <c r="B722" s="105" t="n">
        <v>711</v>
      </c>
      <c r="C722" s="105" t="inlineStr">
        <is>
          <t>Produto</t>
        </is>
      </c>
      <c r="D722" s="106" t="inlineStr">
        <is>
          <t>Relógio esportivo treino preto</t>
        </is>
      </c>
      <c r="E722" s="107" t="n">
        <v>408.33</v>
      </c>
      <c r="F722" s="108" t="n">
        <v>50</v>
      </c>
      <c r="G722" s="107">
        <f>ROUND(E722*(1+IF(ABS(F722)&lt;=1,F722,F722/100)),2)</f>
        <v/>
      </c>
      <c r="H722" s="105" t="n">
        <v>15</v>
      </c>
      <c r="I722" s="105" t="n">
        <v>5</v>
      </c>
      <c r="J722" s="105">
        <f>IF(OR(UPPER(C722)="SERVIÇO",UPPER(C722)="SERVICO"),"SERVIÇO",IF(H722&lt;=0,"ZERADO",IF(H722&lt;=I722,"ESTOQUE BAIXO","NORMAL")))</f>
        <v/>
      </c>
      <c r="K722" s="107">
        <f>IF(OR(UPPER(C722)="SERVIÇO",UPPER(C722)="SERVICO"),0,N(H722)*N(E722))</f>
        <v/>
      </c>
      <c r="L722" s="107">
        <f>IF(OR(UPPER(C722)="SERVIÇO",UPPER(C722)="SERVICO"),0,N(H722)*N(G722))</f>
        <v/>
      </c>
      <c r="M722" s="107">
        <f>IF(OR(UPPER(C722)="SERVIÇO",UPPER(C722)="SERVICO"),0,L722-K722)</f>
        <v/>
      </c>
    </row>
    <row r="723" ht="15" customHeight="1">
      <c r="B723" s="105" t="n">
        <v>712</v>
      </c>
      <c r="C723" s="105" t="inlineStr">
        <is>
          <t>Produto</t>
        </is>
      </c>
      <c r="D723" s="106" t="inlineStr">
        <is>
          <t>Óculos esportivos com ajuste vermelho</t>
        </is>
      </c>
      <c r="E723" s="107" t="n">
        <v>404.3</v>
      </c>
      <c r="F723" s="108" t="n">
        <v>50</v>
      </c>
      <c r="G723" s="107">
        <f>ROUND(E723*(1+IF(ABS(F723)&lt;=1,F723,F723/100)),2)</f>
        <v/>
      </c>
      <c r="H723" s="105" t="n">
        <v>15</v>
      </c>
      <c r="I723" s="105" t="n">
        <v>5</v>
      </c>
      <c r="J723" s="105">
        <f>IF(OR(UPPER(C723)="SERVIÇO",UPPER(C723)="SERVICO"),"SERVIÇO",IF(H723&lt;=0,"ZERADO",IF(H723&lt;=I723,"ESTOQUE BAIXO","NORMAL")))</f>
        <v/>
      </c>
      <c r="K723" s="107">
        <f>IF(OR(UPPER(C723)="SERVIÇO",UPPER(C723)="SERVICO"),0,N(H723)*N(E723))</f>
        <v/>
      </c>
      <c r="L723" s="107">
        <f>IF(OR(UPPER(C723)="SERVIÇO",UPPER(C723)="SERVICO"),0,N(H723)*N(G723))</f>
        <v/>
      </c>
      <c r="M723" s="107">
        <f>IF(OR(UPPER(C723)="SERVIÇO",UPPER(C723)="SERVICO"),0,L723-K723)</f>
        <v/>
      </c>
    </row>
    <row r="724" ht="15" customHeight="1">
      <c r="B724" s="105" t="n">
        <v>713</v>
      </c>
      <c r="C724" s="105" t="inlineStr">
        <is>
          <t>Produto</t>
        </is>
      </c>
      <c r="D724" s="106" t="inlineStr">
        <is>
          <t>Luva de ciclismo ventilado branco tam. 36</t>
        </is>
      </c>
      <c r="E724" s="107" t="n">
        <v>34.62</v>
      </c>
      <c r="F724" s="108" t="n">
        <v>50</v>
      </c>
      <c r="G724" s="107">
        <f>ROUND(E724*(1+IF(ABS(F724)&lt;=1,F724,F724/100)),2)</f>
        <v/>
      </c>
      <c r="H724" s="105" t="n">
        <v>15</v>
      </c>
      <c r="I724" s="105" t="n">
        <v>5</v>
      </c>
      <c r="J724" s="105">
        <f>IF(OR(UPPER(C724)="SERVIÇO",UPPER(C724)="SERVICO"),"SERVIÇO",IF(H724&lt;=0,"ZERADO",IF(H724&lt;=I724,"ESTOQUE BAIXO","NORMAL")))</f>
        <v/>
      </c>
      <c r="K724" s="107">
        <f>IF(OR(UPPER(C724)="SERVIÇO",UPPER(C724)="SERVICO"),0,N(H724)*N(E724))</f>
        <v/>
      </c>
      <c r="L724" s="107">
        <f>IF(OR(UPPER(C724)="SERVIÇO",UPPER(C724)="SERVICO"),0,N(H724)*N(G724))</f>
        <v/>
      </c>
      <c r="M724" s="107">
        <f>IF(OR(UPPER(C724)="SERVIÇO",UPPER(C724)="SERVICO"),0,L724-K724)</f>
        <v/>
      </c>
    </row>
    <row r="725" ht="15" customHeight="1">
      <c r="B725" s="105" t="n">
        <v>714</v>
      </c>
      <c r="C725" s="105" t="inlineStr">
        <is>
          <t>Produto</t>
        </is>
      </c>
      <c r="D725" s="106" t="inlineStr">
        <is>
          <t>Mochila esportiva iniciante preto</t>
        </is>
      </c>
      <c r="E725" s="107" t="n">
        <v>114.8</v>
      </c>
      <c r="F725" s="108" t="n">
        <v>50</v>
      </c>
      <c r="G725" s="107">
        <f>ROUND(E725*(1+IF(ABS(F725)&lt;=1,F725,F725/100)),2)</f>
        <v/>
      </c>
      <c r="H725" s="105" t="n">
        <v>15</v>
      </c>
      <c r="I725" s="105" t="n">
        <v>5</v>
      </c>
      <c r="J725" s="105">
        <f>IF(OR(UPPER(C725)="SERVIÇO",UPPER(C725)="SERVICO"),"SERVIÇO",IF(H725&lt;=0,"ZERADO",IF(H725&lt;=I725,"ESTOQUE BAIXO","NORMAL")))</f>
        <v/>
      </c>
      <c r="K725" s="107">
        <f>IF(OR(UPPER(C725)="SERVIÇO",UPPER(C725)="SERVICO"),0,N(H725)*N(E725))</f>
        <v/>
      </c>
      <c r="L725" s="107">
        <f>IF(OR(UPPER(C725)="SERVIÇO",UPPER(C725)="SERVICO"),0,N(H725)*N(G725))</f>
        <v/>
      </c>
      <c r="M725" s="107">
        <f>IF(OR(UPPER(C725)="SERVIÇO",UPPER(C725)="SERVICO"),0,L725-K725)</f>
        <v/>
      </c>
    </row>
    <row r="726" ht="15" customHeight="1">
      <c r="B726" s="105" t="n">
        <v>715</v>
      </c>
      <c r="C726" s="105" t="inlineStr">
        <is>
          <t>Produto</t>
        </is>
      </c>
      <c r="D726" s="106" t="inlineStr">
        <is>
          <t>Camiseta esportiva reforçado verde tam. GG</t>
        </is>
      </c>
      <c r="E726" s="107" t="n">
        <v>87.06999999999999</v>
      </c>
      <c r="F726" s="108" t="n">
        <v>50</v>
      </c>
      <c r="G726" s="107">
        <f>ROUND(E726*(1+IF(ABS(F726)&lt;=1,F726,F726/100)),2)</f>
        <v/>
      </c>
      <c r="H726" s="105" t="n">
        <v>15</v>
      </c>
      <c r="I726" s="105" t="n">
        <v>5</v>
      </c>
      <c r="J726" s="105">
        <f>IF(OR(UPPER(C726)="SERVIÇO",UPPER(C726)="SERVICO"),"SERVIÇO",IF(H726&lt;=0,"ZERADO",IF(H726&lt;=I726,"ESTOQUE BAIXO","NORMAL")))</f>
        <v/>
      </c>
      <c r="K726" s="107">
        <f>IF(OR(UPPER(C726)="SERVIÇO",UPPER(C726)="SERVICO"),0,N(H726)*N(E726))</f>
        <v/>
      </c>
      <c r="L726" s="107">
        <f>IF(OR(UPPER(C726)="SERVIÇO",UPPER(C726)="SERVICO"),0,N(H726)*N(G726))</f>
        <v/>
      </c>
      <c r="M726" s="107">
        <f>IF(OR(UPPER(C726)="SERVIÇO",UPPER(C726)="SERVICO"),0,L726-K726)</f>
        <v/>
      </c>
    </row>
    <row r="727" ht="15" customHeight="1">
      <c r="B727" s="105" t="n">
        <v>716</v>
      </c>
      <c r="C727" s="105" t="inlineStr">
        <is>
          <t>Produto</t>
        </is>
      </c>
      <c r="D727" s="106" t="inlineStr">
        <is>
          <t>Bolsa de academia resistente preto</t>
        </is>
      </c>
      <c r="E727" s="107" t="n">
        <v>159.64</v>
      </c>
      <c r="F727" s="108" t="n">
        <v>50</v>
      </c>
      <c r="G727" s="107">
        <f>ROUND(E727*(1+IF(ABS(F727)&lt;=1,F727,F727/100)),2)</f>
        <v/>
      </c>
      <c r="H727" s="105" t="n">
        <v>15</v>
      </c>
      <c r="I727" s="105" t="n">
        <v>5</v>
      </c>
      <c r="J727" s="105">
        <f>IF(OR(UPPER(C727)="SERVIÇO",UPPER(C727)="SERVICO"),"SERVIÇO",IF(H727&lt;=0,"ZERADO",IF(H727&lt;=I727,"ESTOQUE BAIXO","NORMAL")))</f>
        <v/>
      </c>
      <c r="K727" s="107">
        <f>IF(OR(UPPER(C727)="SERVIÇO",UPPER(C727)="SERVICO"),0,N(H727)*N(E727))</f>
        <v/>
      </c>
      <c r="L727" s="107">
        <f>IF(OR(UPPER(C727)="SERVIÇO",UPPER(C727)="SERVICO"),0,N(H727)*N(G727))</f>
        <v/>
      </c>
      <c r="M727" s="107">
        <f>IF(OR(UPPER(C727)="SERVIÇO",UPPER(C727)="SERVICO"),0,L727-K727)</f>
        <v/>
      </c>
    </row>
    <row r="728" ht="15" customHeight="1">
      <c r="B728" s="105" t="n">
        <v>717</v>
      </c>
      <c r="C728" s="105" t="inlineStr">
        <is>
          <t>Produto</t>
        </is>
      </c>
      <c r="D728" s="106" t="inlineStr">
        <is>
          <t>Banco de musculação ergonômico vermelho</t>
        </is>
      </c>
      <c r="E728" s="107" t="n">
        <v>1034.47</v>
      </c>
      <c r="F728" s="108" t="n">
        <v>50</v>
      </c>
      <c r="G728" s="107">
        <f>ROUND(E728*(1+IF(ABS(F728)&lt;=1,F728,F728/100)),2)</f>
        <v/>
      </c>
      <c r="H728" s="105" t="n">
        <v>15</v>
      </c>
      <c r="I728" s="105" t="n">
        <v>5</v>
      </c>
      <c r="J728" s="105">
        <f>IF(OR(UPPER(C728)="SERVIÇO",UPPER(C728)="SERVICO"),"SERVIÇO",IF(H728&lt;=0,"ZERADO",IF(H728&lt;=I728,"ESTOQUE BAIXO","NORMAL")))</f>
        <v/>
      </c>
      <c r="K728" s="107">
        <f>IF(OR(UPPER(C728)="SERVIÇO",UPPER(C728)="SERVICO"),0,N(H728)*N(E728))</f>
        <v/>
      </c>
      <c r="L728" s="107">
        <f>IF(OR(UPPER(C728)="SERVIÇO",UPPER(C728)="SERVICO"),0,N(H728)*N(G728))</f>
        <v/>
      </c>
      <c r="M728" s="107">
        <f>IF(OR(UPPER(C728)="SERVIÇO",UPPER(C728)="SERVICO"),0,L728-K728)</f>
        <v/>
      </c>
    </row>
    <row r="729" ht="15" customHeight="1">
      <c r="B729" s="105" t="n">
        <v>718</v>
      </c>
      <c r="C729" s="105" t="inlineStr">
        <is>
          <t>Produto</t>
        </is>
      </c>
      <c r="D729" s="106" t="inlineStr">
        <is>
          <t>Saco de pancadas compacto cinza</t>
        </is>
      </c>
      <c r="E729" s="107" t="n">
        <v>521.45</v>
      </c>
      <c r="F729" s="108" t="n">
        <v>50</v>
      </c>
      <c r="G729" s="107">
        <f>ROUND(E729*(1+IF(ABS(F729)&lt;=1,F729,F729/100)),2)</f>
        <v/>
      </c>
      <c r="H729" s="105" t="n">
        <v>15</v>
      </c>
      <c r="I729" s="105" t="n">
        <v>5</v>
      </c>
      <c r="J729" s="105">
        <f>IF(OR(UPPER(C729)="SERVIÇO",UPPER(C729)="SERVICO"),"SERVIÇO",IF(H729&lt;=0,"ZERADO",IF(H729&lt;=I729,"ESTOQUE BAIXO","NORMAL")))</f>
        <v/>
      </c>
      <c r="K729" s="107">
        <f>IF(OR(UPPER(C729)="SERVIÇO",UPPER(C729)="SERVICO"),0,N(H729)*N(E729))</f>
        <v/>
      </c>
      <c r="L729" s="107">
        <f>IF(OR(UPPER(C729)="SERVIÇO",UPPER(C729)="SERVICO"),0,N(H729)*N(G729))</f>
        <v/>
      </c>
      <c r="M729" s="107">
        <f>IF(OR(UPPER(C729)="SERVIÇO",UPPER(C729)="SERVICO"),0,L729-K729)</f>
        <v/>
      </c>
    </row>
    <row r="730" ht="15" customHeight="1">
      <c r="B730" s="105" t="n">
        <v>719</v>
      </c>
      <c r="C730" s="105" t="inlineStr">
        <is>
          <t>Produto</t>
        </is>
      </c>
      <c r="D730" s="106" t="inlineStr">
        <is>
          <t>Coqueteleira alta performance laranja</t>
        </is>
      </c>
      <c r="E730" s="107" t="n">
        <v>47.71</v>
      </c>
      <c r="F730" s="108" t="n">
        <v>50</v>
      </c>
      <c r="G730" s="107">
        <f>ROUND(E730*(1+IF(ABS(F730)&lt;=1,F730,F730/100)),2)</f>
        <v/>
      </c>
      <c r="H730" s="105" t="n">
        <v>15</v>
      </c>
      <c r="I730" s="105" t="n">
        <v>5</v>
      </c>
      <c r="J730" s="105">
        <f>IF(OR(UPPER(C730)="SERVIÇO",UPPER(C730)="SERVICO"),"SERVIÇO",IF(H730&lt;=0,"ZERADO",IF(H730&lt;=I730,"ESTOQUE BAIXO","NORMAL")))</f>
        <v/>
      </c>
      <c r="K730" s="107">
        <f>IF(OR(UPPER(C730)="SERVIÇO",UPPER(C730)="SERVICO"),0,N(H730)*N(E730))</f>
        <v/>
      </c>
      <c r="L730" s="107">
        <f>IF(OR(UPPER(C730)="SERVIÇO",UPPER(C730)="SERVICO"),0,N(H730)*N(G730))</f>
        <v/>
      </c>
      <c r="M730" s="107">
        <f>IF(OR(UPPER(C730)="SERVIÇO",UPPER(C730)="SERVICO"),0,L730-K730)</f>
        <v/>
      </c>
    </row>
    <row r="731" ht="15" customHeight="1">
      <c r="B731" s="105" t="n">
        <v>720</v>
      </c>
      <c r="C731" s="105" t="inlineStr">
        <is>
          <t>Produto</t>
        </is>
      </c>
      <c r="D731" s="106" t="inlineStr">
        <is>
          <t>Capacete de ciclismo reforçado rosa</t>
        </is>
      </c>
      <c r="E731" s="107" t="n">
        <v>142.21</v>
      </c>
      <c r="F731" s="108" t="n">
        <v>50</v>
      </c>
      <c r="G731" s="107">
        <f>ROUND(E731*(1+IF(ABS(F731)&lt;=1,F731,F731/100)),2)</f>
        <v/>
      </c>
      <c r="H731" s="105" t="n">
        <v>15</v>
      </c>
      <c r="I731" s="105" t="n">
        <v>5</v>
      </c>
      <c r="J731" s="105">
        <f>IF(OR(UPPER(C731)="SERVIÇO",UPPER(C731)="SERVICO"),"SERVIÇO",IF(H731&lt;=0,"ZERADO",IF(H731&lt;=I731,"ESTOQUE BAIXO","NORMAL")))</f>
        <v/>
      </c>
      <c r="K731" s="107">
        <f>IF(OR(UPPER(C731)="SERVIÇO",UPPER(C731)="SERVICO"),0,N(H731)*N(E731))</f>
        <v/>
      </c>
      <c r="L731" s="107">
        <f>IF(OR(UPPER(C731)="SERVIÇO",UPPER(C731)="SERVICO"),0,N(H731)*N(G731))</f>
        <v/>
      </c>
      <c r="M731" s="107">
        <f>IF(OR(UPPER(C731)="SERVIÇO",UPPER(C731)="SERVICO"),0,L731-K731)</f>
        <v/>
      </c>
    </row>
    <row r="732" ht="15" customHeight="1">
      <c r="B732" s="105" t="n">
        <v>721</v>
      </c>
      <c r="C732" s="105" t="inlineStr">
        <is>
          <t>Produto</t>
        </is>
      </c>
      <c r="D732" s="106" t="inlineStr">
        <is>
          <t>Monitor cardíaco para uso diário azul</t>
        </is>
      </c>
      <c r="E732" s="107" t="n">
        <v>57.95</v>
      </c>
      <c r="F732" s="108" t="n">
        <v>50</v>
      </c>
      <c r="G732" s="107">
        <f>ROUND(E732*(1+IF(ABS(F732)&lt;=1,F732,F732/100)),2)</f>
        <v/>
      </c>
      <c r="H732" s="105" t="n">
        <v>15</v>
      </c>
      <c r="I732" s="105" t="n">
        <v>5</v>
      </c>
      <c r="J732" s="105">
        <f>IF(OR(UPPER(C732)="SERVIÇO",UPPER(C732)="SERVICO"),"SERVIÇO",IF(H732&lt;=0,"ZERADO",IF(H732&lt;=I732,"ESTOQUE BAIXO","NORMAL")))</f>
        <v/>
      </c>
      <c r="K732" s="107">
        <f>IF(OR(UPPER(C732)="SERVIÇO",UPPER(C732)="SERVICO"),0,N(H732)*N(E732))</f>
        <v/>
      </c>
      <c r="L732" s="107">
        <f>IF(OR(UPPER(C732)="SERVIÇO",UPPER(C732)="SERVICO"),0,N(H732)*N(G732))</f>
        <v/>
      </c>
      <c r="M732" s="107">
        <f>IF(OR(UPPER(C732)="SERVIÇO",UPPER(C732)="SERVICO"),0,L732-K732)</f>
        <v/>
      </c>
    </row>
    <row r="733" ht="15" customHeight="1">
      <c r="B733" s="105" t="n">
        <v>722</v>
      </c>
      <c r="C733" s="105" t="inlineStr">
        <is>
          <t>Produto</t>
        </is>
      </c>
      <c r="D733" s="106" t="inlineStr">
        <is>
          <t>Prancha de natação ventilado cinza</t>
        </is>
      </c>
      <c r="E733" s="107" t="n">
        <v>44.8</v>
      </c>
      <c r="F733" s="108" t="n">
        <v>50</v>
      </c>
      <c r="G733" s="107">
        <f>ROUND(E733*(1+IF(ABS(F733)&lt;=1,F733,F733/100)),2)</f>
        <v/>
      </c>
      <c r="H733" s="105" t="n">
        <v>15</v>
      </c>
      <c r="I733" s="105" t="n">
        <v>5</v>
      </c>
      <c r="J733" s="105">
        <f>IF(OR(UPPER(C733)="SERVIÇO",UPPER(C733)="SERVICO"),"SERVIÇO",IF(H733&lt;=0,"ZERADO",IF(H733&lt;=I733,"ESTOQUE BAIXO","NORMAL")))</f>
        <v/>
      </c>
      <c r="K733" s="107">
        <f>IF(OR(UPPER(C733)="SERVIÇO",UPPER(C733)="SERVICO"),0,N(H733)*N(E733))</f>
        <v/>
      </c>
      <c r="L733" s="107">
        <f>IF(OR(UPPER(C733)="SERVIÇO",UPPER(C733)="SERVICO"),0,N(H733)*N(G733))</f>
        <v/>
      </c>
      <c r="M733" s="107">
        <f>IF(OR(UPPER(C733)="SERVIÇO",UPPER(C733)="SERVICO"),0,L733-K733)</f>
        <v/>
      </c>
    </row>
    <row r="734" ht="15" customHeight="1">
      <c r="B734" s="105" t="n">
        <v>723</v>
      </c>
      <c r="C734" s="105" t="inlineStr">
        <is>
          <t>Produto</t>
        </is>
      </c>
      <c r="D734" s="106" t="inlineStr">
        <is>
          <t>Tênis de corrida profissional branco tam. 34</t>
        </is>
      </c>
      <c r="E734" s="107" t="n">
        <v>416.65</v>
      </c>
      <c r="F734" s="108" t="n">
        <v>50</v>
      </c>
      <c r="G734" s="107">
        <f>ROUND(E734*(1+IF(ABS(F734)&lt;=1,F734,F734/100)),2)</f>
        <v/>
      </c>
      <c r="H734" s="105" t="n">
        <v>15</v>
      </c>
      <c r="I734" s="105" t="n">
        <v>5</v>
      </c>
      <c r="J734" s="105">
        <f>IF(OR(UPPER(C734)="SERVIÇO",UPPER(C734)="SERVICO"),"SERVIÇO",IF(H734&lt;=0,"ZERADO",IF(H734&lt;=I734,"ESTOQUE BAIXO","NORMAL")))</f>
        <v/>
      </c>
      <c r="K734" s="107">
        <f>IF(OR(UPPER(C734)="SERVIÇO",UPPER(C734)="SERVICO"),0,N(H734)*N(E734))</f>
        <v/>
      </c>
      <c r="L734" s="107">
        <f>IF(OR(UPPER(C734)="SERVIÇO",UPPER(C734)="SERVICO"),0,N(H734)*N(G734))</f>
        <v/>
      </c>
      <c r="M734" s="107">
        <f>IF(OR(UPPER(C734)="SERVIÇO",UPPER(C734)="SERVICO"),0,L734-K734)</f>
        <v/>
      </c>
    </row>
    <row r="735" ht="15" customHeight="1">
      <c r="B735" s="105" t="n">
        <v>724</v>
      </c>
      <c r="C735" s="105" t="inlineStr">
        <is>
          <t>Produto</t>
        </is>
      </c>
      <c r="D735" s="106" t="inlineStr">
        <is>
          <t>Bolsa de academia iniciante verde</t>
        </is>
      </c>
      <c r="E735" s="107" t="n">
        <v>52.43</v>
      </c>
      <c r="F735" s="108" t="n">
        <v>50</v>
      </c>
      <c r="G735" s="107">
        <f>ROUND(E735*(1+IF(ABS(F735)&lt;=1,F735,F735/100)),2)</f>
        <v/>
      </c>
      <c r="H735" s="105" t="n">
        <v>15</v>
      </c>
      <c r="I735" s="105" t="n">
        <v>5</v>
      </c>
      <c r="J735" s="105">
        <f>IF(OR(UPPER(C735)="SERVIÇO",UPPER(C735)="SERVICO"),"SERVIÇO",IF(H735&lt;=0,"ZERADO",IF(H735&lt;=I735,"ESTOQUE BAIXO","NORMAL")))</f>
        <v/>
      </c>
      <c r="K735" s="107">
        <f>IF(OR(UPPER(C735)="SERVIÇO",UPPER(C735)="SERVICO"),0,N(H735)*N(E735))</f>
        <v/>
      </c>
      <c r="L735" s="107">
        <f>IF(OR(UPPER(C735)="SERVIÇO",UPPER(C735)="SERVICO"),0,N(H735)*N(G735))</f>
        <v/>
      </c>
      <c r="M735" s="107">
        <f>IF(OR(UPPER(C735)="SERVIÇO",UPPER(C735)="SERVICO"),0,L735-K735)</f>
        <v/>
      </c>
    </row>
    <row r="736" ht="15" customHeight="1">
      <c r="B736" s="105" t="n">
        <v>725</v>
      </c>
      <c r="C736" s="105" t="inlineStr">
        <is>
          <t>Produto</t>
        </is>
      </c>
      <c r="D736" s="106" t="inlineStr">
        <is>
          <t>Step de ginástica juvenil laranja</t>
        </is>
      </c>
      <c r="E736" s="107" t="n">
        <v>218.47</v>
      </c>
      <c r="F736" s="108" t="n">
        <v>50</v>
      </c>
      <c r="G736" s="107">
        <f>ROUND(E736*(1+IF(ABS(F736)&lt;=1,F736,F736/100)),2)</f>
        <v/>
      </c>
      <c r="H736" s="105" t="n">
        <v>15</v>
      </c>
      <c r="I736" s="105" t="n">
        <v>5</v>
      </c>
      <c r="J736" s="105">
        <f>IF(OR(UPPER(C736)="SERVIÇO",UPPER(C736)="SERVICO"),"SERVIÇO",IF(H736&lt;=0,"ZERADO",IF(H736&lt;=I736,"ESTOQUE BAIXO","NORMAL")))</f>
        <v/>
      </c>
      <c r="K736" s="107">
        <f>IF(OR(UPPER(C736)="SERVIÇO",UPPER(C736)="SERVICO"),0,N(H736)*N(E736))</f>
        <v/>
      </c>
      <c r="L736" s="107">
        <f>IF(OR(UPPER(C736)="SERVIÇO",UPPER(C736)="SERVICO"),0,N(H736)*N(G736))</f>
        <v/>
      </c>
      <c r="M736" s="107">
        <f>IF(OR(UPPER(C736)="SERVIÇO",UPPER(C736)="SERVICO"),0,L736-K736)</f>
        <v/>
      </c>
    </row>
    <row r="737" ht="15" customHeight="1">
      <c r="B737" s="105" t="n">
        <v>726</v>
      </c>
      <c r="C737" s="105" t="inlineStr">
        <is>
          <t>Produto</t>
        </is>
      </c>
      <c r="D737" s="106" t="inlineStr">
        <is>
          <t>Nadadeira adulto rosa</t>
        </is>
      </c>
      <c r="E737" s="107" t="n">
        <v>179.54</v>
      </c>
      <c r="F737" s="108" t="n">
        <v>50</v>
      </c>
      <c r="G737" s="107">
        <f>ROUND(E737*(1+IF(ABS(F737)&lt;=1,F737,F737/100)),2)</f>
        <v/>
      </c>
      <c r="H737" s="105" t="n">
        <v>15</v>
      </c>
      <c r="I737" s="105" t="n">
        <v>5</v>
      </c>
      <c r="J737" s="105">
        <f>IF(OR(UPPER(C737)="SERVIÇO",UPPER(C737)="SERVICO"),"SERVIÇO",IF(H737&lt;=0,"ZERADO",IF(H737&lt;=I737,"ESTOQUE BAIXO","NORMAL")))</f>
        <v/>
      </c>
      <c r="K737" s="107">
        <f>IF(OR(UPPER(C737)="SERVIÇO",UPPER(C737)="SERVICO"),0,N(H737)*N(E737))</f>
        <v/>
      </c>
      <c r="L737" s="107">
        <f>IF(OR(UPPER(C737)="SERVIÇO",UPPER(C737)="SERVICO"),0,N(H737)*N(G737))</f>
        <v/>
      </c>
      <c r="M737" s="107">
        <f>IF(OR(UPPER(C737)="SERVIÇO",UPPER(C737)="SERVICO"),0,L737-K737)</f>
        <v/>
      </c>
    </row>
    <row r="738" ht="15" customHeight="1">
      <c r="B738" s="105" t="n">
        <v>727</v>
      </c>
      <c r="C738" s="105" t="inlineStr">
        <is>
          <t>Produto</t>
        </is>
      </c>
      <c r="D738" s="106" t="inlineStr">
        <is>
          <t>Mochila esportiva para uso diário laranja</t>
        </is>
      </c>
      <c r="E738" s="107" t="n">
        <v>186.23</v>
      </c>
      <c r="F738" s="108" t="n">
        <v>50</v>
      </c>
      <c r="G738" s="107">
        <f>ROUND(E738*(1+IF(ABS(F738)&lt;=1,F738,F738/100)),2)</f>
        <v/>
      </c>
      <c r="H738" s="105" t="n">
        <v>15</v>
      </c>
      <c r="I738" s="105" t="n">
        <v>5</v>
      </c>
      <c r="J738" s="105">
        <f>IF(OR(UPPER(C738)="SERVIÇO",UPPER(C738)="SERVICO"),"SERVIÇO",IF(H738&lt;=0,"ZERADO",IF(H738&lt;=I738,"ESTOQUE BAIXO","NORMAL")))</f>
        <v/>
      </c>
      <c r="K738" s="107">
        <f>IF(OR(UPPER(C738)="SERVIÇO",UPPER(C738)="SERVICO"),0,N(H738)*N(E738))</f>
        <v/>
      </c>
      <c r="L738" s="107">
        <f>IF(OR(UPPER(C738)="SERVIÇO",UPPER(C738)="SERVICO"),0,N(H738)*N(G738))</f>
        <v/>
      </c>
      <c r="M738" s="107">
        <f>IF(OR(UPPER(C738)="SERVIÇO",UPPER(C738)="SERVICO"),0,L738-K738)</f>
        <v/>
      </c>
    </row>
    <row r="739" ht="15" customHeight="1">
      <c r="B739" s="105" t="n">
        <v>728</v>
      </c>
      <c r="C739" s="105" t="inlineStr">
        <is>
          <t>Produto</t>
        </is>
      </c>
      <c r="D739" s="106" t="inlineStr">
        <is>
          <t>Luva de boxe reforçado branco tam. GG</t>
        </is>
      </c>
      <c r="E739" s="107" t="n">
        <v>219.01</v>
      </c>
      <c r="F739" s="108" t="n">
        <v>50</v>
      </c>
      <c r="G739" s="107">
        <f>ROUND(E739*(1+IF(ABS(F739)&lt;=1,F739,F739/100)),2)</f>
        <v/>
      </c>
      <c r="H739" s="105" t="n">
        <v>15</v>
      </c>
      <c r="I739" s="105" t="n">
        <v>5</v>
      </c>
      <c r="J739" s="105">
        <f>IF(OR(UPPER(C739)="SERVIÇO",UPPER(C739)="SERVICO"),"SERVIÇO",IF(H739&lt;=0,"ZERADO",IF(H739&lt;=I739,"ESTOQUE BAIXO","NORMAL")))</f>
        <v/>
      </c>
      <c r="K739" s="107">
        <f>IF(OR(UPPER(C739)="SERVIÇO",UPPER(C739)="SERVICO"),0,N(H739)*N(E739))</f>
        <v/>
      </c>
      <c r="L739" s="107">
        <f>IF(OR(UPPER(C739)="SERVIÇO",UPPER(C739)="SERVICO"),0,N(H739)*N(G739))</f>
        <v/>
      </c>
      <c r="M739" s="107">
        <f>IF(OR(UPPER(C739)="SERVIÇO",UPPER(C739)="SERVICO"),0,L739-K739)</f>
        <v/>
      </c>
    </row>
    <row r="740" ht="15" customHeight="1">
      <c r="B740" s="105" t="n">
        <v>729</v>
      </c>
      <c r="C740" s="105" t="inlineStr">
        <is>
          <t>Produto</t>
        </is>
      </c>
      <c r="D740" s="106" t="inlineStr">
        <is>
          <t>Touca de natação modelo avançado cinza tam. G</t>
        </is>
      </c>
      <c r="E740" s="107" t="n">
        <v>51.81</v>
      </c>
      <c r="F740" s="108" t="n">
        <v>50</v>
      </c>
      <c r="G740" s="107">
        <f>ROUND(E740*(1+IF(ABS(F740)&lt;=1,F740,F740/100)),2)</f>
        <v/>
      </c>
      <c r="H740" s="105" t="n">
        <v>15</v>
      </c>
      <c r="I740" s="105" t="n">
        <v>5</v>
      </c>
      <c r="J740" s="105">
        <f>IF(OR(UPPER(C740)="SERVIÇO",UPPER(C740)="SERVICO"),"SERVIÇO",IF(H740&lt;=0,"ZERADO",IF(H740&lt;=I740,"ESTOQUE BAIXO","NORMAL")))</f>
        <v/>
      </c>
      <c r="K740" s="107">
        <f>IF(OR(UPPER(C740)="SERVIÇO",UPPER(C740)="SERVICO"),0,N(H740)*N(E740))</f>
        <v/>
      </c>
      <c r="L740" s="107">
        <f>IF(OR(UPPER(C740)="SERVIÇO",UPPER(C740)="SERVICO"),0,N(H740)*N(G740))</f>
        <v/>
      </c>
      <c r="M740" s="107">
        <f>IF(OR(UPPER(C740)="SERVIÇO",UPPER(C740)="SERVICO"),0,L740-K740)</f>
        <v/>
      </c>
    </row>
    <row r="741" ht="15" customHeight="1">
      <c r="B741" s="105" t="n">
        <v>730</v>
      </c>
      <c r="C741" s="105" t="inlineStr">
        <is>
          <t>Produto</t>
        </is>
      </c>
      <c r="D741" s="106" t="inlineStr">
        <is>
          <t>Luva de goleiro iniciante azul tam. 40</t>
        </is>
      </c>
      <c r="E741" s="107" t="n">
        <v>51.58</v>
      </c>
      <c r="F741" s="108" t="n">
        <v>50</v>
      </c>
      <c r="G741" s="107">
        <f>ROUND(E741*(1+IF(ABS(F741)&lt;=1,F741,F741/100)),2)</f>
        <v/>
      </c>
      <c r="H741" s="105" t="n">
        <v>15</v>
      </c>
      <c r="I741" s="105" t="n">
        <v>5</v>
      </c>
      <c r="J741" s="105">
        <f>IF(OR(UPPER(C741)="SERVIÇO",UPPER(C741)="SERVICO"),"SERVIÇO",IF(H741&lt;=0,"ZERADO",IF(H741&lt;=I741,"ESTOQUE BAIXO","NORMAL")))</f>
        <v/>
      </c>
      <c r="K741" s="107">
        <f>IF(OR(UPPER(C741)="SERVIÇO",UPPER(C741)="SERVICO"),0,N(H741)*N(E741))</f>
        <v/>
      </c>
      <c r="L741" s="107">
        <f>IF(OR(UPPER(C741)="SERVIÇO",UPPER(C741)="SERVICO"),0,N(H741)*N(G741))</f>
        <v/>
      </c>
      <c r="M741" s="107">
        <f>IF(OR(UPPER(C741)="SERVIÇO",UPPER(C741)="SERVICO"),0,L741-K741)</f>
        <v/>
      </c>
    </row>
    <row r="742" ht="15" customHeight="1">
      <c r="B742" s="105" t="n">
        <v>731</v>
      </c>
      <c r="C742" s="105" t="inlineStr">
        <is>
          <t>Produto</t>
        </is>
      </c>
      <c r="D742" s="106" t="inlineStr">
        <is>
          <t>Mochila esportiva leve branco</t>
        </is>
      </c>
      <c r="E742" s="107" t="n">
        <v>169.45</v>
      </c>
      <c r="F742" s="108" t="n">
        <v>50</v>
      </c>
      <c r="G742" s="107">
        <f>ROUND(E742*(1+IF(ABS(F742)&lt;=1,F742,F742/100)),2)</f>
        <v/>
      </c>
      <c r="H742" s="105" t="n">
        <v>15</v>
      </c>
      <c r="I742" s="105" t="n">
        <v>5</v>
      </c>
      <c r="J742" s="105">
        <f>IF(OR(UPPER(C742)="SERVIÇO",UPPER(C742)="SERVICO"),"SERVIÇO",IF(H742&lt;=0,"ZERADO",IF(H742&lt;=I742,"ESTOQUE BAIXO","NORMAL")))</f>
        <v/>
      </c>
      <c r="K742" s="107">
        <f>IF(OR(UPPER(C742)="SERVIÇO",UPPER(C742)="SERVICO"),0,N(H742)*N(E742))</f>
        <v/>
      </c>
      <c r="L742" s="107">
        <f>IF(OR(UPPER(C742)="SERVIÇO",UPPER(C742)="SERVICO"),0,N(H742)*N(G742))</f>
        <v/>
      </c>
      <c r="M742" s="107">
        <f>IF(OR(UPPER(C742)="SERVIÇO",UPPER(C742)="SERVICO"),0,L742-K742)</f>
        <v/>
      </c>
    </row>
    <row r="743" ht="15" customHeight="1">
      <c r="B743" s="105" t="n">
        <v>732</v>
      </c>
      <c r="C743" s="105" t="inlineStr">
        <is>
          <t>Produto</t>
        </is>
      </c>
      <c r="D743" s="106" t="inlineStr">
        <is>
          <t>Jaqueta esportiva compacto cinza tam. 38</t>
        </is>
      </c>
      <c r="E743" s="107" t="n">
        <v>247.81</v>
      </c>
      <c r="F743" s="108" t="n">
        <v>50</v>
      </c>
      <c r="G743" s="107">
        <f>ROUND(E743*(1+IF(ABS(F743)&lt;=1,F743,F743/100)),2)</f>
        <v/>
      </c>
      <c r="H743" s="105" t="n">
        <v>15</v>
      </c>
      <c r="I743" s="105" t="n">
        <v>5</v>
      </c>
      <c r="J743" s="105">
        <f>IF(OR(UPPER(C743)="SERVIÇO",UPPER(C743)="SERVICO"),"SERVIÇO",IF(H743&lt;=0,"ZERADO",IF(H743&lt;=I743,"ESTOQUE BAIXO","NORMAL")))</f>
        <v/>
      </c>
      <c r="K743" s="107">
        <f>IF(OR(UPPER(C743)="SERVIÇO",UPPER(C743)="SERVICO"),0,N(H743)*N(E743))</f>
        <v/>
      </c>
      <c r="L743" s="107">
        <f>IF(OR(UPPER(C743)="SERVIÇO",UPPER(C743)="SERVICO"),0,N(H743)*N(G743))</f>
        <v/>
      </c>
      <c r="M743" s="107">
        <f>IF(OR(UPPER(C743)="SERVIÇO",UPPER(C743)="SERVICO"),0,L743-K743)</f>
        <v/>
      </c>
    </row>
    <row r="744" ht="15" customHeight="1">
      <c r="B744" s="105" t="n">
        <v>733</v>
      </c>
      <c r="C744" s="105" t="inlineStr">
        <is>
          <t>Produto</t>
        </is>
      </c>
      <c r="D744" s="106" t="inlineStr">
        <is>
          <t>Kettlebell premium cinza</t>
        </is>
      </c>
      <c r="E744" s="107" t="n">
        <v>127.33</v>
      </c>
      <c r="F744" s="108" t="n">
        <v>50</v>
      </c>
      <c r="G744" s="107">
        <f>ROUND(E744*(1+IF(ABS(F744)&lt;=1,F744,F744/100)),2)</f>
        <v/>
      </c>
      <c r="H744" s="105" t="n">
        <v>15</v>
      </c>
      <c r="I744" s="105" t="n">
        <v>5</v>
      </c>
      <c r="J744" s="105">
        <f>IF(OR(UPPER(C744)="SERVIÇO",UPPER(C744)="SERVICO"),"SERVIÇO",IF(H744&lt;=0,"ZERADO",IF(H744&lt;=I744,"ESTOQUE BAIXO","NORMAL")))</f>
        <v/>
      </c>
      <c r="K744" s="107">
        <f>IF(OR(UPPER(C744)="SERVIÇO",UPPER(C744)="SERVICO"),0,N(H744)*N(E744))</f>
        <v/>
      </c>
      <c r="L744" s="107">
        <f>IF(OR(UPPER(C744)="SERVIÇO",UPPER(C744)="SERVICO"),0,N(H744)*N(G744))</f>
        <v/>
      </c>
      <c r="M744" s="107">
        <f>IF(OR(UPPER(C744)="SERVIÇO",UPPER(C744)="SERVICO"),0,L744-K744)</f>
        <v/>
      </c>
    </row>
    <row r="745" ht="15" customHeight="1">
      <c r="B745" s="105" t="n">
        <v>734</v>
      </c>
      <c r="C745" s="105" t="inlineStr">
        <is>
          <t>Produto</t>
        </is>
      </c>
      <c r="D745" s="106" t="inlineStr">
        <is>
          <t>Tênis para quadra juvenil azul tam. 40</t>
        </is>
      </c>
      <c r="E745" s="107" t="n">
        <v>435.49</v>
      </c>
      <c r="F745" s="108" t="n">
        <v>50</v>
      </c>
      <c r="G745" s="107">
        <f>ROUND(E745*(1+IF(ABS(F745)&lt;=1,F745,F745/100)),2)</f>
        <v/>
      </c>
      <c r="H745" s="105" t="n">
        <v>15</v>
      </c>
      <c r="I745" s="105" t="n">
        <v>5</v>
      </c>
      <c r="J745" s="105">
        <f>IF(OR(UPPER(C745)="SERVIÇO",UPPER(C745)="SERVICO"),"SERVIÇO",IF(H745&lt;=0,"ZERADO",IF(H745&lt;=I745,"ESTOQUE BAIXO","NORMAL")))</f>
        <v/>
      </c>
      <c r="K745" s="107">
        <f>IF(OR(UPPER(C745)="SERVIÇO",UPPER(C745)="SERVICO"),0,N(H745)*N(E745))</f>
        <v/>
      </c>
      <c r="L745" s="107">
        <f>IF(OR(UPPER(C745)="SERVIÇO",UPPER(C745)="SERVICO"),0,N(H745)*N(G745))</f>
        <v/>
      </c>
      <c r="M745" s="107">
        <f>IF(OR(UPPER(C745)="SERVIÇO",UPPER(C745)="SERVICO"),0,L745-K745)</f>
        <v/>
      </c>
    </row>
    <row r="746" ht="15" customHeight="1">
      <c r="B746" s="105" t="n">
        <v>735</v>
      </c>
      <c r="C746" s="105" t="inlineStr">
        <is>
          <t>Produto</t>
        </is>
      </c>
      <c r="D746" s="106" t="inlineStr">
        <is>
          <t>Relógio esportivo para uso diário cinza</t>
        </is>
      </c>
      <c r="E746" s="107" t="n">
        <v>654.8200000000001</v>
      </c>
      <c r="F746" s="108" t="n">
        <v>50</v>
      </c>
      <c r="G746" s="107">
        <f>ROUND(E746*(1+IF(ABS(F746)&lt;=1,F746,F746/100)),2)</f>
        <v/>
      </c>
      <c r="H746" s="105" t="n">
        <v>15</v>
      </c>
      <c r="I746" s="105" t="n">
        <v>5</v>
      </c>
      <c r="J746" s="105">
        <f>IF(OR(UPPER(C746)="SERVIÇO",UPPER(C746)="SERVICO"),"SERVIÇO",IF(H746&lt;=0,"ZERADO",IF(H746&lt;=I746,"ESTOQUE BAIXO","NORMAL")))</f>
        <v/>
      </c>
      <c r="K746" s="107">
        <f>IF(OR(UPPER(C746)="SERVIÇO",UPPER(C746)="SERVICO"),0,N(H746)*N(E746))</f>
        <v/>
      </c>
      <c r="L746" s="107">
        <f>IF(OR(UPPER(C746)="SERVIÇO",UPPER(C746)="SERVICO"),0,N(H746)*N(G746))</f>
        <v/>
      </c>
      <c r="M746" s="107">
        <f>IF(OR(UPPER(C746)="SERVIÇO",UPPER(C746)="SERVICO"),0,L746-K746)</f>
        <v/>
      </c>
    </row>
    <row r="747" ht="15" customHeight="1">
      <c r="B747" s="105" t="n">
        <v>736</v>
      </c>
      <c r="C747" s="105" t="inlineStr">
        <is>
          <t>Produto</t>
        </is>
      </c>
      <c r="D747" s="106" t="inlineStr">
        <is>
          <t>Chuteira society reforçado branco tam. 38</t>
        </is>
      </c>
      <c r="E747" s="107" t="n">
        <v>415.33</v>
      </c>
      <c r="F747" s="108" t="n">
        <v>50</v>
      </c>
      <c r="G747" s="107">
        <f>ROUND(E747*(1+IF(ABS(F747)&lt;=1,F747,F747/100)),2)</f>
        <v/>
      </c>
      <c r="H747" s="105" t="n">
        <v>15</v>
      </c>
      <c r="I747" s="105" t="n">
        <v>5</v>
      </c>
      <c r="J747" s="105">
        <f>IF(OR(UPPER(C747)="SERVIÇO",UPPER(C747)="SERVICO"),"SERVIÇO",IF(H747&lt;=0,"ZERADO",IF(H747&lt;=I747,"ESTOQUE BAIXO","NORMAL")))</f>
        <v/>
      </c>
      <c r="K747" s="107">
        <f>IF(OR(UPPER(C747)="SERVIÇO",UPPER(C747)="SERVICO"),0,N(H747)*N(E747))</f>
        <v/>
      </c>
      <c r="L747" s="107">
        <f>IF(OR(UPPER(C747)="SERVIÇO",UPPER(C747)="SERVICO"),0,N(H747)*N(G747))</f>
        <v/>
      </c>
      <c r="M747" s="107">
        <f>IF(OR(UPPER(C747)="SERVIÇO",UPPER(C747)="SERVICO"),0,L747-K747)</f>
        <v/>
      </c>
    </row>
    <row r="748" ht="15" customHeight="1">
      <c r="B748" s="105" t="n">
        <v>737</v>
      </c>
      <c r="C748" s="105" t="inlineStr">
        <is>
          <t>Produto</t>
        </is>
      </c>
      <c r="D748" s="106" t="inlineStr">
        <is>
          <t>Capacete de ciclismo modelo básico vermelho</t>
        </is>
      </c>
      <c r="E748" s="107" t="n">
        <v>290.97</v>
      </c>
      <c r="F748" s="108" t="n">
        <v>50</v>
      </c>
      <c r="G748" s="107">
        <f>ROUND(E748*(1+IF(ABS(F748)&lt;=1,F748,F748/100)),2)</f>
        <v/>
      </c>
      <c r="H748" s="105" t="n">
        <v>15</v>
      </c>
      <c r="I748" s="105" t="n">
        <v>5</v>
      </c>
      <c r="J748" s="105">
        <f>IF(OR(UPPER(C748)="SERVIÇO",UPPER(C748)="SERVICO"),"SERVIÇO",IF(H748&lt;=0,"ZERADO",IF(H748&lt;=I748,"ESTOQUE BAIXO","NORMAL")))</f>
        <v/>
      </c>
      <c r="K748" s="107">
        <f>IF(OR(UPPER(C748)="SERVIÇO",UPPER(C748)="SERVICO"),0,N(H748)*N(E748))</f>
        <v/>
      </c>
      <c r="L748" s="107">
        <f>IF(OR(UPPER(C748)="SERVIÇO",UPPER(C748)="SERVICO"),0,N(H748)*N(G748))</f>
        <v/>
      </c>
      <c r="M748" s="107">
        <f>IF(OR(UPPER(C748)="SERVIÇO",UPPER(C748)="SERVICO"),0,L748-K748)</f>
        <v/>
      </c>
    </row>
    <row r="749" ht="15" customHeight="1">
      <c r="B749" s="105" t="n">
        <v>738</v>
      </c>
      <c r="C749" s="105" t="inlineStr">
        <is>
          <t>Produto</t>
        </is>
      </c>
      <c r="D749" s="106" t="inlineStr">
        <is>
          <t>Óculos esportivos leve branco</t>
        </is>
      </c>
      <c r="E749" s="107" t="n">
        <v>275.2</v>
      </c>
      <c r="F749" s="108" t="n">
        <v>50</v>
      </c>
      <c r="G749" s="107">
        <f>ROUND(E749*(1+IF(ABS(F749)&lt;=1,F749,F749/100)),2)</f>
        <v/>
      </c>
      <c r="H749" s="105" t="n">
        <v>15</v>
      </c>
      <c r="I749" s="105" t="n">
        <v>5</v>
      </c>
      <c r="J749" s="105">
        <f>IF(OR(UPPER(C749)="SERVIÇO",UPPER(C749)="SERVICO"),"SERVIÇO",IF(H749&lt;=0,"ZERADO",IF(H749&lt;=I749,"ESTOQUE BAIXO","NORMAL")))</f>
        <v/>
      </c>
      <c r="K749" s="107">
        <f>IF(OR(UPPER(C749)="SERVIÇO",UPPER(C749)="SERVICO"),0,N(H749)*N(E749))</f>
        <v/>
      </c>
      <c r="L749" s="107">
        <f>IF(OR(UPPER(C749)="SERVIÇO",UPPER(C749)="SERVICO"),0,N(H749)*N(G749))</f>
        <v/>
      </c>
      <c r="M749" s="107">
        <f>IF(OR(UPPER(C749)="SERVIÇO",UPPER(C749)="SERVICO"),0,L749-K749)</f>
        <v/>
      </c>
    </row>
    <row r="750" ht="15" customHeight="1">
      <c r="B750" s="105" t="n">
        <v>739</v>
      </c>
      <c r="C750" s="105" t="inlineStr">
        <is>
          <t>Produto</t>
        </is>
      </c>
      <c r="D750" s="106" t="inlineStr">
        <is>
          <t>Bola de futebol premium verde</t>
        </is>
      </c>
      <c r="E750" s="107" t="n">
        <v>144.12</v>
      </c>
      <c r="F750" s="108" t="n">
        <v>50</v>
      </c>
      <c r="G750" s="107">
        <f>ROUND(E750*(1+IF(ABS(F750)&lt;=1,F750,F750/100)),2)</f>
        <v/>
      </c>
      <c r="H750" s="105" t="n">
        <v>15</v>
      </c>
      <c r="I750" s="105" t="n">
        <v>5</v>
      </c>
      <c r="J750" s="105">
        <f>IF(OR(UPPER(C750)="SERVIÇO",UPPER(C750)="SERVICO"),"SERVIÇO",IF(H750&lt;=0,"ZERADO",IF(H750&lt;=I750,"ESTOQUE BAIXO","NORMAL")))</f>
        <v/>
      </c>
      <c r="K750" s="107">
        <f>IF(OR(UPPER(C750)="SERVIÇO",UPPER(C750)="SERVICO"),0,N(H750)*N(E750))</f>
        <v/>
      </c>
      <c r="L750" s="107">
        <f>IF(OR(UPPER(C750)="SERVIÇO",UPPER(C750)="SERVICO"),0,N(H750)*N(G750))</f>
        <v/>
      </c>
      <c r="M750" s="107">
        <f>IF(OR(UPPER(C750)="SERVIÇO",UPPER(C750)="SERVICO"),0,L750-K750)</f>
        <v/>
      </c>
    </row>
    <row r="751" ht="15" customHeight="1">
      <c r="B751" s="105" t="n">
        <v>740</v>
      </c>
      <c r="C751" s="105" t="inlineStr">
        <is>
          <t>Produto</t>
        </is>
      </c>
      <c r="D751" s="106" t="inlineStr">
        <is>
          <t>Camiseta esportiva leve rosa tam. M</t>
        </is>
      </c>
      <c r="E751" s="107" t="n">
        <v>31.14</v>
      </c>
      <c r="F751" s="108" t="n">
        <v>50</v>
      </c>
      <c r="G751" s="107">
        <f>ROUND(E751*(1+IF(ABS(F751)&lt;=1,F751,F751/100)),2)</f>
        <v/>
      </c>
      <c r="H751" s="105" t="n">
        <v>15</v>
      </c>
      <c r="I751" s="105" t="n">
        <v>5</v>
      </c>
      <c r="J751" s="105">
        <f>IF(OR(UPPER(C751)="SERVIÇO",UPPER(C751)="SERVICO"),"SERVIÇO",IF(H751&lt;=0,"ZERADO",IF(H751&lt;=I751,"ESTOQUE BAIXO","NORMAL")))</f>
        <v/>
      </c>
      <c r="K751" s="107">
        <f>IF(OR(UPPER(C751)="SERVIÇO",UPPER(C751)="SERVICO"),0,N(H751)*N(E751))</f>
        <v/>
      </c>
      <c r="L751" s="107">
        <f>IF(OR(UPPER(C751)="SERVIÇO",UPPER(C751)="SERVICO"),0,N(H751)*N(G751))</f>
        <v/>
      </c>
      <c r="M751" s="107">
        <f>IF(OR(UPPER(C751)="SERVIÇO",UPPER(C751)="SERVICO"),0,L751-K751)</f>
        <v/>
      </c>
    </row>
    <row r="752" ht="15" customHeight="1">
      <c r="B752" s="105" t="n">
        <v>741</v>
      </c>
      <c r="C752" s="105" t="inlineStr">
        <is>
          <t>Produto</t>
        </is>
      </c>
      <c r="D752" s="106" t="inlineStr">
        <is>
          <t>Bicicleta ergométrica para uso diário laranja</t>
        </is>
      </c>
      <c r="E752" s="107" t="n">
        <v>2908.4</v>
      </c>
      <c r="F752" s="108" t="n">
        <v>50</v>
      </c>
      <c r="G752" s="107">
        <f>ROUND(E752*(1+IF(ABS(F752)&lt;=1,F752,F752/100)),2)</f>
        <v/>
      </c>
      <c r="H752" s="105" t="n">
        <v>15</v>
      </c>
      <c r="I752" s="105" t="n">
        <v>5</v>
      </c>
      <c r="J752" s="105">
        <f>IF(OR(UPPER(C752)="SERVIÇO",UPPER(C752)="SERVICO"),"SERVIÇO",IF(H752&lt;=0,"ZERADO",IF(H752&lt;=I752,"ESTOQUE BAIXO","NORMAL")))</f>
        <v/>
      </c>
      <c r="K752" s="107">
        <f>IF(OR(UPPER(C752)="SERVIÇO",UPPER(C752)="SERVICO"),0,N(H752)*N(E752))</f>
        <v/>
      </c>
      <c r="L752" s="107">
        <f>IF(OR(UPPER(C752)="SERVIÇO",UPPER(C752)="SERVICO"),0,N(H752)*N(G752))</f>
        <v/>
      </c>
      <c r="M752" s="107">
        <f>IF(OR(UPPER(C752)="SERVIÇO",UPPER(C752)="SERVICO"),0,L752-K752)</f>
        <v/>
      </c>
    </row>
    <row r="753" ht="15" customHeight="1">
      <c r="B753" s="105" t="n">
        <v>742</v>
      </c>
      <c r="C753" s="105" t="inlineStr">
        <is>
          <t>Produto</t>
        </is>
      </c>
      <c r="D753" s="106" t="inlineStr">
        <is>
          <t>Bloco para yoga juvenil verde</t>
        </is>
      </c>
      <c r="E753" s="107" t="n">
        <v>37.43</v>
      </c>
      <c r="F753" s="108" t="n">
        <v>50</v>
      </c>
      <c r="G753" s="107">
        <f>ROUND(E753*(1+IF(ABS(F753)&lt;=1,F753,F753/100)),2)</f>
        <v/>
      </c>
      <c r="H753" s="105" t="n">
        <v>15</v>
      </c>
      <c r="I753" s="105" t="n">
        <v>5</v>
      </c>
      <c r="J753" s="105">
        <f>IF(OR(UPPER(C753)="SERVIÇO",UPPER(C753)="SERVICO"),"SERVIÇO",IF(H753&lt;=0,"ZERADO",IF(H753&lt;=I753,"ESTOQUE BAIXO","NORMAL")))</f>
        <v/>
      </c>
      <c r="K753" s="107">
        <f>IF(OR(UPPER(C753)="SERVIÇO",UPPER(C753)="SERVICO"),0,N(H753)*N(E753))</f>
        <v/>
      </c>
      <c r="L753" s="107">
        <f>IF(OR(UPPER(C753)="SERVIÇO",UPPER(C753)="SERVICO"),0,N(H753)*N(G753))</f>
        <v/>
      </c>
      <c r="M753" s="107">
        <f>IF(OR(UPPER(C753)="SERVIÇO",UPPER(C753)="SERVICO"),0,L753-K753)</f>
        <v/>
      </c>
    </row>
    <row r="754" ht="15" customHeight="1">
      <c r="B754" s="105" t="n">
        <v>743</v>
      </c>
      <c r="C754" s="105" t="inlineStr">
        <is>
          <t>Produto</t>
        </is>
      </c>
      <c r="D754" s="106" t="inlineStr">
        <is>
          <t>Bola de futebol resistente verde</t>
        </is>
      </c>
      <c r="E754" s="107" t="n">
        <v>32.63</v>
      </c>
      <c r="F754" s="108" t="n">
        <v>50</v>
      </c>
      <c r="G754" s="107">
        <f>ROUND(E754*(1+IF(ABS(F754)&lt;=1,F754,F754/100)),2)</f>
        <v/>
      </c>
      <c r="H754" s="105" t="n">
        <v>15</v>
      </c>
      <c r="I754" s="105" t="n">
        <v>5</v>
      </c>
      <c r="J754" s="105">
        <f>IF(OR(UPPER(C754)="SERVIÇO",UPPER(C754)="SERVICO"),"SERVIÇO",IF(H754&lt;=0,"ZERADO",IF(H754&lt;=I754,"ESTOQUE BAIXO","NORMAL")))</f>
        <v/>
      </c>
      <c r="K754" s="107">
        <f>IF(OR(UPPER(C754)="SERVIÇO",UPPER(C754)="SERVICO"),0,N(H754)*N(E754))</f>
        <v/>
      </c>
      <c r="L754" s="107">
        <f>IF(OR(UPPER(C754)="SERVIÇO",UPPER(C754)="SERVICO"),0,N(H754)*N(G754))</f>
        <v/>
      </c>
      <c r="M754" s="107">
        <f>IF(OR(UPPER(C754)="SERVIÇO",UPPER(C754)="SERVICO"),0,L754-K754)</f>
        <v/>
      </c>
    </row>
    <row r="755" ht="15" customHeight="1">
      <c r="B755" s="105" t="n">
        <v>744</v>
      </c>
      <c r="C755" s="105" t="inlineStr">
        <is>
          <t>Produto</t>
        </is>
      </c>
      <c r="D755" s="106" t="inlineStr">
        <is>
          <t>Bola de futebol compacto branco</t>
        </is>
      </c>
      <c r="E755" s="107" t="n">
        <v>76.75</v>
      </c>
      <c r="F755" s="108" t="n">
        <v>50</v>
      </c>
      <c r="G755" s="107">
        <f>ROUND(E755*(1+IF(ABS(F755)&lt;=1,F755,F755/100)),2)</f>
        <v/>
      </c>
      <c r="H755" s="105" t="n">
        <v>15</v>
      </c>
      <c r="I755" s="105" t="n">
        <v>5</v>
      </c>
      <c r="J755" s="105">
        <f>IF(OR(UPPER(C755)="SERVIÇO",UPPER(C755)="SERVICO"),"SERVIÇO",IF(H755&lt;=0,"ZERADO",IF(H755&lt;=I755,"ESTOQUE BAIXO","NORMAL")))</f>
        <v/>
      </c>
      <c r="K755" s="107">
        <f>IF(OR(UPPER(C755)="SERVIÇO",UPPER(C755)="SERVICO"),0,N(H755)*N(E755))</f>
        <v/>
      </c>
      <c r="L755" s="107">
        <f>IF(OR(UPPER(C755)="SERVIÇO",UPPER(C755)="SERVICO"),0,N(H755)*N(G755))</f>
        <v/>
      </c>
      <c r="M755" s="107">
        <f>IF(OR(UPPER(C755)="SERVIÇO",UPPER(C755)="SERVICO"),0,L755-K755)</f>
        <v/>
      </c>
    </row>
    <row r="756" ht="15" customHeight="1">
      <c r="B756" s="105" t="n">
        <v>745</v>
      </c>
      <c r="C756" s="105" t="inlineStr">
        <is>
          <t>Produto</t>
        </is>
      </c>
      <c r="D756" s="106" t="inlineStr">
        <is>
          <t>Tênis de corrida resistente cinza tam. G</t>
        </is>
      </c>
      <c r="E756" s="107" t="n">
        <v>123.23</v>
      </c>
      <c r="F756" s="108" t="n">
        <v>50</v>
      </c>
      <c r="G756" s="107">
        <f>ROUND(E756*(1+IF(ABS(F756)&lt;=1,F756,F756/100)),2)</f>
        <v/>
      </c>
      <c r="H756" s="105" t="n">
        <v>15</v>
      </c>
      <c r="I756" s="105" t="n">
        <v>5</v>
      </c>
      <c r="J756" s="105">
        <f>IF(OR(UPPER(C756)="SERVIÇO",UPPER(C756)="SERVICO"),"SERVIÇO",IF(H756&lt;=0,"ZERADO",IF(H756&lt;=I756,"ESTOQUE BAIXO","NORMAL")))</f>
        <v/>
      </c>
      <c r="K756" s="107">
        <f>IF(OR(UPPER(C756)="SERVIÇO",UPPER(C756)="SERVICO"),0,N(H756)*N(E756))</f>
        <v/>
      </c>
      <c r="L756" s="107">
        <f>IF(OR(UPPER(C756)="SERVIÇO",UPPER(C756)="SERVICO"),0,N(H756)*N(G756))</f>
        <v/>
      </c>
      <c r="M756" s="107">
        <f>IF(OR(UPPER(C756)="SERVIÇO",UPPER(C756)="SERVICO"),0,L756-K756)</f>
        <v/>
      </c>
    </row>
    <row r="757" ht="15" customHeight="1">
      <c r="B757" s="105" t="n">
        <v>746</v>
      </c>
      <c r="C757" s="105" t="inlineStr">
        <is>
          <t>Produto</t>
        </is>
      </c>
      <c r="D757" s="106" t="inlineStr">
        <is>
          <t>Bola de vôlei iniciante rosa</t>
        </is>
      </c>
      <c r="E757" s="107" t="n">
        <v>85.08</v>
      </c>
      <c r="F757" s="108" t="n">
        <v>50</v>
      </c>
      <c r="G757" s="107">
        <f>ROUND(E757*(1+IF(ABS(F757)&lt;=1,F757,F757/100)),2)</f>
        <v/>
      </c>
      <c r="H757" s="105" t="n">
        <v>15</v>
      </c>
      <c r="I757" s="105" t="n">
        <v>5</v>
      </c>
      <c r="J757" s="105">
        <f>IF(OR(UPPER(C757)="SERVIÇO",UPPER(C757)="SERVICO"),"SERVIÇO",IF(H757&lt;=0,"ZERADO",IF(H757&lt;=I757,"ESTOQUE BAIXO","NORMAL")))</f>
        <v/>
      </c>
      <c r="K757" s="107">
        <f>IF(OR(UPPER(C757)="SERVIÇO",UPPER(C757)="SERVICO"),0,N(H757)*N(E757))</f>
        <v/>
      </c>
      <c r="L757" s="107">
        <f>IF(OR(UPPER(C757)="SERVIÇO",UPPER(C757)="SERVICO"),0,N(H757)*N(G757))</f>
        <v/>
      </c>
      <c r="M757" s="107">
        <f>IF(OR(UPPER(C757)="SERVIÇO",UPPER(C757)="SERVICO"),0,L757-K757)</f>
        <v/>
      </c>
    </row>
    <row r="758" ht="15" customHeight="1">
      <c r="B758" s="105" t="n">
        <v>747</v>
      </c>
      <c r="C758" s="105" t="inlineStr">
        <is>
          <t>Produto</t>
        </is>
      </c>
      <c r="D758" s="106" t="inlineStr">
        <is>
          <t>Saco de pancadas modelo básico laranja</t>
        </is>
      </c>
      <c r="E758" s="107" t="n">
        <v>706</v>
      </c>
      <c r="F758" s="108" t="n">
        <v>50</v>
      </c>
      <c r="G758" s="107">
        <f>ROUND(E758*(1+IF(ABS(F758)&lt;=1,F758,F758/100)),2)</f>
        <v/>
      </c>
      <c r="H758" s="105" t="n">
        <v>15</v>
      </c>
      <c r="I758" s="105" t="n">
        <v>5</v>
      </c>
      <c r="J758" s="105">
        <f>IF(OR(UPPER(C758)="SERVIÇO",UPPER(C758)="SERVICO"),"SERVIÇO",IF(H758&lt;=0,"ZERADO",IF(H758&lt;=I758,"ESTOQUE BAIXO","NORMAL")))</f>
        <v/>
      </c>
      <c r="K758" s="107">
        <f>IF(OR(UPPER(C758)="SERVIÇO",UPPER(C758)="SERVICO"),0,N(H758)*N(E758))</f>
        <v/>
      </c>
      <c r="L758" s="107">
        <f>IF(OR(UPPER(C758)="SERVIÇO",UPPER(C758)="SERVICO"),0,N(H758)*N(G758))</f>
        <v/>
      </c>
      <c r="M758" s="107">
        <f>IF(OR(UPPER(C758)="SERVIÇO",UPPER(C758)="SERVICO"),0,L758-K758)</f>
        <v/>
      </c>
    </row>
    <row r="759" ht="15" customHeight="1">
      <c r="B759" s="105" t="n">
        <v>748</v>
      </c>
      <c r="C759" s="105" t="inlineStr">
        <is>
          <t>Produto</t>
        </is>
      </c>
      <c r="D759" s="106" t="inlineStr">
        <is>
          <t>Chuteira de campo ergonômico branco tam. GG</t>
        </is>
      </c>
      <c r="E759" s="107" t="n">
        <v>149.11</v>
      </c>
      <c r="F759" s="108" t="n">
        <v>50</v>
      </c>
      <c r="G759" s="107">
        <f>ROUND(E759*(1+IF(ABS(F759)&lt;=1,F759,F759/100)),2)</f>
        <v/>
      </c>
      <c r="H759" s="105" t="n">
        <v>15</v>
      </c>
      <c r="I759" s="105" t="n">
        <v>5</v>
      </c>
      <c r="J759" s="105">
        <f>IF(OR(UPPER(C759)="SERVIÇO",UPPER(C759)="SERVICO"),"SERVIÇO",IF(H759&lt;=0,"ZERADO",IF(H759&lt;=I759,"ESTOQUE BAIXO","NORMAL")))</f>
        <v/>
      </c>
      <c r="K759" s="107">
        <f>IF(OR(UPPER(C759)="SERVIÇO",UPPER(C759)="SERVICO"),0,N(H759)*N(E759))</f>
        <v/>
      </c>
      <c r="L759" s="107">
        <f>IF(OR(UPPER(C759)="SERVIÇO",UPPER(C759)="SERVICO"),0,N(H759)*N(G759))</f>
        <v/>
      </c>
      <c r="M759" s="107">
        <f>IF(OR(UPPER(C759)="SERVIÇO",UPPER(C759)="SERVICO"),0,L759-K759)</f>
        <v/>
      </c>
    </row>
    <row r="760" ht="15" customHeight="1">
      <c r="B760" s="105" t="n">
        <v>749</v>
      </c>
      <c r="C760" s="105" t="inlineStr">
        <is>
          <t>Produto</t>
        </is>
      </c>
      <c r="D760" s="106" t="inlineStr">
        <is>
          <t>Elástico de resistência compacto verde</t>
        </is>
      </c>
      <c r="E760" s="107" t="n">
        <v>45.7</v>
      </c>
      <c r="F760" s="108" t="n">
        <v>50</v>
      </c>
      <c r="G760" s="107">
        <f>ROUND(E760*(1+IF(ABS(F760)&lt;=1,F760,F760/100)),2)</f>
        <v/>
      </c>
      <c r="H760" s="105" t="n">
        <v>15</v>
      </c>
      <c r="I760" s="105" t="n">
        <v>5</v>
      </c>
      <c r="J760" s="105">
        <f>IF(OR(UPPER(C760)="SERVIÇO",UPPER(C760)="SERVICO"),"SERVIÇO",IF(H760&lt;=0,"ZERADO",IF(H760&lt;=I760,"ESTOQUE BAIXO","NORMAL")))</f>
        <v/>
      </c>
      <c r="K760" s="107">
        <f>IF(OR(UPPER(C760)="SERVIÇO",UPPER(C760)="SERVICO"),0,N(H760)*N(E760))</f>
        <v/>
      </c>
      <c r="L760" s="107">
        <f>IF(OR(UPPER(C760)="SERVIÇO",UPPER(C760)="SERVICO"),0,N(H760)*N(G760))</f>
        <v/>
      </c>
      <c r="M760" s="107">
        <f>IF(OR(UPPER(C760)="SERVIÇO",UPPER(C760)="SERVICO"),0,L760-K760)</f>
        <v/>
      </c>
    </row>
    <row r="761" ht="15" customHeight="1">
      <c r="B761" s="105" t="n">
        <v>750</v>
      </c>
      <c r="C761" s="105" t="inlineStr">
        <is>
          <t>Produto</t>
        </is>
      </c>
      <c r="D761" s="106" t="inlineStr">
        <is>
          <t>Chuteira de campo adulto vermelho tam. M</t>
        </is>
      </c>
      <c r="E761" s="107" t="n">
        <v>243.5</v>
      </c>
      <c r="F761" s="108" t="n">
        <v>50</v>
      </c>
      <c r="G761" s="107">
        <f>ROUND(E761*(1+IF(ABS(F761)&lt;=1,F761,F761/100)),2)</f>
        <v/>
      </c>
      <c r="H761" s="105" t="n">
        <v>15</v>
      </c>
      <c r="I761" s="105" t="n">
        <v>5</v>
      </c>
      <c r="J761" s="105">
        <f>IF(OR(UPPER(C761)="SERVIÇO",UPPER(C761)="SERVICO"),"SERVIÇO",IF(H761&lt;=0,"ZERADO",IF(H761&lt;=I761,"ESTOQUE BAIXO","NORMAL")))</f>
        <v/>
      </c>
      <c r="K761" s="107">
        <f>IF(OR(UPPER(C761)="SERVIÇO",UPPER(C761)="SERVICO"),0,N(H761)*N(E761))</f>
        <v/>
      </c>
      <c r="L761" s="107">
        <f>IF(OR(UPPER(C761)="SERVIÇO",UPPER(C761)="SERVICO"),0,N(H761)*N(G761))</f>
        <v/>
      </c>
      <c r="M761" s="107">
        <f>IF(OR(UPPER(C761)="SERVIÇO",UPPER(C761)="SERVICO"),0,L761-K761)</f>
        <v/>
      </c>
    </row>
    <row r="762" ht="15" customHeight="1">
      <c r="B762" s="105" t="n">
        <v>751</v>
      </c>
      <c r="C762" s="105" t="inlineStr">
        <is>
          <t>Produto</t>
        </is>
      </c>
      <c r="D762" s="106" t="inlineStr">
        <is>
          <t>Óculos de natação para uso diário cinza</t>
        </is>
      </c>
      <c r="E762" s="107" t="n">
        <v>118.37</v>
      </c>
      <c r="F762" s="108" t="n">
        <v>50</v>
      </c>
      <c r="G762" s="107">
        <f>ROUND(E762*(1+IF(ABS(F762)&lt;=1,F762,F762/100)),2)</f>
        <v/>
      </c>
      <c r="H762" s="105" t="n">
        <v>15</v>
      </c>
      <c r="I762" s="105" t="n">
        <v>5</v>
      </c>
      <c r="J762" s="105">
        <f>IF(OR(UPPER(C762)="SERVIÇO",UPPER(C762)="SERVICO"),"SERVIÇO",IF(H762&lt;=0,"ZERADO",IF(H762&lt;=I762,"ESTOQUE BAIXO","NORMAL")))</f>
        <v/>
      </c>
      <c r="K762" s="107">
        <f>IF(OR(UPPER(C762)="SERVIÇO",UPPER(C762)="SERVICO"),0,N(H762)*N(E762))</f>
        <v/>
      </c>
      <c r="L762" s="107">
        <f>IF(OR(UPPER(C762)="SERVIÇO",UPPER(C762)="SERVICO"),0,N(H762)*N(G762))</f>
        <v/>
      </c>
      <c r="M762" s="107">
        <f>IF(OR(UPPER(C762)="SERVIÇO",UPPER(C762)="SERVICO"),0,L762-K762)</f>
        <v/>
      </c>
    </row>
    <row r="763" ht="15" customHeight="1">
      <c r="B763" s="105" t="n">
        <v>752</v>
      </c>
      <c r="C763" s="105" t="inlineStr">
        <is>
          <t>Produto</t>
        </is>
      </c>
      <c r="D763" s="106" t="inlineStr">
        <is>
          <t>Kimono de judô versão 2026 preto tam. M</t>
        </is>
      </c>
      <c r="E763" s="107" t="n">
        <v>256.01</v>
      </c>
      <c r="F763" s="108" t="n">
        <v>50</v>
      </c>
      <c r="G763" s="107">
        <f>ROUND(E763*(1+IF(ABS(F763)&lt;=1,F763,F763/100)),2)</f>
        <v/>
      </c>
      <c r="H763" s="105" t="n">
        <v>15</v>
      </c>
      <c r="I763" s="105" t="n">
        <v>5</v>
      </c>
      <c r="J763" s="105">
        <f>IF(OR(UPPER(C763)="SERVIÇO",UPPER(C763)="SERVICO"),"SERVIÇO",IF(H763&lt;=0,"ZERADO",IF(H763&lt;=I763,"ESTOQUE BAIXO","NORMAL")))</f>
        <v/>
      </c>
      <c r="K763" s="107">
        <f>IF(OR(UPPER(C763)="SERVIÇO",UPPER(C763)="SERVICO"),0,N(H763)*N(E763))</f>
        <v/>
      </c>
      <c r="L763" s="107">
        <f>IF(OR(UPPER(C763)="SERVIÇO",UPPER(C763)="SERVICO"),0,N(H763)*N(G763))</f>
        <v/>
      </c>
      <c r="M763" s="107">
        <f>IF(OR(UPPER(C763)="SERVIÇO",UPPER(C763)="SERVICO"),0,L763-K763)</f>
        <v/>
      </c>
    </row>
    <row r="764" ht="15" customHeight="1">
      <c r="B764" s="105" t="n">
        <v>753</v>
      </c>
      <c r="C764" s="105" t="inlineStr">
        <is>
          <t>Produto</t>
        </is>
      </c>
      <c r="D764" s="106" t="inlineStr">
        <is>
          <t>Bola de basquete treino laranja</t>
        </is>
      </c>
      <c r="E764" s="107" t="n">
        <v>86.59</v>
      </c>
      <c r="F764" s="108" t="n">
        <v>50</v>
      </c>
      <c r="G764" s="107">
        <f>ROUND(E764*(1+IF(ABS(F764)&lt;=1,F764,F764/100)),2)</f>
        <v/>
      </c>
      <c r="H764" s="105" t="n">
        <v>15</v>
      </c>
      <c r="I764" s="105" t="n">
        <v>5</v>
      </c>
      <c r="J764" s="105">
        <f>IF(OR(UPPER(C764)="SERVIÇO",UPPER(C764)="SERVICO"),"SERVIÇO",IF(H764&lt;=0,"ZERADO",IF(H764&lt;=I764,"ESTOQUE BAIXO","NORMAL")))</f>
        <v/>
      </c>
      <c r="K764" s="107">
        <f>IF(OR(UPPER(C764)="SERVIÇO",UPPER(C764)="SERVICO"),0,N(H764)*N(E764))</f>
        <v/>
      </c>
      <c r="L764" s="107">
        <f>IF(OR(UPPER(C764)="SERVIÇO",UPPER(C764)="SERVICO"),0,N(H764)*N(G764))</f>
        <v/>
      </c>
      <c r="M764" s="107">
        <f>IF(OR(UPPER(C764)="SERVIÇO",UPPER(C764)="SERVICO"),0,L764-K764)</f>
        <v/>
      </c>
    </row>
    <row r="765" ht="15" customHeight="1">
      <c r="B765" s="105" t="n">
        <v>754</v>
      </c>
      <c r="C765" s="105" t="inlineStr">
        <is>
          <t>Produto</t>
        </is>
      </c>
      <c r="D765" s="106" t="inlineStr">
        <is>
          <t>Tênis para quadra premium rosa tam. G</t>
        </is>
      </c>
      <c r="E765" s="107" t="n">
        <v>160.55</v>
      </c>
      <c r="F765" s="108" t="n">
        <v>50</v>
      </c>
      <c r="G765" s="107">
        <f>ROUND(E765*(1+IF(ABS(F765)&lt;=1,F765,F765/100)),2)</f>
        <v/>
      </c>
      <c r="H765" s="105" t="n">
        <v>15</v>
      </c>
      <c r="I765" s="105" t="n">
        <v>5</v>
      </c>
      <c r="J765" s="105">
        <f>IF(OR(UPPER(C765)="SERVIÇO",UPPER(C765)="SERVICO"),"SERVIÇO",IF(H765&lt;=0,"ZERADO",IF(H765&lt;=I765,"ESTOQUE BAIXO","NORMAL")))</f>
        <v/>
      </c>
      <c r="K765" s="107">
        <f>IF(OR(UPPER(C765)="SERVIÇO",UPPER(C765)="SERVICO"),0,N(H765)*N(E765))</f>
        <v/>
      </c>
      <c r="L765" s="107">
        <f>IF(OR(UPPER(C765)="SERVIÇO",UPPER(C765)="SERVICO"),0,N(H765)*N(G765))</f>
        <v/>
      </c>
      <c r="M765" s="107">
        <f>IF(OR(UPPER(C765)="SERVIÇO",UPPER(C765)="SERVICO"),0,L765-K765)</f>
        <v/>
      </c>
    </row>
    <row r="766" ht="15" customHeight="1">
      <c r="B766" s="105" t="n">
        <v>755</v>
      </c>
      <c r="C766" s="105" t="inlineStr">
        <is>
          <t>Produto</t>
        </is>
      </c>
      <c r="D766" s="106" t="inlineStr">
        <is>
          <t>Nadadeira iniciante laranja</t>
        </is>
      </c>
      <c r="E766" s="107" t="n">
        <v>127.16</v>
      </c>
      <c r="F766" s="108" t="n">
        <v>50</v>
      </c>
      <c r="G766" s="107">
        <f>ROUND(E766*(1+IF(ABS(F766)&lt;=1,F766,F766/100)),2)</f>
        <v/>
      </c>
      <c r="H766" s="105" t="n">
        <v>15</v>
      </c>
      <c r="I766" s="105" t="n">
        <v>5</v>
      </c>
      <c r="J766" s="105">
        <f>IF(OR(UPPER(C766)="SERVIÇO",UPPER(C766)="SERVICO"),"SERVIÇO",IF(H766&lt;=0,"ZERADO",IF(H766&lt;=I766,"ESTOQUE BAIXO","NORMAL")))</f>
        <v/>
      </c>
      <c r="K766" s="107">
        <f>IF(OR(UPPER(C766)="SERVIÇO",UPPER(C766)="SERVICO"),0,N(H766)*N(E766))</f>
        <v/>
      </c>
      <c r="L766" s="107">
        <f>IF(OR(UPPER(C766)="SERVIÇO",UPPER(C766)="SERVICO"),0,N(H766)*N(G766))</f>
        <v/>
      </c>
      <c r="M766" s="107">
        <f>IF(OR(UPPER(C766)="SERVIÇO",UPPER(C766)="SERVICO"),0,L766-K766)</f>
        <v/>
      </c>
    </row>
    <row r="767" ht="15" customHeight="1">
      <c r="B767" s="105" t="n">
        <v>756</v>
      </c>
      <c r="C767" s="105" t="inlineStr">
        <is>
          <t>Produto</t>
        </is>
      </c>
      <c r="D767" s="106" t="inlineStr">
        <is>
          <t>Prancha de natação premium vermelho</t>
        </is>
      </c>
      <c r="E767" s="107" t="n">
        <v>55.63</v>
      </c>
      <c r="F767" s="108" t="n">
        <v>50</v>
      </c>
      <c r="G767" s="107">
        <f>ROUND(E767*(1+IF(ABS(F767)&lt;=1,F767,F767/100)),2)</f>
        <v/>
      </c>
      <c r="H767" s="105" t="n">
        <v>15</v>
      </c>
      <c r="I767" s="105" t="n">
        <v>5</v>
      </c>
      <c r="J767" s="105">
        <f>IF(OR(UPPER(C767)="SERVIÇO",UPPER(C767)="SERVICO"),"SERVIÇO",IF(H767&lt;=0,"ZERADO",IF(H767&lt;=I767,"ESTOQUE BAIXO","NORMAL")))</f>
        <v/>
      </c>
      <c r="K767" s="107">
        <f>IF(OR(UPPER(C767)="SERVIÇO",UPPER(C767)="SERVICO"),0,N(H767)*N(E767))</f>
        <v/>
      </c>
      <c r="L767" s="107">
        <f>IF(OR(UPPER(C767)="SERVIÇO",UPPER(C767)="SERVICO"),0,N(H767)*N(G767))</f>
        <v/>
      </c>
      <c r="M767" s="107">
        <f>IF(OR(UPPER(C767)="SERVIÇO",UPPER(C767)="SERVICO"),0,L767-K767)</f>
        <v/>
      </c>
    </row>
    <row r="768" ht="15" customHeight="1">
      <c r="B768" s="105" t="n">
        <v>757</v>
      </c>
      <c r="C768" s="105" t="inlineStr">
        <is>
          <t>Produto</t>
        </is>
      </c>
      <c r="D768" s="106" t="inlineStr">
        <is>
          <t>Tênis de corrida versão 2026 azul tam. 34</t>
        </is>
      </c>
      <c r="E768" s="107" t="n">
        <v>148.09</v>
      </c>
      <c r="F768" s="108" t="n">
        <v>50</v>
      </c>
      <c r="G768" s="107">
        <f>ROUND(E768*(1+IF(ABS(F768)&lt;=1,F768,F768/100)),2)</f>
        <v/>
      </c>
      <c r="H768" s="105" t="n">
        <v>15</v>
      </c>
      <c r="I768" s="105" t="n">
        <v>5</v>
      </c>
      <c r="J768" s="105">
        <f>IF(OR(UPPER(C768)="SERVIÇO",UPPER(C768)="SERVICO"),"SERVIÇO",IF(H768&lt;=0,"ZERADO",IF(H768&lt;=I768,"ESTOQUE BAIXO","NORMAL")))</f>
        <v/>
      </c>
      <c r="K768" s="107">
        <f>IF(OR(UPPER(C768)="SERVIÇO",UPPER(C768)="SERVICO"),0,N(H768)*N(E768))</f>
        <v/>
      </c>
      <c r="L768" s="107">
        <f>IF(OR(UPPER(C768)="SERVIÇO",UPPER(C768)="SERVICO"),0,N(H768)*N(G768))</f>
        <v/>
      </c>
      <c r="M768" s="107">
        <f>IF(OR(UPPER(C768)="SERVIÇO",UPPER(C768)="SERVICO"),0,L768-K768)</f>
        <v/>
      </c>
    </row>
    <row r="769" ht="15" customHeight="1">
      <c r="B769" s="105" t="n">
        <v>758</v>
      </c>
      <c r="C769" s="105" t="inlineStr">
        <is>
          <t>Produto</t>
        </is>
      </c>
      <c r="D769" s="106" t="inlineStr">
        <is>
          <t>Tênis de corrida reforçado verde tam. 34</t>
        </is>
      </c>
      <c r="E769" s="107" t="n">
        <v>514</v>
      </c>
      <c r="F769" s="108" t="n">
        <v>50</v>
      </c>
      <c r="G769" s="107">
        <f>ROUND(E769*(1+IF(ABS(F769)&lt;=1,F769,F769/100)),2)</f>
        <v/>
      </c>
      <c r="H769" s="105" t="n">
        <v>15</v>
      </c>
      <c r="I769" s="105" t="n">
        <v>5</v>
      </c>
      <c r="J769" s="105">
        <f>IF(OR(UPPER(C769)="SERVIÇO",UPPER(C769)="SERVICO"),"SERVIÇO",IF(H769&lt;=0,"ZERADO",IF(H769&lt;=I769,"ESTOQUE BAIXO","NORMAL")))</f>
        <v/>
      </c>
      <c r="K769" s="107">
        <f>IF(OR(UPPER(C769)="SERVIÇO",UPPER(C769)="SERVICO"),0,N(H769)*N(E769))</f>
        <v/>
      </c>
      <c r="L769" s="107">
        <f>IF(OR(UPPER(C769)="SERVIÇO",UPPER(C769)="SERVICO"),0,N(H769)*N(G769))</f>
        <v/>
      </c>
      <c r="M769" s="107">
        <f>IF(OR(UPPER(C769)="SERVIÇO",UPPER(C769)="SERVICO"),0,L769-K769)</f>
        <v/>
      </c>
    </row>
    <row r="770" ht="15" customHeight="1">
      <c r="B770" s="105" t="n">
        <v>759</v>
      </c>
      <c r="C770" s="105" t="inlineStr">
        <is>
          <t>Produto</t>
        </is>
      </c>
      <c r="D770" s="106" t="inlineStr">
        <is>
          <t>Short esportivo alta performance cinza tam. G</t>
        </is>
      </c>
      <c r="E770" s="107" t="n">
        <v>21.49</v>
      </c>
      <c r="F770" s="108" t="n">
        <v>50</v>
      </c>
      <c r="G770" s="107">
        <f>ROUND(E770*(1+IF(ABS(F770)&lt;=1,F770,F770/100)),2)</f>
        <v/>
      </c>
      <c r="H770" s="105" t="n">
        <v>15</v>
      </c>
      <c r="I770" s="105" t="n">
        <v>5</v>
      </c>
      <c r="J770" s="105">
        <f>IF(OR(UPPER(C770)="SERVIÇO",UPPER(C770)="SERVICO"),"SERVIÇO",IF(H770&lt;=0,"ZERADO",IF(H770&lt;=I770,"ESTOQUE BAIXO","NORMAL")))</f>
        <v/>
      </c>
      <c r="K770" s="107">
        <f>IF(OR(UPPER(C770)="SERVIÇO",UPPER(C770)="SERVICO"),0,N(H770)*N(E770))</f>
        <v/>
      </c>
      <c r="L770" s="107">
        <f>IF(OR(UPPER(C770)="SERVIÇO",UPPER(C770)="SERVICO"),0,N(H770)*N(G770))</f>
        <v/>
      </c>
      <c r="M770" s="107">
        <f>IF(OR(UPPER(C770)="SERVIÇO",UPPER(C770)="SERVICO"),0,L770-K770)</f>
        <v/>
      </c>
    </row>
    <row r="771" ht="15" customHeight="1">
      <c r="B771" s="105" t="n">
        <v>760</v>
      </c>
      <c r="C771" s="105" t="inlineStr">
        <is>
          <t>Produto</t>
        </is>
      </c>
      <c r="D771" s="106" t="inlineStr">
        <is>
          <t>Óculos esportivos ergonômico branco</t>
        </is>
      </c>
      <c r="E771" s="107" t="n">
        <v>116.8</v>
      </c>
      <c r="F771" s="108" t="n">
        <v>50</v>
      </c>
      <c r="G771" s="107">
        <f>ROUND(E771*(1+IF(ABS(F771)&lt;=1,F771,F771/100)),2)</f>
        <v/>
      </c>
      <c r="H771" s="105" t="n">
        <v>15</v>
      </c>
      <c r="I771" s="105" t="n">
        <v>5</v>
      </c>
      <c r="J771" s="105">
        <f>IF(OR(UPPER(C771)="SERVIÇO",UPPER(C771)="SERVICO"),"SERVIÇO",IF(H771&lt;=0,"ZERADO",IF(H771&lt;=I771,"ESTOQUE BAIXO","NORMAL")))</f>
        <v/>
      </c>
      <c r="K771" s="107">
        <f>IF(OR(UPPER(C771)="SERVIÇO",UPPER(C771)="SERVICO"),0,N(H771)*N(E771))</f>
        <v/>
      </c>
      <c r="L771" s="107">
        <f>IF(OR(UPPER(C771)="SERVIÇO",UPPER(C771)="SERVICO"),0,N(H771)*N(G771))</f>
        <v/>
      </c>
      <c r="M771" s="107">
        <f>IF(OR(UPPER(C771)="SERVIÇO",UPPER(C771)="SERVICO"),0,L771-K771)</f>
        <v/>
      </c>
    </row>
    <row r="772" ht="15" customHeight="1">
      <c r="B772" s="105" t="n">
        <v>761</v>
      </c>
      <c r="C772" s="105" t="inlineStr">
        <is>
          <t>Produto</t>
        </is>
      </c>
      <c r="D772" s="106" t="inlineStr">
        <is>
          <t>Bola de futebol treino rosa</t>
        </is>
      </c>
      <c r="E772" s="107" t="n">
        <v>52.31</v>
      </c>
      <c r="F772" s="108" t="n">
        <v>50</v>
      </c>
      <c r="G772" s="107">
        <f>ROUND(E772*(1+IF(ABS(F772)&lt;=1,F772,F772/100)),2)</f>
        <v/>
      </c>
      <c r="H772" s="105" t="n">
        <v>15</v>
      </c>
      <c r="I772" s="105" t="n">
        <v>5</v>
      </c>
      <c r="J772" s="105">
        <f>IF(OR(UPPER(C772)="SERVIÇO",UPPER(C772)="SERVICO"),"SERVIÇO",IF(H772&lt;=0,"ZERADO",IF(H772&lt;=I772,"ESTOQUE BAIXO","NORMAL")))</f>
        <v/>
      </c>
      <c r="K772" s="107">
        <f>IF(OR(UPPER(C772)="SERVIÇO",UPPER(C772)="SERVICO"),0,N(H772)*N(E772))</f>
        <v/>
      </c>
      <c r="L772" s="107">
        <f>IF(OR(UPPER(C772)="SERVIÇO",UPPER(C772)="SERVICO"),0,N(H772)*N(G772))</f>
        <v/>
      </c>
      <c r="M772" s="107">
        <f>IF(OR(UPPER(C772)="SERVIÇO",UPPER(C772)="SERVICO"),0,L772-K772)</f>
        <v/>
      </c>
    </row>
    <row r="773" ht="15" customHeight="1">
      <c r="B773" s="105" t="n">
        <v>762</v>
      </c>
      <c r="C773" s="105" t="inlineStr">
        <is>
          <t>Produto</t>
        </is>
      </c>
      <c r="D773" s="106" t="inlineStr">
        <is>
          <t>Raquete de badminton profissional azul</t>
        </is>
      </c>
      <c r="E773" s="107" t="n">
        <v>219.94</v>
      </c>
      <c r="F773" s="108" t="n">
        <v>50</v>
      </c>
      <c r="G773" s="107">
        <f>ROUND(E773*(1+IF(ABS(F773)&lt;=1,F773,F773/100)),2)</f>
        <v/>
      </c>
      <c r="H773" s="105" t="n">
        <v>15</v>
      </c>
      <c r="I773" s="105" t="n">
        <v>5</v>
      </c>
      <c r="J773" s="105">
        <f>IF(OR(UPPER(C773)="SERVIÇO",UPPER(C773)="SERVICO"),"SERVIÇO",IF(H773&lt;=0,"ZERADO",IF(H773&lt;=I773,"ESTOQUE BAIXO","NORMAL")))</f>
        <v/>
      </c>
      <c r="K773" s="107">
        <f>IF(OR(UPPER(C773)="SERVIÇO",UPPER(C773)="SERVICO"),0,N(H773)*N(E773))</f>
        <v/>
      </c>
      <c r="L773" s="107">
        <f>IF(OR(UPPER(C773)="SERVIÇO",UPPER(C773)="SERVICO"),0,N(H773)*N(G773))</f>
        <v/>
      </c>
      <c r="M773" s="107">
        <f>IF(OR(UPPER(C773)="SERVIÇO",UPPER(C773)="SERVICO"),0,L773-K773)</f>
        <v/>
      </c>
    </row>
    <row r="774" ht="15" customHeight="1">
      <c r="B774" s="105" t="n">
        <v>763</v>
      </c>
      <c r="C774" s="105" t="inlineStr">
        <is>
          <t>Produto</t>
        </is>
      </c>
      <c r="D774" s="106" t="inlineStr">
        <is>
          <t>Óculos de natação com ajuste cinza</t>
        </is>
      </c>
      <c r="E774" s="107" t="n">
        <v>48.39</v>
      </c>
      <c r="F774" s="108" t="n">
        <v>50</v>
      </c>
      <c r="G774" s="107">
        <f>ROUND(E774*(1+IF(ABS(F774)&lt;=1,F774,F774/100)),2)</f>
        <v/>
      </c>
      <c r="H774" s="105" t="n">
        <v>15</v>
      </c>
      <c r="I774" s="105" t="n">
        <v>5</v>
      </c>
      <c r="J774" s="105">
        <f>IF(OR(UPPER(C774)="SERVIÇO",UPPER(C774)="SERVICO"),"SERVIÇO",IF(H774&lt;=0,"ZERADO",IF(H774&lt;=I774,"ESTOQUE BAIXO","NORMAL")))</f>
        <v/>
      </c>
      <c r="K774" s="107">
        <f>IF(OR(UPPER(C774)="SERVIÇO",UPPER(C774)="SERVICO"),0,N(H774)*N(E774))</f>
        <v/>
      </c>
      <c r="L774" s="107">
        <f>IF(OR(UPPER(C774)="SERVIÇO",UPPER(C774)="SERVICO"),0,N(H774)*N(G774))</f>
        <v/>
      </c>
      <c r="M774" s="107">
        <f>IF(OR(UPPER(C774)="SERVIÇO",UPPER(C774)="SERVICO"),0,L774-K774)</f>
        <v/>
      </c>
    </row>
    <row r="775" ht="15" customHeight="1">
      <c r="B775" s="105" t="n">
        <v>764</v>
      </c>
      <c r="C775" s="105" t="inlineStr">
        <is>
          <t>Produto</t>
        </is>
      </c>
      <c r="D775" s="106" t="inlineStr">
        <is>
          <t>Raquete de tênis leve preto tam. 34</t>
        </is>
      </c>
      <c r="E775" s="107" t="n">
        <v>229</v>
      </c>
      <c r="F775" s="108" t="n">
        <v>50</v>
      </c>
      <c r="G775" s="107">
        <f>ROUND(E775*(1+IF(ABS(F775)&lt;=1,F775,F775/100)),2)</f>
        <v/>
      </c>
      <c r="H775" s="105" t="n">
        <v>15</v>
      </c>
      <c r="I775" s="105" t="n">
        <v>5</v>
      </c>
      <c r="J775" s="105">
        <f>IF(OR(UPPER(C775)="SERVIÇO",UPPER(C775)="SERVICO"),"SERVIÇO",IF(H775&lt;=0,"ZERADO",IF(H775&lt;=I775,"ESTOQUE BAIXO","NORMAL")))</f>
        <v/>
      </c>
      <c r="K775" s="107">
        <f>IF(OR(UPPER(C775)="SERVIÇO",UPPER(C775)="SERVICO"),0,N(H775)*N(E775))</f>
        <v/>
      </c>
      <c r="L775" s="107">
        <f>IF(OR(UPPER(C775)="SERVIÇO",UPPER(C775)="SERVICO"),0,N(H775)*N(G775))</f>
        <v/>
      </c>
      <c r="M775" s="107">
        <f>IF(OR(UPPER(C775)="SERVIÇO",UPPER(C775)="SERVICO"),0,L775-K775)</f>
        <v/>
      </c>
    </row>
    <row r="776" ht="15" customHeight="1">
      <c r="B776" s="105" t="n">
        <v>765</v>
      </c>
      <c r="C776" s="105" t="inlineStr">
        <is>
          <t>Produto</t>
        </is>
      </c>
      <c r="D776" s="106" t="inlineStr">
        <is>
          <t>Nadadeira alta performance azul</t>
        </is>
      </c>
      <c r="E776" s="107" t="n">
        <v>38.76</v>
      </c>
      <c r="F776" s="108" t="n">
        <v>50</v>
      </c>
      <c r="G776" s="107">
        <f>ROUND(E776*(1+IF(ABS(F776)&lt;=1,F776,F776/100)),2)</f>
        <v/>
      </c>
      <c r="H776" s="105" t="n">
        <v>15</v>
      </c>
      <c r="I776" s="105" t="n">
        <v>5</v>
      </c>
      <c r="J776" s="105">
        <f>IF(OR(UPPER(C776)="SERVIÇO",UPPER(C776)="SERVICO"),"SERVIÇO",IF(H776&lt;=0,"ZERADO",IF(H776&lt;=I776,"ESTOQUE BAIXO","NORMAL")))</f>
        <v/>
      </c>
      <c r="K776" s="107">
        <f>IF(OR(UPPER(C776)="SERVIÇO",UPPER(C776)="SERVICO"),0,N(H776)*N(E776))</f>
        <v/>
      </c>
      <c r="L776" s="107">
        <f>IF(OR(UPPER(C776)="SERVIÇO",UPPER(C776)="SERVICO"),0,N(H776)*N(G776))</f>
        <v/>
      </c>
      <c r="M776" s="107">
        <f>IF(OR(UPPER(C776)="SERVIÇO",UPPER(C776)="SERVICO"),0,L776-K776)</f>
        <v/>
      </c>
    </row>
    <row r="777" ht="15" customHeight="1">
      <c r="B777" s="105" t="n">
        <v>766</v>
      </c>
      <c r="C777" s="105" t="inlineStr">
        <is>
          <t>Produto</t>
        </is>
      </c>
      <c r="D777" s="106" t="inlineStr">
        <is>
          <t>Step de ginástica adulto vermelho</t>
        </is>
      </c>
      <c r="E777" s="107" t="n">
        <v>219.14</v>
      </c>
      <c r="F777" s="108" t="n">
        <v>50</v>
      </c>
      <c r="G777" s="107">
        <f>ROUND(E777*(1+IF(ABS(F777)&lt;=1,F777,F777/100)),2)</f>
        <v/>
      </c>
      <c r="H777" s="105" t="n">
        <v>15</v>
      </c>
      <c r="I777" s="105" t="n">
        <v>5</v>
      </c>
      <c r="J777" s="105">
        <f>IF(OR(UPPER(C777)="SERVIÇO",UPPER(C777)="SERVICO"),"SERVIÇO",IF(H777&lt;=0,"ZERADO",IF(H777&lt;=I777,"ESTOQUE BAIXO","NORMAL")))</f>
        <v/>
      </c>
      <c r="K777" s="107">
        <f>IF(OR(UPPER(C777)="SERVIÇO",UPPER(C777)="SERVICO"),0,N(H777)*N(E777))</f>
        <v/>
      </c>
      <c r="L777" s="107">
        <f>IF(OR(UPPER(C777)="SERVIÇO",UPPER(C777)="SERVICO"),0,N(H777)*N(G777))</f>
        <v/>
      </c>
      <c r="M777" s="107">
        <f>IF(OR(UPPER(C777)="SERVIÇO",UPPER(C777)="SERVICO"),0,L777-K777)</f>
        <v/>
      </c>
    </row>
    <row r="778" ht="15" customHeight="1">
      <c r="B778" s="105" t="n">
        <v>767</v>
      </c>
      <c r="C778" s="105" t="inlineStr">
        <is>
          <t>Produto</t>
        </is>
      </c>
      <c r="D778" s="106" t="inlineStr">
        <is>
          <t>Camiseta esportiva modelo avançado rosa tam. 44</t>
        </is>
      </c>
      <c r="E778" s="107" t="n">
        <v>45.31</v>
      </c>
      <c r="F778" s="108" t="n">
        <v>50</v>
      </c>
      <c r="G778" s="107">
        <f>ROUND(E778*(1+IF(ABS(F778)&lt;=1,F778,F778/100)),2)</f>
        <v/>
      </c>
      <c r="H778" s="105" t="n">
        <v>15</v>
      </c>
      <c r="I778" s="105" t="n">
        <v>5</v>
      </c>
      <c r="J778" s="105">
        <f>IF(OR(UPPER(C778)="SERVIÇO",UPPER(C778)="SERVICO"),"SERVIÇO",IF(H778&lt;=0,"ZERADO",IF(H778&lt;=I778,"ESTOQUE BAIXO","NORMAL")))</f>
        <v/>
      </c>
      <c r="K778" s="107">
        <f>IF(OR(UPPER(C778)="SERVIÇO",UPPER(C778)="SERVICO"),0,N(H778)*N(E778))</f>
        <v/>
      </c>
      <c r="L778" s="107">
        <f>IF(OR(UPPER(C778)="SERVIÇO",UPPER(C778)="SERVICO"),0,N(H778)*N(G778))</f>
        <v/>
      </c>
      <c r="M778" s="107">
        <f>IF(OR(UPPER(C778)="SERVIÇO",UPPER(C778)="SERVICO"),0,L778-K778)</f>
        <v/>
      </c>
    </row>
    <row r="779" ht="15" customHeight="1">
      <c r="B779" s="105" t="n">
        <v>768</v>
      </c>
      <c r="C779" s="105" t="inlineStr">
        <is>
          <t>Produto</t>
        </is>
      </c>
      <c r="D779" s="106" t="inlineStr">
        <is>
          <t>Bastão de caminhada modelo avançado branco</t>
        </is>
      </c>
      <c r="E779" s="107" t="n">
        <v>57.37</v>
      </c>
      <c r="F779" s="108" t="n">
        <v>50</v>
      </c>
      <c r="G779" s="107">
        <f>ROUND(E779*(1+IF(ABS(F779)&lt;=1,F779,F779/100)),2)</f>
        <v/>
      </c>
      <c r="H779" s="105" t="n">
        <v>15</v>
      </c>
      <c r="I779" s="105" t="n">
        <v>5</v>
      </c>
      <c r="J779" s="105">
        <f>IF(OR(UPPER(C779)="SERVIÇO",UPPER(C779)="SERVICO"),"SERVIÇO",IF(H779&lt;=0,"ZERADO",IF(H779&lt;=I779,"ESTOQUE BAIXO","NORMAL")))</f>
        <v/>
      </c>
      <c r="K779" s="107">
        <f>IF(OR(UPPER(C779)="SERVIÇO",UPPER(C779)="SERVICO"),0,N(H779)*N(E779))</f>
        <v/>
      </c>
      <c r="L779" s="107">
        <f>IF(OR(UPPER(C779)="SERVIÇO",UPPER(C779)="SERVICO"),0,N(H779)*N(G779))</f>
        <v/>
      </c>
      <c r="M779" s="107">
        <f>IF(OR(UPPER(C779)="SERVIÇO",UPPER(C779)="SERVICO"),0,L779-K779)</f>
        <v/>
      </c>
    </row>
    <row r="780" ht="15" customHeight="1">
      <c r="B780" s="105" t="n">
        <v>769</v>
      </c>
      <c r="C780" s="105" t="inlineStr">
        <is>
          <t>Produto</t>
        </is>
      </c>
      <c r="D780" s="106" t="inlineStr">
        <is>
          <t>Elástico de resistência com ajuste cinza</t>
        </is>
      </c>
      <c r="E780" s="107" t="n">
        <v>51.37</v>
      </c>
      <c r="F780" s="108" t="n">
        <v>50</v>
      </c>
      <c r="G780" s="107">
        <f>ROUND(E780*(1+IF(ABS(F780)&lt;=1,F780,F780/100)),2)</f>
        <v/>
      </c>
      <c r="H780" s="105" t="n">
        <v>15</v>
      </c>
      <c r="I780" s="105" t="n">
        <v>5</v>
      </c>
      <c r="J780" s="105">
        <f>IF(OR(UPPER(C780)="SERVIÇO",UPPER(C780)="SERVICO"),"SERVIÇO",IF(H780&lt;=0,"ZERADO",IF(H780&lt;=I780,"ESTOQUE BAIXO","NORMAL")))</f>
        <v/>
      </c>
      <c r="K780" s="107">
        <f>IF(OR(UPPER(C780)="SERVIÇO",UPPER(C780)="SERVICO"),0,N(H780)*N(E780))</f>
        <v/>
      </c>
      <c r="L780" s="107">
        <f>IF(OR(UPPER(C780)="SERVIÇO",UPPER(C780)="SERVICO"),0,N(H780)*N(G780))</f>
        <v/>
      </c>
      <c r="M780" s="107">
        <f>IF(OR(UPPER(C780)="SERVIÇO",UPPER(C780)="SERVICO"),0,L780-K780)</f>
        <v/>
      </c>
    </row>
    <row r="781" ht="15" customHeight="1">
      <c r="B781" s="105" t="n">
        <v>770</v>
      </c>
      <c r="C781" s="105" t="inlineStr">
        <is>
          <t>Produto</t>
        </is>
      </c>
      <c r="D781" s="106" t="inlineStr">
        <is>
          <t>Skate alta performance vermelho</t>
        </is>
      </c>
      <c r="E781" s="107" t="n">
        <v>147.6</v>
      </c>
      <c r="F781" s="108" t="n">
        <v>50</v>
      </c>
      <c r="G781" s="107">
        <f>ROUND(E781*(1+IF(ABS(F781)&lt;=1,F781,F781/100)),2)</f>
        <v/>
      </c>
      <c r="H781" s="105" t="n">
        <v>15</v>
      </c>
      <c r="I781" s="105" t="n">
        <v>5</v>
      </c>
      <c r="J781" s="105">
        <f>IF(OR(UPPER(C781)="SERVIÇO",UPPER(C781)="SERVICO"),"SERVIÇO",IF(H781&lt;=0,"ZERADO",IF(H781&lt;=I781,"ESTOQUE BAIXO","NORMAL")))</f>
        <v/>
      </c>
      <c r="K781" s="107">
        <f>IF(OR(UPPER(C781)="SERVIÇO",UPPER(C781)="SERVICO"),0,N(H781)*N(E781))</f>
        <v/>
      </c>
      <c r="L781" s="107">
        <f>IF(OR(UPPER(C781)="SERVIÇO",UPPER(C781)="SERVICO"),0,N(H781)*N(G781))</f>
        <v/>
      </c>
      <c r="M781" s="107">
        <f>IF(OR(UPPER(C781)="SERVIÇO",UPPER(C781)="SERVICO"),0,L781-K781)</f>
        <v/>
      </c>
    </row>
    <row r="782" ht="15" customHeight="1">
      <c r="B782" s="105" t="n">
        <v>771</v>
      </c>
      <c r="C782" s="105" t="inlineStr">
        <is>
          <t>Produto</t>
        </is>
      </c>
      <c r="D782" s="106" t="inlineStr">
        <is>
          <t>Skate leve azul</t>
        </is>
      </c>
      <c r="E782" s="107" t="n">
        <v>302.11</v>
      </c>
      <c r="F782" s="108" t="n">
        <v>50</v>
      </c>
      <c r="G782" s="107">
        <f>ROUND(E782*(1+IF(ABS(F782)&lt;=1,F782,F782/100)),2)</f>
        <v/>
      </c>
      <c r="H782" s="105" t="n">
        <v>15</v>
      </c>
      <c r="I782" s="105" t="n">
        <v>5</v>
      </c>
      <c r="J782" s="105">
        <f>IF(OR(UPPER(C782)="SERVIÇO",UPPER(C782)="SERVICO"),"SERVIÇO",IF(H782&lt;=0,"ZERADO",IF(H782&lt;=I782,"ESTOQUE BAIXO","NORMAL")))</f>
        <v/>
      </c>
      <c r="K782" s="107">
        <f>IF(OR(UPPER(C782)="SERVIÇO",UPPER(C782)="SERVICO"),0,N(H782)*N(E782))</f>
        <v/>
      </c>
      <c r="L782" s="107">
        <f>IF(OR(UPPER(C782)="SERVIÇO",UPPER(C782)="SERVICO"),0,N(H782)*N(G782))</f>
        <v/>
      </c>
      <c r="M782" s="107">
        <f>IF(OR(UPPER(C782)="SERVIÇO",UPPER(C782)="SERVICO"),0,L782-K782)</f>
        <v/>
      </c>
    </row>
    <row r="783" ht="15" customHeight="1">
      <c r="B783" s="105" t="n">
        <v>772</v>
      </c>
      <c r="C783" s="105" t="inlineStr">
        <is>
          <t>Produto</t>
        </is>
      </c>
      <c r="D783" s="106" t="inlineStr">
        <is>
          <t>Luva de boxe unissex rosa tam. G</t>
        </is>
      </c>
      <c r="E783" s="107" t="n">
        <v>199.66</v>
      </c>
      <c r="F783" s="108" t="n">
        <v>50</v>
      </c>
      <c r="G783" s="107">
        <f>ROUND(E783*(1+IF(ABS(F783)&lt;=1,F783,F783/100)),2)</f>
        <v/>
      </c>
      <c r="H783" s="105" t="n">
        <v>15</v>
      </c>
      <c r="I783" s="105" t="n">
        <v>5</v>
      </c>
      <c r="J783" s="105">
        <f>IF(OR(UPPER(C783)="SERVIÇO",UPPER(C783)="SERVICO"),"SERVIÇO",IF(H783&lt;=0,"ZERADO",IF(H783&lt;=I783,"ESTOQUE BAIXO","NORMAL")))</f>
        <v/>
      </c>
      <c r="K783" s="107">
        <f>IF(OR(UPPER(C783)="SERVIÇO",UPPER(C783)="SERVICO"),0,N(H783)*N(E783))</f>
        <v/>
      </c>
      <c r="L783" s="107">
        <f>IF(OR(UPPER(C783)="SERVIÇO",UPPER(C783)="SERVICO"),0,N(H783)*N(G783))</f>
        <v/>
      </c>
      <c r="M783" s="107">
        <f>IF(OR(UPPER(C783)="SERVIÇO",UPPER(C783)="SERVICO"),0,L783-K783)</f>
        <v/>
      </c>
    </row>
    <row r="784" ht="15" customHeight="1">
      <c r="B784" s="105" t="n">
        <v>773</v>
      </c>
      <c r="C784" s="105" t="inlineStr">
        <is>
          <t>Produto</t>
        </is>
      </c>
      <c r="D784" s="106" t="inlineStr">
        <is>
          <t>Banco de musculação versão 2026 preto</t>
        </is>
      </c>
      <c r="E784" s="107" t="n">
        <v>1318.54</v>
      </c>
      <c r="F784" s="108" t="n">
        <v>50</v>
      </c>
      <c r="G784" s="107">
        <f>ROUND(E784*(1+IF(ABS(F784)&lt;=1,F784,F784/100)),2)</f>
        <v/>
      </c>
      <c r="H784" s="105" t="n">
        <v>15</v>
      </c>
      <c r="I784" s="105" t="n">
        <v>5</v>
      </c>
      <c r="J784" s="105">
        <f>IF(OR(UPPER(C784)="SERVIÇO",UPPER(C784)="SERVICO"),"SERVIÇO",IF(H784&lt;=0,"ZERADO",IF(H784&lt;=I784,"ESTOQUE BAIXO","NORMAL")))</f>
        <v/>
      </c>
      <c r="K784" s="107">
        <f>IF(OR(UPPER(C784)="SERVIÇO",UPPER(C784)="SERVICO"),0,N(H784)*N(E784))</f>
        <v/>
      </c>
      <c r="L784" s="107">
        <f>IF(OR(UPPER(C784)="SERVIÇO",UPPER(C784)="SERVICO"),0,N(H784)*N(G784))</f>
        <v/>
      </c>
      <c r="M784" s="107">
        <f>IF(OR(UPPER(C784)="SERVIÇO",UPPER(C784)="SERVICO"),0,L784-K784)</f>
        <v/>
      </c>
    </row>
    <row r="785" ht="15" customHeight="1">
      <c r="B785" s="105" t="n">
        <v>774</v>
      </c>
      <c r="C785" s="105" t="inlineStr">
        <is>
          <t>Produto</t>
        </is>
      </c>
      <c r="D785" s="106" t="inlineStr">
        <is>
          <t>Bastão de caminhada ergonômico rosa</t>
        </is>
      </c>
      <c r="E785" s="107" t="n">
        <v>46.88</v>
      </c>
      <c r="F785" s="108" t="n">
        <v>50</v>
      </c>
      <c r="G785" s="107">
        <f>ROUND(E785*(1+IF(ABS(F785)&lt;=1,F785,F785/100)),2)</f>
        <v/>
      </c>
      <c r="H785" s="105" t="n">
        <v>15</v>
      </c>
      <c r="I785" s="105" t="n">
        <v>5</v>
      </c>
      <c r="J785" s="105">
        <f>IF(OR(UPPER(C785)="SERVIÇO",UPPER(C785)="SERVICO"),"SERVIÇO",IF(H785&lt;=0,"ZERADO",IF(H785&lt;=I785,"ESTOQUE BAIXO","NORMAL")))</f>
        <v/>
      </c>
      <c r="K785" s="107">
        <f>IF(OR(UPPER(C785)="SERVIÇO",UPPER(C785)="SERVICO"),0,N(H785)*N(E785))</f>
        <v/>
      </c>
      <c r="L785" s="107">
        <f>IF(OR(UPPER(C785)="SERVIÇO",UPPER(C785)="SERVICO"),0,N(H785)*N(G785))</f>
        <v/>
      </c>
      <c r="M785" s="107">
        <f>IF(OR(UPPER(C785)="SERVIÇO",UPPER(C785)="SERVICO"),0,L785-K785)</f>
        <v/>
      </c>
    </row>
    <row r="786" ht="15" customHeight="1">
      <c r="B786" s="105" t="n">
        <v>775</v>
      </c>
      <c r="C786" s="105" t="inlineStr">
        <is>
          <t>Produto</t>
        </is>
      </c>
      <c r="D786" s="106" t="inlineStr">
        <is>
          <t>Corda de pular juvenil azul</t>
        </is>
      </c>
      <c r="E786" s="107" t="n">
        <v>30.13</v>
      </c>
      <c r="F786" s="108" t="n">
        <v>50</v>
      </c>
      <c r="G786" s="107">
        <f>ROUND(E786*(1+IF(ABS(F786)&lt;=1,F786,F786/100)),2)</f>
        <v/>
      </c>
      <c r="H786" s="105" t="n">
        <v>15</v>
      </c>
      <c r="I786" s="105" t="n">
        <v>5</v>
      </c>
      <c r="J786" s="105">
        <f>IF(OR(UPPER(C786)="SERVIÇO",UPPER(C786)="SERVICO"),"SERVIÇO",IF(H786&lt;=0,"ZERADO",IF(H786&lt;=I786,"ESTOQUE BAIXO","NORMAL")))</f>
        <v/>
      </c>
      <c r="K786" s="107">
        <f>IF(OR(UPPER(C786)="SERVIÇO",UPPER(C786)="SERVICO"),0,N(H786)*N(E786))</f>
        <v/>
      </c>
      <c r="L786" s="107">
        <f>IF(OR(UPPER(C786)="SERVIÇO",UPPER(C786)="SERVICO"),0,N(H786)*N(G786))</f>
        <v/>
      </c>
      <c r="M786" s="107">
        <f>IF(OR(UPPER(C786)="SERVIÇO",UPPER(C786)="SERVICO"),0,L786-K786)</f>
        <v/>
      </c>
    </row>
    <row r="787" ht="15" customHeight="1">
      <c r="B787" s="105" t="n">
        <v>776</v>
      </c>
      <c r="C787" s="105" t="inlineStr">
        <is>
          <t>Produto</t>
        </is>
      </c>
      <c r="D787" s="106" t="inlineStr">
        <is>
          <t>Halter resistente verde</t>
        </is>
      </c>
      <c r="E787" s="107" t="n">
        <v>146.89</v>
      </c>
      <c r="F787" s="108" t="n">
        <v>50</v>
      </c>
      <c r="G787" s="107">
        <f>ROUND(E787*(1+IF(ABS(F787)&lt;=1,F787,F787/100)),2)</f>
        <v/>
      </c>
      <c r="H787" s="105" t="n">
        <v>15</v>
      </c>
      <c r="I787" s="105" t="n">
        <v>5</v>
      </c>
      <c r="J787" s="105">
        <f>IF(OR(UPPER(C787)="SERVIÇO",UPPER(C787)="SERVICO"),"SERVIÇO",IF(H787&lt;=0,"ZERADO",IF(H787&lt;=I787,"ESTOQUE BAIXO","NORMAL")))</f>
        <v/>
      </c>
      <c r="K787" s="107">
        <f>IF(OR(UPPER(C787)="SERVIÇO",UPPER(C787)="SERVICO"),0,N(H787)*N(E787))</f>
        <v/>
      </c>
      <c r="L787" s="107">
        <f>IF(OR(UPPER(C787)="SERVIÇO",UPPER(C787)="SERVICO"),0,N(H787)*N(G787))</f>
        <v/>
      </c>
      <c r="M787" s="107">
        <f>IF(OR(UPPER(C787)="SERVIÇO",UPPER(C787)="SERVICO"),0,L787-K787)</f>
        <v/>
      </c>
    </row>
    <row r="788" ht="15" customHeight="1">
      <c r="B788" s="105" t="n">
        <v>777</v>
      </c>
      <c r="C788" s="105" t="inlineStr">
        <is>
          <t>Produto</t>
        </is>
      </c>
      <c r="D788" s="106" t="inlineStr">
        <is>
          <t>Prancha de natação resistente azul</t>
        </is>
      </c>
      <c r="E788" s="107" t="n">
        <v>56.9</v>
      </c>
      <c r="F788" s="108" t="n">
        <v>50</v>
      </c>
      <c r="G788" s="107">
        <f>ROUND(E788*(1+IF(ABS(F788)&lt;=1,F788,F788/100)),2)</f>
        <v/>
      </c>
      <c r="H788" s="105" t="n">
        <v>15</v>
      </c>
      <c r="I788" s="105" t="n">
        <v>5</v>
      </c>
      <c r="J788" s="105">
        <f>IF(OR(UPPER(C788)="SERVIÇO",UPPER(C788)="SERVICO"),"SERVIÇO",IF(H788&lt;=0,"ZERADO",IF(H788&lt;=I788,"ESTOQUE BAIXO","NORMAL")))</f>
        <v/>
      </c>
      <c r="K788" s="107">
        <f>IF(OR(UPPER(C788)="SERVIÇO",UPPER(C788)="SERVICO"),0,N(H788)*N(E788))</f>
        <v/>
      </c>
      <c r="L788" s="107">
        <f>IF(OR(UPPER(C788)="SERVIÇO",UPPER(C788)="SERVICO"),0,N(H788)*N(G788))</f>
        <v/>
      </c>
      <c r="M788" s="107">
        <f>IF(OR(UPPER(C788)="SERVIÇO",UPPER(C788)="SERVICO"),0,L788-K788)</f>
        <v/>
      </c>
    </row>
    <row r="789" ht="15" customHeight="1">
      <c r="B789" s="105" t="n">
        <v>778</v>
      </c>
      <c r="C789" s="105" t="inlineStr">
        <is>
          <t>Produto</t>
        </is>
      </c>
      <c r="D789" s="106" t="inlineStr">
        <is>
          <t>Bastão de caminhada ergonômico branco</t>
        </is>
      </c>
      <c r="E789" s="107" t="n">
        <v>129.5</v>
      </c>
      <c r="F789" s="108" t="n">
        <v>50</v>
      </c>
      <c r="G789" s="107">
        <f>ROUND(E789*(1+IF(ABS(F789)&lt;=1,F789,F789/100)),2)</f>
        <v/>
      </c>
      <c r="H789" s="105" t="n">
        <v>15</v>
      </c>
      <c r="I789" s="105" t="n">
        <v>5</v>
      </c>
      <c r="J789" s="105">
        <f>IF(OR(UPPER(C789)="SERVIÇO",UPPER(C789)="SERVICO"),"SERVIÇO",IF(H789&lt;=0,"ZERADO",IF(H789&lt;=I789,"ESTOQUE BAIXO","NORMAL")))</f>
        <v/>
      </c>
      <c r="K789" s="107">
        <f>IF(OR(UPPER(C789)="SERVIÇO",UPPER(C789)="SERVICO"),0,N(H789)*N(E789))</f>
        <v/>
      </c>
      <c r="L789" s="107">
        <f>IF(OR(UPPER(C789)="SERVIÇO",UPPER(C789)="SERVICO"),0,N(H789)*N(G789))</f>
        <v/>
      </c>
      <c r="M789" s="107">
        <f>IF(OR(UPPER(C789)="SERVIÇO",UPPER(C789)="SERVICO"),0,L789-K789)</f>
        <v/>
      </c>
    </row>
    <row r="790" ht="15" customHeight="1">
      <c r="B790" s="105" t="n">
        <v>779</v>
      </c>
      <c r="C790" s="105" t="inlineStr">
        <is>
          <t>Produto</t>
        </is>
      </c>
      <c r="D790" s="106" t="inlineStr">
        <is>
          <t>Óculos de natação recreativo preto</t>
        </is>
      </c>
      <c r="E790" s="107" t="n">
        <v>13.55</v>
      </c>
      <c r="F790" s="108" t="n">
        <v>50</v>
      </c>
      <c r="G790" s="107">
        <f>ROUND(E790*(1+IF(ABS(F790)&lt;=1,F790,F790/100)),2)</f>
        <v/>
      </c>
      <c r="H790" s="105" t="n">
        <v>15</v>
      </c>
      <c r="I790" s="105" t="n">
        <v>5</v>
      </c>
      <c r="J790" s="105">
        <f>IF(OR(UPPER(C790)="SERVIÇO",UPPER(C790)="SERVICO"),"SERVIÇO",IF(H790&lt;=0,"ZERADO",IF(H790&lt;=I790,"ESTOQUE BAIXO","NORMAL")))</f>
        <v/>
      </c>
      <c r="K790" s="107">
        <f>IF(OR(UPPER(C790)="SERVIÇO",UPPER(C790)="SERVICO"),0,N(H790)*N(E790))</f>
        <v/>
      </c>
      <c r="L790" s="107">
        <f>IF(OR(UPPER(C790)="SERVIÇO",UPPER(C790)="SERVICO"),0,N(H790)*N(G790))</f>
        <v/>
      </c>
      <c r="M790" s="107">
        <f>IF(OR(UPPER(C790)="SERVIÇO",UPPER(C790)="SERVICO"),0,L790-K790)</f>
        <v/>
      </c>
    </row>
    <row r="791" ht="15" customHeight="1">
      <c r="B791" s="105" t="n">
        <v>780</v>
      </c>
      <c r="C791" s="105" t="inlineStr">
        <is>
          <t>Produto</t>
        </is>
      </c>
      <c r="D791" s="106" t="inlineStr">
        <is>
          <t>Camiseta esportiva ergonômico rosa tam. G</t>
        </is>
      </c>
      <c r="E791" s="107" t="n">
        <v>25.58</v>
      </c>
      <c r="F791" s="108" t="n">
        <v>50</v>
      </c>
      <c r="G791" s="107">
        <f>ROUND(E791*(1+IF(ABS(F791)&lt;=1,F791,F791/100)),2)</f>
        <v/>
      </c>
      <c r="H791" s="105" t="n">
        <v>15</v>
      </c>
      <c r="I791" s="105" t="n">
        <v>5</v>
      </c>
      <c r="J791" s="105">
        <f>IF(OR(UPPER(C791)="SERVIÇO",UPPER(C791)="SERVICO"),"SERVIÇO",IF(H791&lt;=0,"ZERADO",IF(H791&lt;=I791,"ESTOQUE BAIXO","NORMAL")))</f>
        <v/>
      </c>
      <c r="K791" s="107">
        <f>IF(OR(UPPER(C791)="SERVIÇO",UPPER(C791)="SERVICO"),0,N(H791)*N(E791))</f>
        <v/>
      </c>
      <c r="L791" s="107">
        <f>IF(OR(UPPER(C791)="SERVIÇO",UPPER(C791)="SERVICO"),0,N(H791)*N(G791))</f>
        <v/>
      </c>
      <c r="M791" s="107">
        <f>IF(OR(UPPER(C791)="SERVIÇO",UPPER(C791)="SERVICO"),0,L791-K791)</f>
        <v/>
      </c>
    </row>
    <row r="792" ht="15" customHeight="1">
      <c r="B792" s="105" t="n">
        <v>781</v>
      </c>
      <c r="C792" s="105" t="inlineStr">
        <is>
          <t>Produto</t>
        </is>
      </c>
      <c r="D792" s="106" t="inlineStr">
        <is>
          <t>Óculos esportivos compacto branco</t>
        </is>
      </c>
      <c r="E792" s="107" t="n">
        <v>408.12</v>
      </c>
      <c r="F792" s="108" t="n">
        <v>50</v>
      </c>
      <c r="G792" s="107">
        <f>ROUND(E792*(1+IF(ABS(F792)&lt;=1,F792,F792/100)),2)</f>
        <v/>
      </c>
      <c r="H792" s="105" t="n">
        <v>15</v>
      </c>
      <c r="I792" s="105" t="n">
        <v>5</v>
      </c>
      <c r="J792" s="105">
        <f>IF(OR(UPPER(C792)="SERVIÇO",UPPER(C792)="SERVICO"),"SERVIÇO",IF(H792&lt;=0,"ZERADO",IF(H792&lt;=I792,"ESTOQUE BAIXO","NORMAL")))</f>
        <v/>
      </c>
      <c r="K792" s="107">
        <f>IF(OR(UPPER(C792)="SERVIÇO",UPPER(C792)="SERVICO"),0,N(H792)*N(E792))</f>
        <v/>
      </c>
      <c r="L792" s="107">
        <f>IF(OR(UPPER(C792)="SERVIÇO",UPPER(C792)="SERVICO"),0,N(H792)*N(G792))</f>
        <v/>
      </c>
      <c r="M792" s="107">
        <f>IF(OR(UPPER(C792)="SERVIÇO",UPPER(C792)="SERVICO"),0,L792-K792)</f>
        <v/>
      </c>
    </row>
    <row r="793" ht="15" customHeight="1">
      <c r="B793" s="105" t="n">
        <v>782</v>
      </c>
      <c r="C793" s="105" t="inlineStr">
        <is>
          <t>Produto</t>
        </is>
      </c>
      <c r="D793" s="106" t="inlineStr">
        <is>
          <t>Raquete de tênis compacto laranja tam. 38</t>
        </is>
      </c>
      <c r="E793" s="107" t="n">
        <v>451.05</v>
      </c>
      <c r="F793" s="108" t="n">
        <v>50</v>
      </c>
      <c r="G793" s="107">
        <f>ROUND(E793*(1+IF(ABS(F793)&lt;=1,F793,F793/100)),2)</f>
        <v/>
      </c>
      <c r="H793" s="105" t="n">
        <v>15</v>
      </c>
      <c r="I793" s="105" t="n">
        <v>5</v>
      </c>
      <c r="J793" s="105">
        <f>IF(OR(UPPER(C793)="SERVIÇO",UPPER(C793)="SERVICO"),"SERVIÇO",IF(H793&lt;=0,"ZERADO",IF(H793&lt;=I793,"ESTOQUE BAIXO","NORMAL")))</f>
        <v/>
      </c>
      <c r="K793" s="107">
        <f>IF(OR(UPPER(C793)="SERVIÇO",UPPER(C793)="SERVICO"),0,N(H793)*N(E793))</f>
        <v/>
      </c>
      <c r="L793" s="107">
        <f>IF(OR(UPPER(C793)="SERVIÇO",UPPER(C793)="SERVICO"),0,N(H793)*N(G793))</f>
        <v/>
      </c>
      <c r="M793" s="107">
        <f>IF(OR(UPPER(C793)="SERVIÇO",UPPER(C793)="SERVICO"),0,L793-K793)</f>
        <v/>
      </c>
    </row>
    <row r="794" ht="15" customHeight="1">
      <c r="B794" s="105" t="n">
        <v>783</v>
      </c>
      <c r="C794" s="105" t="inlineStr">
        <is>
          <t>Produto</t>
        </is>
      </c>
      <c r="D794" s="106" t="inlineStr">
        <is>
          <t>Raquete de badminton com ajuste rosa</t>
        </is>
      </c>
      <c r="E794" s="107" t="n">
        <v>48.43</v>
      </c>
      <c r="F794" s="108" t="n">
        <v>50</v>
      </c>
      <c r="G794" s="107">
        <f>ROUND(E794*(1+IF(ABS(F794)&lt;=1,F794,F794/100)),2)</f>
        <v/>
      </c>
      <c r="H794" s="105" t="n">
        <v>15</v>
      </c>
      <c r="I794" s="105" t="n">
        <v>5</v>
      </c>
      <c r="J794" s="105">
        <f>IF(OR(UPPER(C794)="SERVIÇO",UPPER(C794)="SERVICO"),"SERVIÇO",IF(H794&lt;=0,"ZERADO",IF(H794&lt;=I794,"ESTOQUE BAIXO","NORMAL")))</f>
        <v/>
      </c>
      <c r="K794" s="107">
        <f>IF(OR(UPPER(C794)="SERVIÇO",UPPER(C794)="SERVICO"),0,N(H794)*N(E794))</f>
        <v/>
      </c>
      <c r="L794" s="107">
        <f>IF(OR(UPPER(C794)="SERVIÇO",UPPER(C794)="SERVICO"),0,N(H794)*N(G794))</f>
        <v/>
      </c>
      <c r="M794" s="107">
        <f>IF(OR(UPPER(C794)="SERVIÇO",UPPER(C794)="SERVICO"),0,L794-K794)</f>
        <v/>
      </c>
    </row>
    <row r="795" ht="15" customHeight="1">
      <c r="B795" s="105" t="n">
        <v>784</v>
      </c>
      <c r="C795" s="105" t="inlineStr">
        <is>
          <t>Produto</t>
        </is>
      </c>
      <c r="D795" s="106" t="inlineStr">
        <is>
          <t>Óculos esportivos modelo básico azul</t>
        </is>
      </c>
      <c r="E795" s="107" t="n">
        <v>412.28</v>
      </c>
      <c r="F795" s="108" t="n">
        <v>50</v>
      </c>
      <c r="G795" s="107">
        <f>ROUND(E795*(1+IF(ABS(F795)&lt;=1,F795,F795/100)),2)</f>
        <v/>
      </c>
      <c r="H795" s="105" t="n">
        <v>15</v>
      </c>
      <c r="I795" s="105" t="n">
        <v>5</v>
      </c>
      <c r="J795" s="105">
        <f>IF(OR(UPPER(C795)="SERVIÇO",UPPER(C795)="SERVICO"),"SERVIÇO",IF(H795&lt;=0,"ZERADO",IF(H795&lt;=I795,"ESTOQUE BAIXO","NORMAL")))</f>
        <v/>
      </c>
      <c r="K795" s="107">
        <f>IF(OR(UPPER(C795)="SERVIÇO",UPPER(C795)="SERVICO"),0,N(H795)*N(E795))</f>
        <v/>
      </c>
      <c r="L795" s="107">
        <f>IF(OR(UPPER(C795)="SERVIÇO",UPPER(C795)="SERVICO"),0,N(H795)*N(G795))</f>
        <v/>
      </c>
      <c r="M795" s="107">
        <f>IF(OR(UPPER(C795)="SERVIÇO",UPPER(C795)="SERVICO"),0,L795-K795)</f>
        <v/>
      </c>
    </row>
    <row r="796" ht="15" customHeight="1">
      <c r="B796" s="105" t="n">
        <v>785</v>
      </c>
      <c r="C796" s="105" t="inlineStr">
        <is>
          <t>Produto</t>
        </is>
      </c>
      <c r="D796" s="106" t="inlineStr">
        <is>
          <t>Bola de pilates treino laranja</t>
        </is>
      </c>
      <c r="E796" s="107" t="n">
        <v>63.52</v>
      </c>
      <c r="F796" s="108" t="n">
        <v>50</v>
      </c>
      <c r="G796" s="107">
        <f>ROUND(E796*(1+IF(ABS(F796)&lt;=1,F796,F796/100)),2)</f>
        <v/>
      </c>
      <c r="H796" s="105" t="n">
        <v>15</v>
      </c>
      <c r="I796" s="105" t="n">
        <v>5</v>
      </c>
      <c r="J796" s="105">
        <f>IF(OR(UPPER(C796)="SERVIÇO",UPPER(C796)="SERVICO"),"SERVIÇO",IF(H796&lt;=0,"ZERADO",IF(H796&lt;=I796,"ESTOQUE BAIXO","NORMAL")))</f>
        <v/>
      </c>
      <c r="K796" s="107">
        <f>IF(OR(UPPER(C796)="SERVIÇO",UPPER(C796)="SERVICO"),0,N(H796)*N(E796))</f>
        <v/>
      </c>
      <c r="L796" s="107">
        <f>IF(OR(UPPER(C796)="SERVIÇO",UPPER(C796)="SERVICO"),0,N(H796)*N(G796))</f>
        <v/>
      </c>
      <c r="M796" s="107">
        <f>IF(OR(UPPER(C796)="SERVIÇO",UPPER(C796)="SERVICO"),0,L796-K796)</f>
        <v/>
      </c>
    </row>
    <row r="797" ht="15" customHeight="1">
      <c r="B797" s="105" t="n">
        <v>786</v>
      </c>
      <c r="C797" s="105" t="inlineStr">
        <is>
          <t>Produto</t>
        </is>
      </c>
      <c r="D797" s="106" t="inlineStr">
        <is>
          <t>Luva de goleiro adulto azul tam. 44</t>
        </is>
      </c>
      <c r="E797" s="107" t="n">
        <v>231.98</v>
      </c>
      <c r="F797" s="108" t="n">
        <v>50</v>
      </c>
      <c r="G797" s="107">
        <f>ROUND(E797*(1+IF(ABS(F797)&lt;=1,F797,F797/100)),2)</f>
        <v/>
      </c>
      <c r="H797" s="105" t="n">
        <v>15</v>
      </c>
      <c r="I797" s="105" t="n">
        <v>5</v>
      </c>
      <c r="J797" s="105">
        <f>IF(OR(UPPER(C797)="SERVIÇO",UPPER(C797)="SERVICO"),"SERVIÇO",IF(H797&lt;=0,"ZERADO",IF(H797&lt;=I797,"ESTOQUE BAIXO","NORMAL")))</f>
        <v/>
      </c>
      <c r="K797" s="107">
        <f>IF(OR(UPPER(C797)="SERVIÇO",UPPER(C797)="SERVICO"),0,N(H797)*N(E797))</f>
        <v/>
      </c>
      <c r="L797" s="107">
        <f>IF(OR(UPPER(C797)="SERVIÇO",UPPER(C797)="SERVICO"),0,N(H797)*N(G797))</f>
        <v/>
      </c>
      <c r="M797" s="107">
        <f>IF(OR(UPPER(C797)="SERVIÇO",UPPER(C797)="SERVICO"),0,L797-K797)</f>
        <v/>
      </c>
    </row>
    <row r="798" ht="15" customHeight="1">
      <c r="B798" s="105" t="n">
        <v>787</v>
      </c>
      <c r="C798" s="105" t="inlineStr">
        <is>
          <t>Produto</t>
        </is>
      </c>
      <c r="D798" s="106" t="inlineStr">
        <is>
          <t>Touca de natação resistente verde tam. 40</t>
        </is>
      </c>
      <c r="E798" s="107" t="n">
        <v>57.41</v>
      </c>
      <c r="F798" s="108" t="n">
        <v>50</v>
      </c>
      <c r="G798" s="107">
        <f>ROUND(E798*(1+IF(ABS(F798)&lt;=1,F798,F798/100)),2)</f>
        <v/>
      </c>
      <c r="H798" s="105" t="n">
        <v>15</v>
      </c>
      <c r="I798" s="105" t="n">
        <v>5</v>
      </c>
      <c r="J798" s="105">
        <f>IF(OR(UPPER(C798)="SERVIÇO",UPPER(C798)="SERVICO"),"SERVIÇO",IF(H798&lt;=0,"ZERADO",IF(H798&lt;=I798,"ESTOQUE BAIXO","NORMAL")))</f>
        <v/>
      </c>
      <c r="K798" s="107">
        <f>IF(OR(UPPER(C798)="SERVIÇO",UPPER(C798)="SERVICO"),0,N(H798)*N(E798))</f>
        <v/>
      </c>
      <c r="L798" s="107">
        <f>IF(OR(UPPER(C798)="SERVIÇO",UPPER(C798)="SERVICO"),0,N(H798)*N(G798))</f>
        <v/>
      </c>
      <c r="M798" s="107">
        <f>IF(OR(UPPER(C798)="SERVIÇO",UPPER(C798)="SERVICO"),0,L798-K798)</f>
        <v/>
      </c>
    </row>
    <row r="799" ht="15" customHeight="1">
      <c r="B799" s="105" t="n">
        <v>788</v>
      </c>
      <c r="C799" s="105" t="inlineStr">
        <is>
          <t>Produto</t>
        </is>
      </c>
      <c r="D799" s="106" t="inlineStr">
        <is>
          <t>Tapete de yoga compacto rosa</t>
        </is>
      </c>
      <c r="E799" s="107" t="n">
        <v>75.73</v>
      </c>
      <c r="F799" s="108" t="n">
        <v>50</v>
      </c>
      <c r="G799" s="107">
        <f>ROUND(E799*(1+IF(ABS(F799)&lt;=1,F799,F799/100)),2)</f>
        <v/>
      </c>
      <c r="H799" s="105" t="n">
        <v>15</v>
      </c>
      <c r="I799" s="105" t="n">
        <v>5</v>
      </c>
      <c r="J799" s="105">
        <f>IF(OR(UPPER(C799)="SERVIÇO",UPPER(C799)="SERVICO"),"SERVIÇO",IF(H799&lt;=0,"ZERADO",IF(H799&lt;=I799,"ESTOQUE BAIXO","NORMAL")))</f>
        <v/>
      </c>
      <c r="K799" s="107">
        <f>IF(OR(UPPER(C799)="SERVIÇO",UPPER(C799)="SERVICO"),0,N(H799)*N(E799))</f>
        <v/>
      </c>
      <c r="L799" s="107">
        <f>IF(OR(UPPER(C799)="SERVIÇO",UPPER(C799)="SERVICO"),0,N(H799)*N(G799))</f>
        <v/>
      </c>
      <c r="M799" s="107">
        <f>IF(OR(UPPER(C799)="SERVIÇO",UPPER(C799)="SERVICO"),0,L799-K799)</f>
        <v/>
      </c>
    </row>
    <row r="800" ht="15" customHeight="1">
      <c r="B800" s="105" t="n">
        <v>789</v>
      </c>
      <c r="C800" s="105" t="inlineStr">
        <is>
          <t>Produto</t>
        </is>
      </c>
      <c r="D800" s="106" t="inlineStr">
        <is>
          <t>Banco de musculação versão 2026 rosa</t>
        </is>
      </c>
      <c r="E800" s="107" t="n">
        <v>1125.93</v>
      </c>
      <c r="F800" s="108" t="n">
        <v>50</v>
      </c>
      <c r="G800" s="107">
        <f>ROUND(E800*(1+IF(ABS(F800)&lt;=1,F800,F800/100)),2)</f>
        <v/>
      </c>
      <c r="H800" s="105" t="n">
        <v>15</v>
      </c>
      <c r="I800" s="105" t="n">
        <v>5</v>
      </c>
      <c r="J800" s="105">
        <f>IF(OR(UPPER(C800)="SERVIÇO",UPPER(C800)="SERVICO"),"SERVIÇO",IF(H800&lt;=0,"ZERADO",IF(H800&lt;=I800,"ESTOQUE BAIXO","NORMAL")))</f>
        <v/>
      </c>
      <c r="K800" s="107">
        <f>IF(OR(UPPER(C800)="SERVIÇO",UPPER(C800)="SERVICO"),0,N(H800)*N(E800))</f>
        <v/>
      </c>
      <c r="L800" s="107">
        <f>IF(OR(UPPER(C800)="SERVIÇO",UPPER(C800)="SERVICO"),0,N(H800)*N(G800))</f>
        <v/>
      </c>
      <c r="M800" s="107">
        <f>IF(OR(UPPER(C800)="SERVIÇO",UPPER(C800)="SERVICO"),0,L800-K800)</f>
        <v/>
      </c>
    </row>
    <row r="801" ht="15" customHeight="1">
      <c r="B801" s="105" t="n">
        <v>790</v>
      </c>
      <c r="C801" s="105" t="inlineStr">
        <is>
          <t>Produto</t>
        </is>
      </c>
      <c r="D801" s="106" t="inlineStr">
        <is>
          <t>Tapete de yoga treino azul</t>
        </is>
      </c>
      <c r="E801" s="107" t="n">
        <v>142.39</v>
      </c>
      <c r="F801" s="108" t="n">
        <v>50</v>
      </c>
      <c r="G801" s="107">
        <f>ROUND(E801*(1+IF(ABS(F801)&lt;=1,F801,F801/100)),2)</f>
        <v/>
      </c>
      <c r="H801" s="105" t="n">
        <v>15</v>
      </c>
      <c r="I801" s="105" t="n">
        <v>5</v>
      </c>
      <c r="J801" s="105">
        <f>IF(OR(UPPER(C801)="SERVIÇO",UPPER(C801)="SERVICO"),"SERVIÇO",IF(H801&lt;=0,"ZERADO",IF(H801&lt;=I801,"ESTOQUE BAIXO","NORMAL")))</f>
        <v/>
      </c>
      <c r="K801" s="107">
        <f>IF(OR(UPPER(C801)="SERVIÇO",UPPER(C801)="SERVICO"),0,N(H801)*N(E801))</f>
        <v/>
      </c>
      <c r="L801" s="107">
        <f>IF(OR(UPPER(C801)="SERVIÇO",UPPER(C801)="SERVICO"),0,N(H801)*N(G801))</f>
        <v/>
      </c>
      <c r="M801" s="107">
        <f>IF(OR(UPPER(C801)="SERVIÇO",UPPER(C801)="SERVICO"),0,L801-K801)</f>
        <v/>
      </c>
    </row>
    <row r="802" ht="15" customHeight="1">
      <c r="B802" s="105" t="n">
        <v>791</v>
      </c>
      <c r="C802" s="105" t="inlineStr">
        <is>
          <t>Produto</t>
        </is>
      </c>
      <c r="D802" s="106" t="inlineStr">
        <is>
          <t>Jaqueta esportiva modelo básico branco tam. 34</t>
        </is>
      </c>
      <c r="E802" s="107" t="n">
        <v>188.67</v>
      </c>
      <c r="F802" s="108" t="n">
        <v>50</v>
      </c>
      <c r="G802" s="107">
        <f>ROUND(E802*(1+IF(ABS(F802)&lt;=1,F802,F802/100)),2)</f>
        <v/>
      </c>
      <c r="H802" s="105" t="n">
        <v>15</v>
      </c>
      <c r="I802" s="105" t="n">
        <v>5</v>
      </c>
      <c r="J802" s="105">
        <f>IF(OR(UPPER(C802)="SERVIÇO",UPPER(C802)="SERVICO"),"SERVIÇO",IF(H802&lt;=0,"ZERADO",IF(H802&lt;=I802,"ESTOQUE BAIXO","NORMAL")))</f>
        <v/>
      </c>
      <c r="K802" s="107">
        <f>IF(OR(UPPER(C802)="SERVIÇO",UPPER(C802)="SERVICO"),0,N(H802)*N(E802))</f>
        <v/>
      </c>
      <c r="L802" s="107">
        <f>IF(OR(UPPER(C802)="SERVIÇO",UPPER(C802)="SERVICO"),0,N(H802)*N(G802))</f>
        <v/>
      </c>
      <c r="M802" s="107">
        <f>IF(OR(UPPER(C802)="SERVIÇO",UPPER(C802)="SERVICO"),0,L802-K802)</f>
        <v/>
      </c>
    </row>
    <row r="803" ht="15" customHeight="1">
      <c r="B803" s="105" t="n">
        <v>792</v>
      </c>
      <c r="C803" s="105" t="inlineStr">
        <is>
          <t>Produto</t>
        </is>
      </c>
      <c r="D803" s="106" t="inlineStr">
        <is>
          <t>Tapete de yoga juvenil vermelho</t>
        </is>
      </c>
      <c r="E803" s="107" t="n">
        <v>100.76</v>
      </c>
      <c r="F803" s="108" t="n">
        <v>50</v>
      </c>
      <c r="G803" s="107">
        <f>ROUND(E803*(1+IF(ABS(F803)&lt;=1,F803,F803/100)),2)</f>
        <v/>
      </c>
      <c r="H803" s="105" t="n">
        <v>15</v>
      </c>
      <c r="I803" s="105" t="n">
        <v>5</v>
      </c>
      <c r="J803" s="105">
        <f>IF(OR(UPPER(C803)="SERVIÇO",UPPER(C803)="SERVICO"),"SERVIÇO",IF(H803&lt;=0,"ZERADO",IF(H803&lt;=I803,"ESTOQUE BAIXO","NORMAL")))</f>
        <v/>
      </c>
      <c r="K803" s="107">
        <f>IF(OR(UPPER(C803)="SERVIÇO",UPPER(C803)="SERVICO"),0,N(H803)*N(E803))</f>
        <v/>
      </c>
      <c r="L803" s="107">
        <f>IF(OR(UPPER(C803)="SERVIÇO",UPPER(C803)="SERVICO"),0,N(H803)*N(G803))</f>
        <v/>
      </c>
      <c r="M803" s="107">
        <f>IF(OR(UPPER(C803)="SERVIÇO",UPPER(C803)="SERVICO"),0,L803-K803)</f>
        <v/>
      </c>
    </row>
    <row r="804" ht="15" customHeight="1">
      <c r="B804" s="105" t="n">
        <v>793</v>
      </c>
      <c r="C804" s="105" t="inlineStr">
        <is>
          <t>Produto</t>
        </is>
      </c>
      <c r="D804" s="106" t="inlineStr">
        <is>
          <t>Patins treino cinza</t>
        </is>
      </c>
      <c r="E804" s="107" t="n">
        <v>523.1</v>
      </c>
      <c r="F804" s="108" t="n">
        <v>50</v>
      </c>
      <c r="G804" s="107">
        <f>ROUND(E804*(1+IF(ABS(F804)&lt;=1,F804,F804/100)),2)</f>
        <v/>
      </c>
      <c r="H804" s="105" t="n">
        <v>15</v>
      </c>
      <c r="I804" s="105" t="n">
        <v>5</v>
      </c>
      <c r="J804" s="105">
        <f>IF(OR(UPPER(C804)="SERVIÇO",UPPER(C804)="SERVICO"),"SERVIÇO",IF(H804&lt;=0,"ZERADO",IF(H804&lt;=I804,"ESTOQUE BAIXO","NORMAL")))</f>
        <v/>
      </c>
      <c r="K804" s="107">
        <f>IF(OR(UPPER(C804)="SERVIÇO",UPPER(C804)="SERVICO"),0,N(H804)*N(E804))</f>
        <v/>
      </c>
      <c r="L804" s="107">
        <f>IF(OR(UPPER(C804)="SERVIÇO",UPPER(C804)="SERVICO"),0,N(H804)*N(G804))</f>
        <v/>
      </c>
      <c r="M804" s="107">
        <f>IF(OR(UPPER(C804)="SERVIÇO",UPPER(C804)="SERVICO"),0,L804-K804)</f>
        <v/>
      </c>
    </row>
    <row r="805" ht="15" customHeight="1">
      <c r="B805" s="105" t="n">
        <v>794</v>
      </c>
      <c r="C805" s="105" t="inlineStr">
        <is>
          <t>Produto</t>
        </is>
      </c>
      <c r="D805" s="106" t="inlineStr">
        <is>
          <t>Short esportivo para uso diário verde tam. 40</t>
        </is>
      </c>
      <c r="E805" s="107" t="n">
        <v>92.15000000000001</v>
      </c>
      <c r="F805" s="108" t="n">
        <v>50</v>
      </c>
      <c r="G805" s="107">
        <f>ROUND(E805*(1+IF(ABS(F805)&lt;=1,F805,F805/100)),2)</f>
        <v/>
      </c>
      <c r="H805" s="105" t="n">
        <v>15</v>
      </c>
      <c r="I805" s="105" t="n">
        <v>5</v>
      </c>
      <c r="J805" s="105">
        <f>IF(OR(UPPER(C805)="SERVIÇO",UPPER(C805)="SERVICO"),"SERVIÇO",IF(H805&lt;=0,"ZERADO",IF(H805&lt;=I805,"ESTOQUE BAIXO","NORMAL")))</f>
        <v/>
      </c>
      <c r="K805" s="107">
        <f>IF(OR(UPPER(C805)="SERVIÇO",UPPER(C805)="SERVICO"),0,N(H805)*N(E805))</f>
        <v/>
      </c>
      <c r="L805" s="107">
        <f>IF(OR(UPPER(C805)="SERVIÇO",UPPER(C805)="SERVICO"),0,N(H805)*N(G805))</f>
        <v/>
      </c>
      <c r="M805" s="107">
        <f>IF(OR(UPPER(C805)="SERVIÇO",UPPER(C805)="SERVICO"),0,L805-K805)</f>
        <v/>
      </c>
    </row>
    <row r="806" ht="15" customHeight="1">
      <c r="B806" s="105" t="n">
        <v>795</v>
      </c>
      <c r="C806" s="105" t="inlineStr">
        <is>
          <t>Produto</t>
        </is>
      </c>
      <c r="D806" s="106" t="inlineStr">
        <is>
          <t>Short esportivo treino laranja tam. P</t>
        </is>
      </c>
      <c r="E806" s="107" t="n">
        <v>101.33</v>
      </c>
      <c r="F806" s="108" t="n">
        <v>50</v>
      </c>
      <c r="G806" s="107">
        <f>ROUND(E806*(1+IF(ABS(F806)&lt;=1,F806,F806/100)),2)</f>
        <v/>
      </c>
      <c r="H806" s="105" t="n">
        <v>15</v>
      </c>
      <c r="I806" s="105" t="n">
        <v>5</v>
      </c>
      <c r="J806" s="105">
        <f>IF(OR(UPPER(C806)="SERVIÇO",UPPER(C806)="SERVICO"),"SERVIÇO",IF(H806&lt;=0,"ZERADO",IF(H806&lt;=I806,"ESTOQUE BAIXO","NORMAL")))</f>
        <v/>
      </c>
      <c r="K806" s="107">
        <f>IF(OR(UPPER(C806)="SERVIÇO",UPPER(C806)="SERVICO"),0,N(H806)*N(E806))</f>
        <v/>
      </c>
      <c r="L806" s="107">
        <f>IF(OR(UPPER(C806)="SERVIÇO",UPPER(C806)="SERVICO"),0,N(H806)*N(G806))</f>
        <v/>
      </c>
      <c r="M806" s="107">
        <f>IF(OR(UPPER(C806)="SERVIÇO",UPPER(C806)="SERVICO"),0,L806-K806)</f>
        <v/>
      </c>
    </row>
    <row r="807" ht="15" customHeight="1">
      <c r="B807" s="105" t="n">
        <v>796</v>
      </c>
      <c r="C807" s="105" t="inlineStr">
        <is>
          <t>Produto</t>
        </is>
      </c>
      <c r="D807" s="106" t="inlineStr">
        <is>
          <t>Nadadeira treino rosa</t>
        </is>
      </c>
      <c r="E807" s="107" t="n">
        <v>95.29000000000001</v>
      </c>
      <c r="F807" s="108" t="n">
        <v>50</v>
      </c>
      <c r="G807" s="107">
        <f>ROUND(E807*(1+IF(ABS(F807)&lt;=1,F807,F807/100)),2)</f>
        <v/>
      </c>
      <c r="H807" s="105" t="n">
        <v>15</v>
      </c>
      <c r="I807" s="105" t="n">
        <v>5</v>
      </c>
      <c r="J807" s="105">
        <f>IF(OR(UPPER(C807)="SERVIÇO",UPPER(C807)="SERVICO"),"SERVIÇO",IF(H807&lt;=0,"ZERADO",IF(H807&lt;=I807,"ESTOQUE BAIXO","NORMAL")))</f>
        <v/>
      </c>
      <c r="K807" s="107">
        <f>IF(OR(UPPER(C807)="SERVIÇO",UPPER(C807)="SERVICO"),0,N(H807)*N(E807))</f>
        <v/>
      </c>
      <c r="L807" s="107">
        <f>IF(OR(UPPER(C807)="SERVIÇO",UPPER(C807)="SERVICO"),0,N(H807)*N(G807))</f>
        <v/>
      </c>
      <c r="M807" s="107">
        <f>IF(OR(UPPER(C807)="SERVIÇO",UPPER(C807)="SERVICO"),0,L807-K807)</f>
        <v/>
      </c>
    </row>
    <row r="808" ht="15" customHeight="1">
      <c r="B808" s="105" t="n">
        <v>797</v>
      </c>
      <c r="C808" s="105" t="inlineStr">
        <is>
          <t>Produto</t>
        </is>
      </c>
      <c r="D808" s="106" t="inlineStr">
        <is>
          <t>Luva de boxe recreativo rosa tam. P</t>
        </is>
      </c>
      <c r="E808" s="107" t="n">
        <v>178.78</v>
      </c>
      <c r="F808" s="108" t="n">
        <v>50</v>
      </c>
      <c r="G808" s="107">
        <f>ROUND(E808*(1+IF(ABS(F808)&lt;=1,F808,F808/100)),2)</f>
        <v/>
      </c>
      <c r="H808" s="105" t="n">
        <v>15</v>
      </c>
      <c r="I808" s="105" t="n">
        <v>5</v>
      </c>
      <c r="J808" s="105">
        <f>IF(OR(UPPER(C808)="SERVIÇO",UPPER(C808)="SERVICO"),"SERVIÇO",IF(H808&lt;=0,"ZERADO",IF(H808&lt;=I808,"ESTOQUE BAIXO","NORMAL")))</f>
        <v/>
      </c>
      <c r="K808" s="107">
        <f>IF(OR(UPPER(C808)="SERVIÇO",UPPER(C808)="SERVICO"),0,N(H808)*N(E808))</f>
        <v/>
      </c>
      <c r="L808" s="107">
        <f>IF(OR(UPPER(C808)="SERVIÇO",UPPER(C808)="SERVICO"),0,N(H808)*N(G808))</f>
        <v/>
      </c>
      <c r="M808" s="107">
        <f>IF(OR(UPPER(C808)="SERVIÇO",UPPER(C808)="SERVICO"),0,L808-K808)</f>
        <v/>
      </c>
    </row>
    <row r="809" ht="15" customHeight="1">
      <c r="B809" s="105" t="n">
        <v>798</v>
      </c>
      <c r="C809" s="105" t="inlineStr">
        <is>
          <t>Produto</t>
        </is>
      </c>
      <c r="D809" s="106" t="inlineStr">
        <is>
          <t>Raquete de tênis alta performance rosa tam. 42</t>
        </is>
      </c>
      <c r="E809" s="107" t="n">
        <v>433.55</v>
      </c>
      <c r="F809" s="108" t="n">
        <v>50</v>
      </c>
      <c r="G809" s="107">
        <f>ROUND(E809*(1+IF(ABS(F809)&lt;=1,F809,F809/100)),2)</f>
        <v/>
      </c>
      <c r="H809" s="105" t="n">
        <v>15</v>
      </c>
      <c r="I809" s="105" t="n">
        <v>5</v>
      </c>
      <c r="J809" s="105">
        <f>IF(OR(UPPER(C809)="SERVIÇO",UPPER(C809)="SERVICO"),"SERVIÇO",IF(H809&lt;=0,"ZERADO",IF(H809&lt;=I809,"ESTOQUE BAIXO","NORMAL")))</f>
        <v/>
      </c>
      <c r="K809" s="107">
        <f>IF(OR(UPPER(C809)="SERVIÇO",UPPER(C809)="SERVICO"),0,N(H809)*N(E809))</f>
        <v/>
      </c>
      <c r="L809" s="107">
        <f>IF(OR(UPPER(C809)="SERVIÇO",UPPER(C809)="SERVICO"),0,N(H809)*N(G809))</f>
        <v/>
      </c>
      <c r="M809" s="107">
        <f>IF(OR(UPPER(C809)="SERVIÇO",UPPER(C809)="SERVICO"),0,L809-K809)</f>
        <v/>
      </c>
    </row>
    <row r="810" ht="15" customHeight="1">
      <c r="B810" s="105" t="n">
        <v>799</v>
      </c>
      <c r="C810" s="105" t="inlineStr">
        <is>
          <t>Produto</t>
        </is>
      </c>
      <c r="D810" s="106" t="inlineStr">
        <is>
          <t>Regata esportiva leve vermelho tam. M</t>
        </is>
      </c>
      <c r="E810" s="107" t="n">
        <v>39.35</v>
      </c>
      <c r="F810" s="108" t="n">
        <v>50</v>
      </c>
      <c r="G810" s="107">
        <f>ROUND(E810*(1+IF(ABS(F810)&lt;=1,F810,F810/100)),2)</f>
        <v/>
      </c>
      <c r="H810" s="105" t="n">
        <v>15</v>
      </c>
      <c r="I810" s="105" t="n">
        <v>5</v>
      </c>
      <c r="J810" s="105">
        <f>IF(OR(UPPER(C810)="SERVIÇO",UPPER(C810)="SERVICO"),"SERVIÇO",IF(H810&lt;=0,"ZERADO",IF(H810&lt;=I810,"ESTOQUE BAIXO","NORMAL")))</f>
        <v/>
      </c>
      <c r="K810" s="107">
        <f>IF(OR(UPPER(C810)="SERVIÇO",UPPER(C810)="SERVICO"),0,N(H810)*N(E810))</f>
        <v/>
      </c>
      <c r="L810" s="107">
        <f>IF(OR(UPPER(C810)="SERVIÇO",UPPER(C810)="SERVICO"),0,N(H810)*N(G810))</f>
        <v/>
      </c>
      <c r="M810" s="107">
        <f>IF(OR(UPPER(C810)="SERVIÇO",UPPER(C810)="SERVICO"),0,L810-K810)</f>
        <v/>
      </c>
    </row>
    <row r="811" ht="15" customHeight="1">
      <c r="B811" s="105" t="n">
        <v>800</v>
      </c>
      <c r="C811" s="105" t="inlineStr">
        <is>
          <t>Produto</t>
        </is>
      </c>
      <c r="D811" s="106" t="inlineStr">
        <is>
          <t>Saco de pancadas modelo básico laranja</t>
        </is>
      </c>
      <c r="E811" s="107" t="n">
        <v>396.26</v>
      </c>
      <c r="F811" s="108" t="n">
        <v>50</v>
      </c>
      <c r="G811" s="107">
        <f>ROUND(E811*(1+IF(ABS(F811)&lt;=1,F811,F811/100)),2)</f>
        <v/>
      </c>
      <c r="H811" s="105" t="n">
        <v>15</v>
      </c>
      <c r="I811" s="105" t="n">
        <v>5</v>
      </c>
      <c r="J811" s="105">
        <f>IF(OR(UPPER(C811)="SERVIÇO",UPPER(C811)="SERVICO"),"SERVIÇO",IF(H811&lt;=0,"ZERADO",IF(H811&lt;=I811,"ESTOQUE BAIXO","NORMAL")))</f>
        <v/>
      </c>
      <c r="K811" s="107">
        <f>IF(OR(UPPER(C811)="SERVIÇO",UPPER(C811)="SERVICO"),0,N(H811)*N(E811))</f>
        <v/>
      </c>
      <c r="L811" s="107">
        <f>IF(OR(UPPER(C811)="SERVIÇO",UPPER(C811)="SERVICO"),0,N(H811)*N(G811))</f>
        <v/>
      </c>
      <c r="M811" s="107">
        <f>IF(OR(UPPER(C811)="SERVIÇO",UPPER(C811)="SERVICO"),0,L811-K811)</f>
        <v/>
      </c>
    </row>
    <row r="812" ht="15" customHeight="1">
      <c r="B812" s="105" t="n">
        <v>801</v>
      </c>
      <c r="C812" s="105" t="inlineStr">
        <is>
          <t>Produto</t>
        </is>
      </c>
      <c r="D812" s="106" t="inlineStr">
        <is>
          <t>Saco de pancadas premium laranja</t>
        </is>
      </c>
      <c r="E812" s="107" t="n">
        <v>755.91</v>
      </c>
      <c r="F812" s="108" t="n">
        <v>50</v>
      </c>
      <c r="G812" s="107">
        <f>ROUND(E812*(1+IF(ABS(F812)&lt;=1,F812,F812/100)),2)</f>
        <v/>
      </c>
      <c r="H812" s="105" t="n">
        <v>15</v>
      </c>
      <c r="I812" s="105" t="n">
        <v>5</v>
      </c>
      <c r="J812" s="105">
        <f>IF(OR(UPPER(C812)="SERVIÇO",UPPER(C812)="SERVICO"),"SERVIÇO",IF(H812&lt;=0,"ZERADO",IF(H812&lt;=I812,"ESTOQUE BAIXO","NORMAL")))</f>
        <v/>
      </c>
      <c r="K812" s="107">
        <f>IF(OR(UPPER(C812)="SERVIÇO",UPPER(C812)="SERVICO"),0,N(H812)*N(E812))</f>
        <v/>
      </c>
      <c r="L812" s="107">
        <f>IF(OR(UPPER(C812)="SERVIÇO",UPPER(C812)="SERVICO"),0,N(H812)*N(G812))</f>
        <v/>
      </c>
      <c r="M812" s="107">
        <f>IF(OR(UPPER(C812)="SERVIÇO",UPPER(C812)="SERVICO"),0,L812-K812)</f>
        <v/>
      </c>
    </row>
    <row r="813" ht="15" customHeight="1">
      <c r="B813" s="105" t="n">
        <v>802</v>
      </c>
      <c r="C813" s="105" t="inlineStr">
        <is>
          <t>Produto</t>
        </is>
      </c>
      <c r="D813" s="106" t="inlineStr">
        <is>
          <t>Garrafa squeeze recreativo vermelho</t>
        </is>
      </c>
      <c r="E813" s="107" t="n">
        <v>29.99</v>
      </c>
      <c r="F813" s="108" t="n">
        <v>50</v>
      </c>
      <c r="G813" s="107">
        <f>ROUND(E813*(1+IF(ABS(F813)&lt;=1,F813,F813/100)),2)</f>
        <v/>
      </c>
      <c r="H813" s="105" t="n">
        <v>15</v>
      </c>
      <c r="I813" s="105" t="n">
        <v>5</v>
      </c>
      <c r="J813" s="105">
        <f>IF(OR(UPPER(C813)="SERVIÇO",UPPER(C813)="SERVICO"),"SERVIÇO",IF(H813&lt;=0,"ZERADO",IF(H813&lt;=I813,"ESTOQUE BAIXO","NORMAL")))</f>
        <v/>
      </c>
      <c r="K813" s="107">
        <f>IF(OR(UPPER(C813)="SERVIÇO",UPPER(C813)="SERVICO"),0,N(H813)*N(E813))</f>
        <v/>
      </c>
      <c r="L813" s="107">
        <f>IF(OR(UPPER(C813)="SERVIÇO",UPPER(C813)="SERVICO"),0,N(H813)*N(G813))</f>
        <v/>
      </c>
      <c r="M813" s="107">
        <f>IF(OR(UPPER(C813)="SERVIÇO",UPPER(C813)="SERVICO"),0,L813-K813)</f>
        <v/>
      </c>
    </row>
    <row r="814" ht="15" customHeight="1">
      <c r="B814" s="105" t="n">
        <v>803</v>
      </c>
      <c r="C814" s="105" t="inlineStr">
        <is>
          <t>Produto</t>
        </is>
      </c>
      <c r="D814" s="106" t="inlineStr">
        <is>
          <t>Skate iniciante branco</t>
        </is>
      </c>
      <c r="E814" s="107" t="n">
        <v>452.99</v>
      </c>
      <c r="F814" s="108" t="n">
        <v>50</v>
      </c>
      <c r="G814" s="107">
        <f>ROUND(E814*(1+IF(ABS(F814)&lt;=1,F814,F814/100)),2)</f>
        <v/>
      </c>
      <c r="H814" s="105" t="n">
        <v>15</v>
      </c>
      <c r="I814" s="105" t="n">
        <v>5</v>
      </c>
      <c r="J814" s="105">
        <f>IF(OR(UPPER(C814)="SERVIÇO",UPPER(C814)="SERVICO"),"SERVIÇO",IF(H814&lt;=0,"ZERADO",IF(H814&lt;=I814,"ESTOQUE BAIXO","NORMAL")))</f>
        <v/>
      </c>
      <c r="K814" s="107">
        <f>IF(OR(UPPER(C814)="SERVIÇO",UPPER(C814)="SERVICO"),0,N(H814)*N(E814))</f>
        <v/>
      </c>
      <c r="L814" s="107">
        <f>IF(OR(UPPER(C814)="SERVIÇO",UPPER(C814)="SERVICO"),0,N(H814)*N(G814))</f>
        <v/>
      </c>
      <c r="M814" s="107">
        <f>IF(OR(UPPER(C814)="SERVIÇO",UPPER(C814)="SERVICO"),0,L814-K814)</f>
        <v/>
      </c>
    </row>
    <row r="815" ht="15" customHeight="1">
      <c r="B815" s="105" t="n">
        <v>804</v>
      </c>
      <c r="C815" s="105" t="inlineStr">
        <is>
          <t>Produto</t>
        </is>
      </c>
      <c r="D815" s="106" t="inlineStr">
        <is>
          <t>Luva de goleiro reforçado verde tam. 44</t>
        </is>
      </c>
      <c r="E815" s="107" t="n">
        <v>178.25</v>
      </c>
      <c r="F815" s="108" t="n">
        <v>50</v>
      </c>
      <c r="G815" s="107">
        <f>ROUND(E815*(1+IF(ABS(F815)&lt;=1,F815,F815/100)),2)</f>
        <v/>
      </c>
      <c r="H815" s="105" t="n">
        <v>15</v>
      </c>
      <c r="I815" s="105" t="n">
        <v>5</v>
      </c>
      <c r="J815" s="105">
        <f>IF(OR(UPPER(C815)="SERVIÇO",UPPER(C815)="SERVICO"),"SERVIÇO",IF(H815&lt;=0,"ZERADO",IF(H815&lt;=I815,"ESTOQUE BAIXO","NORMAL")))</f>
        <v/>
      </c>
      <c r="K815" s="107">
        <f>IF(OR(UPPER(C815)="SERVIÇO",UPPER(C815)="SERVICO"),0,N(H815)*N(E815))</f>
        <v/>
      </c>
      <c r="L815" s="107">
        <f>IF(OR(UPPER(C815)="SERVIÇO",UPPER(C815)="SERVICO"),0,N(H815)*N(G815))</f>
        <v/>
      </c>
      <c r="M815" s="107">
        <f>IF(OR(UPPER(C815)="SERVIÇO",UPPER(C815)="SERVICO"),0,L815-K815)</f>
        <v/>
      </c>
    </row>
    <row r="816" ht="15" customHeight="1">
      <c r="B816" s="105" t="n">
        <v>805</v>
      </c>
      <c r="C816" s="105" t="inlineStr">
        <is>
          <t>Produto</t>
        </is>
      </c>
      <c r="D816" s="106" t="inlineStr">
        <is>
          <t>Nadadeira recreativo vermelho</t>
        </is>
      </c>
      <c r="E816" s="107" t="n">
        <v>102.55</v>
      </c>
      <c r="F816" s="108" t="n">
        <v>50</v>
      </c>
      <c r="G816" s="107">
        <f>ROUND(E816*(1+IF(ABS(F816)&lt;=1,F816,F816/100)),2)</f>
        <v/>
      </c>
      <c r="H816" s="105" t="n">
        <v>15</v>
      </c>
      <c r="I816" s="105" t="n">
        <v>5</v>
      </c>
      <c r="J816" s="105">
        <f>IF(OR(UPPER(C816)="SERVIÇO",UPPER(C816)="SERVICO"),"SERVIÇO",IF(H816&lt;=0,"ZERADO",IF(H816&lt;=I816,"ESTOQUE BAIXO","NORMAL")))</f>
        <v/>
      </c>
      <c r="K816" s="107">
        <f>IF(OR(UPPER(C816)="SERVIÇO",UPPER(C816)="SERVICO"),0,N(H816)*N(E816))</f>
        <v/>
      </c>
      <c r="L816" s="107">
        <f>IF(OR(UPPER(C816)="SERVIÇO",UPPER(C816)="SERVICO"),0,N(H816)*N(G816))</f>
        <v/>
      </c>
      <c r="M816" s="107">
        <f>IF(OR(UPPER(C816)="SERVIÇO",UPPER(C816)="SERVICO"),0,L816-K816)</f>
        <v/>
      </c>
    </row>
    <row r="817" ht="15" customHeight="1">
      <c r="B817" s="105" t="n">
        <v>806</v>
      </c>
      <c r="C817" s="105" t="inlineStr">
        <is>
          <t>Produto</t>
        </is>
      </c>
      <c r="D817" s="106" t="inlineStr">
        <is>
          <t>Skate treino branco</t>
        </is>
      </c>
      <c r="E817" s="107" t="n">
        <v>376.7</v>
      </c>
      <c r="F817" s="108" t="n">
        <v>50</v>
      </c>
      <c r="G817" s="107">
        <f>ROUND(E817*(1+IF(ABS(F817)&lt;=1,F817,F817/100)),2)</f>
        <v/>
      </c>
      <c r="H817" s="105" t="n">
        <v>15</v>
      </c>
      <c r="I817" s="105" t="n">
        <v>5</v>
      </c>
      <c r="J817" s="105">
        <f>IF(OR(UPPER(C817)="SERVIÇO",UPPER(C817)="SERVICO"),"SERVIÇO",IF(H817&lt;=0,"ZERADO",IF(H817&lt;=I817,"ESTOQUE BAIXO","NORMAL")))</f>
        <v/>
      </c>
      <c r="K817" s="107">
        <f>IF(OR(UPPER(C817)="SERVIÇO",UPPER(C817)="SERVICO"),0,N(H817)*N(E817))</f>
        <v/>
      </c>
      <c r="L817" s="107">
        <f>IF(OR(UPPER(C817)="SERVIÇO",UPPER(C817)="SERVICO"),0,N(H817)*N(G817))</f>
        <v/>
      </c>
      <c r="M817" s="107">
        <f>IF(OR(UPPER(C817)="SERVIÇO",UPPER(C817)="SERVICO"),0,L817-K817)</f>
        <v/>
      </c>
    </row>
    <row r="818" ht="15" customHeight="1">
      <c r="B818" s="105" t="n">
        <v>807</v>
      </c>
      <c r="C818" s="105" t="inlineStr">
        <is>
          <t>Produto</t>
        </is>
      </c>
      <c r="D818" s="106" t="inlineStr">
        <is>
          <t>Luva de boxe alta performance cinza tam. 38</t>
        </is>
      </c>
      <c r="E818" s="107" t="n">
        <v>250.48</v>
      </c>
      <c r="F818" s="108" t="n">
        <v>50</v>
      </c>
      <c r="G818" s="107">
        <f>ROUND(E818*(1+IF(ABS(F818)&lt;=1,F818,F818/100)),2)</f>
        <v/>
      </c>
      <c r="H818" s="105" t="n">
        <v>15</v>
      </c>
      <c r="I818" s="105" t="n">
        <v>5</v>
      </c>
      <c r="J818" s="105">
        <f>IF(OR(UPPER(C818)="SERVIÇO",UPPER(C818)="SERVICO"),"SERVIÇO",IF(H818&lt;=0,"ZERADO",IF(H818&lt;=I818,"ESTOQUE BAIXO","NORMAL")))</f>
        <v/>
      </c>
      <c r="K818" s="107">
        <f>IF(OR(UPPER(C818)="SERVIÇO",UPPER(C818)="SERVICO"),0,N(H818)*N(E818))</f>
        <v/>
      </c>
      <c r="L818" s="107">
        <f>IF(OR(UPPER(C818)="SERVIÇO",UPPER(C818)="SERVICO"),0,N(H818)*N(G818))</f>
        <v/>
      </c>
      <c r="M818" s="107">
        <f>IF(OR(UPPER(C818)="SERVIÇO",UPPER(C818)="SERVICO"),0,L818-K818)</f>
        <v/>
      </c>
    </row>
    <row r="819" ht="15" customHeight="1">
      <c r="B819" s="105" t="n">
        <v>808</v>
      </c>
      <c r="C819" s="105" t="inlineStr">
        <is>
          <t>Produto</t>
        </is>
      </c>
      <c r="D819" s="106" t="inlineStr">
        <is>
          <t>Monitor cardíaco adulto laranja</t>
        </is>
      </c>
      <c r="E819" s="107" t="n">
        <v>133.29</v>
      </c>
      <c r="F819" s="108" t="n">
        <v>50</v>
      </c>
      <c r="G819" s="107">
        <f>ROUND(E819*(1+IF(ABS(F819)&lt;=1,F819,F819/100)),2)</f>
        <v/>
      </c>
      <c r="H819" s="105" t="n">
        <v>15</v>
      </c>
      <c r="I819" s="105" t="n">
        <v>5</v>
      </c>
      <c r="J819" s="105">
        <f>IF(OR(UPPER(C819)="SERVIÇO",UPPER(C819)="SERVICO"),"SERVIÇO",IF(H819&lt;=0,"ZERADO",IF(H819&lt;=I819,"ESTOQUE BAIXO","NORMAL")))</f>
        <v/>
      </c>
      <c r="K819" s="107">
        <f>IF(OR(UPPER(C819)="SERVIÇO",UPPER(C819)="SERVICO"),0,N(H819)*N(E819))</f>
        <v/>
      </c>
      <c r="L819" s="107">
        <f>IF(OR(UPPER(C819)="SERVIÇO",UPPER(C819)="SERVICO"),0,N(H819)*N(G819))</f>
        <v/>
      </c>
      <c r="M819" s="107">
        <f>IF(OR(UPPER(C819)="SERVIÇO",UPPER(C819)="SERVICO"),0,L819-K819)</f>
        <v/>
      </c>
    </row>
    <row r="820" ht="15" customHeight="1">
      <c r="B820" s="105" t="n">
        <v>809</v>
      </c>
      <c r="C820" s="105" t="inlineStr">
        <is>
          <t>Produto</t>
        </is>
      </c>
      <c r="D820" s="106" t="inlineStr">
        <is>
          <t>Prancha de natação reforçado cinza</t>
        </is>
      </c>
      <c r="E820" s="107" t="n">
        <v>85.45999999999999</v>
      </c>
      <c r="F820" s="108" t="n">
        <v>50</v>
      </c>
      <c r="G820" s="107">
        <f>ROUND(E820*(1+IF(ABS(F820)&lt;=1,F820,F820/100)),2)</f>
        <v/>
      </c>
      <c r="H820" s="105" t="n">
        <v>15</v>
      </c>
      <c r="I820" s="105" t="n">
        <v>5</v>
      </c>
      <c r="J820" s="105">
        <f>IF(OR(UPPER(C820)="SERVIÇO",UPPER(C820)="SERVICO"),"SERVIÇO",IF(H820&lt;=0,"ZERADO",IF(H820&lt;=I820,"ESTOQUE BAIXO","NORMAL")))</f>
        <v/>
      </c>
      <c r="K820" s="107">
        <f>IF(OR(UPPER(C820)="SERVIÇO",UPPER(C820)="SERVICO"),0,N(H820)*N(E820))</f>
        <v/>
      </c>
      <c r="L820" s="107">
        <f>IF(OR(UPPER(C820)="SERVIÇO",UPPER(C820)="SERVICO"),0,N(H820)*N(G820))</f>
        <v/>
      </c>
      <c r="M820" s="107">
        <f>IF(OR(UPPER(C820)="SERVIÇO",UPPER(C820)="SERVICO"),0,L820-K820)</f>
        <v/>
      </c>
    </row>
    <row r="821" ht="15" customHeight="1">
      <c r="B821" s="105" t="n">
        <v>810</v>
      </c>
      <c r="C821" s="105" t="inlineStr">
        <is>
          <t>Produto</t>
        </is>
      </c>
      <c r="D821" s="106" t="inlineStr">
        <is>
          <t>Camiseta esportiva premium vermelho tam. P</t>
        </is>
      </c>
      <c r="E821" s="107" t="n">
        <v>88.38</v>
      </c>
      <c r="F821" s="108" t="n">
        <v>50</v>
      </c>
      <c r="G821" s="107">
        <f>ROUND(E821*(1+IF(ABS(F821)&lt;=1,F821,F821/100)),2)</f>
        <v/>
      </c>
      <c r="H821" s="105" t="n">
        <v>15</v>
      </c>
      <c r="I821" s="105" t="n">
        <v>5</v>
      </c>
      <c r="J821" s="105">
        <f>IF(OR(UPPER(C821)="SERVIÇO",UPPER(C821)="SERVICO"),"SERVIÇO",IF(H821&lt;=0,"ZERADO",IF(H821&lt;=I821,"ESTOQUE BAIXO","NORMAL")))</f>
        <v/>
      </c>
      <c r="K821" s="107">
        <f>IF(OR(UPPER(C821)="SERVIÇO",UPPER(C821)="SERVICO"),0,N(H821)*N(E821))</f>
        <v/>
      </c>
      <c r="L821" s="107">
        <f>IF(OR(UPPER(C821)="SERVIÇO",UPPER(C821)="SERVICO"),0,N(H821)*N(G821))</f>
        <v/>
      </c>
      <c r="M821" s="107">
        <f>IF(OR(UPPER(C821)="SERVIÇO",UPPER(C821)="SERVICO"),0,L821-K821)</f>
        <v/>
      </c>
    </row>
    <row r="822" ht="15" customHeight="1">
      <c r="B822" s="105" t="n">
        <v>811</v>
      </c>
      <c r="C822" s="105" t="inlineStr">
        <is>
          <t>Produto</t>
        </is>
      </c>
      <c r="D822" s="106" t="inlineStr">
        <is>
          <t>Garrafa squeeze ventilado preto</t>
        </is>
      </c>
      <c r="E822" s="107" t="n">
        <v>27.23</v>
      </c>
      <c r="F822" s="108" t="n">
        <v>50</v>
      </c>
      <c r="G822" s="107">
        <f>ROUND(E822*(1+IF(ABS(F822)&lt;=1,F822,F822/100)),2)</f>
        <v/>
      </c>
      <c r="H822" s="105" t="n">
        <v>15</v>
      </c>
      <c r="I822" s="105" t="n">
        <v>5</v>
      </c>
      <c r="J822" s="105">
        <f>IF(OR(UPPER(C822)="SERVIÇO",UPPER(C822)="SERVICO"),"SERVIÇO",IF(H822&lt;=0,"ZERADO",IF(H822&lt;=I822,"ESTOQUE BAIXO","NORMAL")))</f>
        <v/>
      </c>
      <c r="K822" s="107">
        <f>IF(OR(UPPER(C822)="SERVIÇO",UPPER(C822)="SERVICO"),0,N(H822)*N(E822))</f>
        <v/>
      </c>
      <c r="L822" s="107">
        <f>IF(OR(UPPER(C822)="SERVIÇO",UPPER(C822)="SERVICO"),0,N(H822)*N(G822))</f>
        <v/>
      </c>
      <c r="M822" s="107">
        <f>IF(OR(UPPER(C822)="SERVIÇO",UPPER(C822)="SERVICO"),0,L822-K822)</f>
        <v/>
      </c>
    </row>
    <row r="823" ht="15" customHeight="1">
      <c r="B823" s="105" t="n">
        <v>812</v>
      </c>
      <c r="C823" s="105" t="inlineStr">
        <is>
          <t>Produto</t>
        </is>
      </c>
      <c r="D823" s="106" t="inlineStr">
        <is>
          <t>Bicicleta urbana versão 2026 verde</t>
        </is>
      </c>
      <c r="E823" s="107" t="n">
        <v>3241.72</v>
      </c>
      <c r="F823" s="108" t="n">
        <v>50</v>
      </c>
      <c r="G823" s="107">
        <f>ROUND(E823*(1+IF(ABS(F823)&lt;=1,F823,F823/100)),2)</f>
        <v/>
      </c>
      <c r="H823" s="105" t="n">
        <v>15</v>
      </c>
      <c r="I823" s="105" t="n">
        <v>5</v>
      </c>
      <c r="J823" s="105">
        <f>IF(OR(UPPER(C823)="SERVIÇO",UPPER(C823)="SERVICO"),"SERVIÇO",IF(H823&lt;=0,"ZERADO",IF(H823&lt;=I823,"ESTOQUE BAIXO","NORMAL")))</f>
        <v/>
      </c>
      <c r="K823" s="107">
        <f>IF(OR(UPPER(C823)="SERVIÇO",UPPER(C823)="SERVICO"),0,N(H823)*N(E823))</f>
        <v/>
      </c>
      <c r="L823" s="107">
        <f>IF(OR(UPPER(C823)="SERVIÇO",UPPER(C823)="SERVICO"),0,N(H823)*N(G823))</f>
        <v/>
      </c>
      <c r="M823" s="107">
        <f>IF(OR(UPPER(C823)="SERVIÇO",UPPER(C823)="SERVICO"),0,L823-K823)</f>
        <v/>
      </c>
    </row>
    <row r="824" ht="15" customHeight="1">
      <c r="B824" s="105" t="n">
        <v>813</v>
      </c>
      <c r="C824" s="105" t="inlineStr">
        <is>
          <t>Produto</t>
        </is>
      </c>
      <c r="D824" s="106" t="inlineStr">
        <is>
          <t>Luva de goleiro compacto cinza tam. P</t>
        </is>
      </c>
      <c r="E824" s="107" t="n">
        <v>224.06</v>
      </c>
      <c r="F824" s="108" t="n">
        <v>50</v>
      </c>
      <c r="G824" s="107">
        <f>ROUND(E824*(1+IF(ABS(F824)&lt;=1,F824,F824/100)),2)</f>
        <v/>
      </c>
      <c r="H824" s="105" t="n">
        <v>15</v>
      </c>
      <c r="I824" s="105" t="n">
        <v>5</v>
      </c>
      <c r="J824" s="105">
        <f>IF(OR(UPPER(C824)="SERVIÇO",UPPER(C824)="SERVICO"),"SERVIÇO",IF(H824&lt;=0,"ZERADO",IF(H824&lt;=I824,"ESTOQUE BAIXO","NORMAL")))</f>
        <v/>
      </c>
      <c r="K824" s="107">
        <f>IF(OR(UPPER(C824)="SERVIÇO",UPPER(C824)="SERVICO"),0,N(H824)*N(E824))</f>
        <v/>
      </c>
      <c r="L824" s="107">
        <f>IF(OR(UPPER(C824)="SERVIÇO",UPPER(C824)="SERVICO"),0,N(H824)*N(G824))</f>
        <v/>
      </c>
      <c r="M824" s="107">
        <f>IF(OR(UPPER(C824)="SERVIÇO",UPPER(C824)="SERVICO"),0,L824-K824)</f>
        <v/>
      </c>
    </row>
    <row r="825" ht="15" customHeight="1">
      <c r="B825" s="105" t="n">
        <v>814</v>
      </c>
      <c r="C825" s="105" t="inlineStr">
        <is>
          <t>Produto</t>
        </is>
      </c>
      <c r="D825" s="106" t="inlineStr">
        <is>
          <t>Bloco para yoga modelo básico preto</t>
        </is>
      </c>
      <c r="E825" s="107" t="n">
        <v>9.44</v>
      </c>
      <c r="F825" s="108" t="n">
        <v>50</v>
      </c>
      <c r="G825" s="107">
        <f>ROUND(E825*(1+IF(ABS(F825)&lt;=1,F825,F825/100)),2)</f>
        <v/>
      </c>
      <c r="H825" s="105" t="n">
        <v>15</v>
      </c>
      <c r="I825" s="105" t="n">
        <v>5</v>
      </c>
      <c r="J825" s="105">
        <f>IF(OR(UPPER(C825)="SERVIÇO",UPPER(C825)="SERVICO"),"SERVIÇO",IF(H825&lt;=0,"ZERADO",IF(H825&lt;=I825,"ESTOQUE BAIXO","NORMAL")))</f>
        <v/>
      </c>
      <c r="K825" s="107">
        <f>IF(OR(UPPER(C825)="SERVIÇO",UPPER(C825)="SERVICO"),0,N(H825)*N(E825))</f>
        <v/>
      </c>
      <c r="L825" s="107">
        <f>IF(OR(UPPER(C825)="SERVIÇO",UPPER(C825)="SERVICO"),0,N(H825)*N(G825))</f>
        <v/>
      </c>
      <c r="M825" s="107">
        <f>IF(OR(UPPER(C825)="SERVIÇO",UPPER(C825)="SERVICO"),0,L825-K825)</f>
        <v/>
      </c>
    </row>
    <row r="826" ht="15" customHeight="1">
      <c r="B826" s="105" t="n">
        <v>815</v>
      </c>
      <c r="C826" s="105" t="inlineStr">
        <is>
          <t>Produto</t>
        </is>
      </c>
      <c r="D826" s="106" t="inlineStr">
        <is>
          <t>Mochila esportiva versão 2026 rosa</t>
        </is>
      </c>
      <c r="E826" s="107" t="n">
        <v>205.25</v>
      </c>
      <c r="F826" s="108" t="n">
        <v>50</v>
      </c>
      <c r="G826" s="107">
        <f>ROUND(E826*(1+IF(ABS(F826)&lt;=1,F826,F826/100)),2)</f>
        <v/>
      </c>
      <c r="H826" s="105" t="n">
        <v>15</v>
      </c>
      <c r="I826" s="105" t="n">
        <v>5</v>
      </c>
      <c r="J826" s="105">
        <f>IF(OR(UPPER(C826)="SERVIÇO",UPPER(C826)="SERVICO"),"SERVIÇO",IF(H826&lt;=0,"ZERADO",IF(H826&lt;=I826,"ESTOQUE BAIXO","NORMAL")))</f>
        <v/>
      </c>
      <c r="K826" s="107">
        <f>IF(OR(UPPER(C826)="SERVIÇO",UPPER(C826)="SERVICO"),0,N(H826)*N(E826))</f>
        <v/>
      </c>
      <c r="L826" s="107">
        <f>IF(OR(UPPER(C826)="SERVIÇO",UPPER(C826)="SERVICO"),0,N(H826)*N(G826))</f>
        <v/>
      </c>
      <c r="M826" s="107">
        <f>IF(OR(UPPER(C826)="SERVIÇO",UPPER(C826)="SERVICO"),0,L826-K826)</f>
        <v/>
      </c>
    </row>
    <row r="827" ht="15" customHeight="1">
      <c r="B827" s="105" t="n">
        <v>816</v>
      </c>
      <c r="C827" s="105" t="inlineStr">
        <is>
          <t>Produto</t>
        </is>
      </c>
      <c r="D827" s="106" t="inlineStr">
        <is>
          <t>Touca de natação unissex verde tam. GG</t>
        </is>
      </c>
      <c r="E827" s="107" t="n">
        <v>23.95</v>
      </c>
      <c r="F827" s="108" t="n">
        <v>50</v>
      </c>
      <c r="G827" s="107">
        <f>ROUND(E827*(1+IF(ABS(F827)&lt;=1,F827,F827/100)),2)</f>
        <v/>
      </c>
      <c r="H827" s="105" t="n">
        <v>15</v>
      </c>
      <c r="I827" s="105" t="n">
        <v>5</v>
      </c>
      <c r="J827" s="105">
        <f>IF(OR(UPPER(C827)="SERVIÇO",UPPER(C827)="SERVICO"),"SERVIÇO",IF(H827&lt;=0,"ZERADO",IF(H827&lt;=I827,"ESTOQUE BAIXO","NORMAL")))</f>
        <v/>
      </c>
      <c r="K827" s="107">
        <f>IF(OR(UPPER(C827)="SERVIÇO",UPPER(C827)="SERVICO"),0,N(H827)*N(E827))</f>
        <v/>
      </c>
      <c r="L827" s="107">
        <f>IF(OR(UPPER(C827)="SERVIÇO",UPPER(C827)="SERVICO"),0,N(H827)*N(G827))</f>
        <v/>
      </c>
      <c r="M827" s="107">
        <f>IF(OR(UPPER(C827)="SERVIÇO",UPPER(C827)="SERVICO"),0,L827-K827)</f>
        <v/>
      </c>
    </row>
    <row r="828" ht="15" customHeight="1">
      <c r="B828" s="105" t="n">
        <v>817</v>
      </c>
      <c r="C828" s="105" t="inlineStr">
        <is>
          <t>Produto</t>
        </is>
      </c>
      <c r="D828" s="106" t="inlineStr">
        <is>
          <t>Regata esportiva leve vermelho tam. 42</t>
        </is>
      </c>
      <c r="E828" s="107" t="n">
        <v>22.46</v>
      </c>
      <c r="F828" s="108" t="n">
        <v>50</v>
      </c>
      <c r="G828" s="107">
        <f>ROUND(E828*(1+IF(ABS(F828)&lt;=1,F828,F828/100)),2)</f>
        <v/>
      </c>
      <c r="H828" s="105" t="n">
        <v>15</v>
      </c>
      <c r="I828" s="105" t="n">
        <v>5</v>
      </c>
      <c r="J828" s="105">
        <f>IF(OR(UPPER(C828)="SERVIÇO",UPPER(C828)="SERVICO"),"SERVIÇO",IF(H828&lt;=0,"ZERADO",IF(H828&lt;=I828,"ESTOQUE BAIXO","NORMAL")))</f>
        <v/>
      </c>
      <c r="K828" s="107">
        <f>IF(OR(UPPER(C828)="SERVIÇO",UPPER(C828)="SERVICO"),0,N(H828)*N(E828))</f>
        <v/>
      </c>
      <c r="L828" s="107">
        <f>IF(OR(UPPER(C828)="SERVIÇO",UPPER(C828)="SERVICO"),0,N(H828)*N(G828))</f>
        <v/>
      </c>
      <c r="M828" s="107">
        <f>IF(OR(UPPER(C828)="SERVIÇO",UPPER(C828)="SERVICO"),0,L828-K828)</f>
        <v/>
      </c>
    </row>
    <row r="829" ht="15" customHeight="1">
      <c r="B829" s="105" t="n">
        <v>818</v>
      </c>
      <c r="C829" s="105" t="inlineStr">
        <is>
          <t>Produto</t>
        </is>
      </c>
      <c r="D829" s="106" t="inlineStr">
        <is>
          <t>Bola de vôlei premium cinza</t>
        </is>
      </c>
      <c r="E829" s="107" t="n">
        <v>34.87</v>
      </c>
      <c r="F829" s="108" t="n">
        <v>50</v>
      </c>
      <c r="G829" s="107">
        <f>ROUND(E829*(1+IF(ABS(F829)&lt;=1,F829,F829/100)),2)</f>
        <v/>
      </c>
      <c r="H829" s="105" t="n">
        <v>15</v>
      </c>
      <c r="I829" s="105" t="n">
        <v>5</v>
      </c>
      <c r="J829" s="105">
        <f>IF(OR(UPPER(C829)="SERVIÇO",UPPER(C829)="SERVICO"),"SERVIÇO",IF(H829&lt;=0,"ZERADO",IF(H829&lt;=I829,"ESTOQUE BAIXO","NORMAL")))</f>
        <v/>
      </c>
      <c r="K829" s="107">
        <f>IF(OR(UPPER(C829)="SERVIÇO",UPPER(C829)="SERVICO"),0,N(H829)*N(E829))</f>
        <v/>
      </c>
      <c r="L829" s="107">
        <f>IF(OR(UPPER(C829)="SERVIÇO",UPPER(C829)="SERVICO"),0,N(H829)*N(G829))</f>
        <v/>
      </c>
      <c r="M829" s="107">
        <f>IF(OR(UPPER(C829)="SERVIÇO",UPPER(C829)="SERVICO"),0,L829-K829)</f>
        <v/>
      </c>
    </row>
    <row r="830" ht="15" customHeight="1">
      <c r="B830" s="105" t="n">
        <v>819</v>
      </c>
      <c r="C830" s="105" t="inlineStr">
        <is>
          <t>Produto</t>
        </is>
      </c>
      <c r="D830" s="106" t="inlineStr">
        <is>
          <t>Luva de boxe adulto branco tam. 40</t>
        </is>
      </c>
      <c r="E830" s="107" t="n">
        <v>225.04</v>
      </c>
      <c r="F830" s="108" t="n">
        <v>50</v>
      </c>
      <c r="G830" s="107">
        <f>ROUND(E830*(1+IF(ABS(F830)&lt;=1,F830,F830/100)),2)</f>
        <v/>
      </c>
      <c r="H830" s="105" t="n">
        <v>15</v>
      </c>
      <c r="I830" s="105" t="n">
        <v>5</v>
      </c>
      <c r="J830" s="105">
        <f>IF(OR(UPPER(C830)="SERVIÇO",UPPER(C830)="SERVICO"),"SERVIÇO",IF(H830&lt;=0,"ZERADO",IF(H830&lt;=I830,"ESTOQUE BAIXO","NORMAL")))</f>
        <v/>
      </c>
      <c r="K830" s="107">
        <f>IF(OR(UPPER(C830)="SERVIÇO",UPPER(C830)="SERVICO"),0,N(H830)*N(E830))</f>
        <v/>
      </c>
      <c r="L830" s="107">
        <f>IF(OR(UPPER(C830)="SERVIÇO",UPPER(C830)="SERVICO"),0,N(H830)*N(G830))</f>
        <v/>
      </c>
      <c r="M830" s="107">
        <f>IF(OR(UPPER(C830)="SERVIÇO",UPPER(C830)="SERVICO"),0,L830-K830)</f>
        <v/>
      </c>
    </row>
    <row r="831" ht="15" customHeight="1">
      <c r="B831" s="105" t="n">
        <v>820</v>
      </c>
      <c r="C831" s="105" t="inlineStr">
        <is>
          <t>Produto</t>
        </is>
      </c>
      <c r="D831" s="106" t="inlineStr">
        <is>
          <t>Chuteira society recreativo branco tam. 44</t>
        </is>
      </c>
      <c r="E831" s="107" t="n">
        <v>78.25</v>
      </c>
      <c r="F831" s="108" t="n">
        <v>50</v>
      </c>
      <c r="G831" s="107">
        <f>ROUND(E831*(1+IF(ABS(F831)&lt;=1,F831,F831/100)),2)</f>
        <v/>
      </c>
      <c r="H831" s="105" t="n">
        <v>15</v>
      </c>
      <c r="I831" s="105" t="n">
        <v>5</v>
      </c>
      <c r="J831" s="105">
        <f>IF(OR(UPPER(C831)="SERVIÇO",UPPER(C831)="SERVICO"),"SERVIÇO",IF(H831&lt;=0,"ZERADO",IF(H831&lt;=I831,"ESTOQUE BAIXO","NORMAL")))</f>
        <v/>
      </c>
      <c r="K831" s="107">
        <f>IF(OR(UPPER(C831)="SERVIÇO",UPPER(C831)="SERVICO"),0,N(H831)*N(E831))</f>
        <v/>
      </c>
      <c r="L831" s="107">
        <f>IF(OR(UPPER(C831)="SERVIÇO",UPPER(C831)="SERVICO"),0,N(H831)*N(G831))</f>
        <v/>
      </c>
      <c r="M831" s="107">
        <f>IF(OR(UPPER(C831)="SERVIÇO",UPPER(C831)="SERVICO"),0,L831-K831)</f>
        <v/>
      </c>
    </row>
    <row r="832" ht="15" customHeight="1">
      <c r="B832" s="105" t="n">
        <v>821</v>
      </c>
      <c r="C832" s="105" t="inlineStr">
        <is>
          <t>Produto</t>
        </is>
      </c>
      <c r="D832" s="106" t="inlineStr">
        <is>
          <t>Touca de natação iniciante rosa tam. 44</t>
        </is>
      </c>
      <c r="E832" s="107" t="n">
        <v>37</v>
      </c>
      <c r="F832" s="108" t="n">
        <v>50</v>
      </c>
      <c r="G832" s="107">
        <f>ROUND(E832*(1+IF(ABS(F832)&lt;=1,F832,F832/100)),2)</f>
        <v/>
      </c>
      <c r="H832" s="105" t="n">
        <v>15</v>
      </c>
      <c r="I832" s="105" t="n">
        <v>5</v>
      </c>
      <c r="J832" s="105">
        <f>IF(OR(UPPER(C832)="SERVIÇO",UPPER(C832)="SERVICO"),"SERVIÇO",IF(H832&lt;=0,"ZERADO",IF(H832&lt;=I832,"ESTOQUE BAIXO","NORMAL")))</f>
        <v/>
      </c>
      <c r="K832" s="107">
        <f>IF(OR(UPPER(C832)="SERVIÇO",UPPER(C832)="SERVICO"),0,N(H832)*N(E832))</f>
        <v/>
      </c>
      <c r="L832" s="107">
        <f>IF(OR(UPPER(C832)="SERVIÇO",UPPER(C832)="SERVICO"),0,N(H832)*N(G832))</f>
        <v/>
      </c>
      <c r="M832" s="107">
        <f>IF(OR(UPPER(C832)="SERVIÇO",UPPER(C832)="SERVICO"),0,L832-K832)</f>
        <v/>
      </c>
    </row>
    <row r="833" ht="15" customHeight="1">
      <c r="B833" s="105" t="n">
        <v>822</v>
      </c>
      <c r="C833" s="105" t="inlineStr">
        <is>
          <t>Produto</t>
        </is>
      </c>
      <c r="D833" s="106" t="inlineStr">
        <is>
          <t>Raquete de beach tennis resistente verde</t>
        </is>
      </c>
      <c r="E833" s="107" t="n">
        <v>749.75</v>
      </c>
      <c r="F833" s="108" t="n">
        <v>50</v>
      </c>
      <c r="G833" s="107">
        <f>ROUND(E833*(1+IF(ABS(F833)&lt;=1,F833,F833/100)),2)</f>
        <v/>
      </c>
      <c r="H833" s="105" t="n">
        <v>15</v>
      </c>
      <c r="I833" s="105" t="n">
        <v>5</v>
      </c>
      <c r="J833" s="105">
        <f>IF(OR(UPPER(C833)="SERVIÇO",UPPER(C833)="SERVICO"),"SERVIÇO",IF(H833&lt;=0,"ZERADO",IF(H833&lt;=I833,"ESTOQUE BAIXO","NORMAL")))</f>
        <v/>
      </c>
      <c r="K833" s="107">
        <f>IF(OR(UPPER(C833)="SERVIÇO",UPPER(C833)="SERVICO"),0,N(H833)*N(E833))</f>
        <v/>
      </c>
      <c r="L833" s="107">
        <f>IF(OR(UPPER(C833)="SERVIÇO",UPPER(C833)="SERVICO"),0,N(H833)*N(G833))</f>
        <v/>
      </c>
      <c r="M833" s="107">
        <f>IF(OR(UPPER(C833)="SERVIÇO",UPPER(C833)="SERVICO"),0,L833-K833)</f>
        <v/>
      </c>
    </row>
    <row r="834" ht="15" customHeight="1">
      <c r="B834" s="105" t="n">
        <v>823</v>
      </c>
      <c r="C834" s="105" t="inlineStr">
        <is>
          <t>Produto</t>
        </is>
      </c>
      <c r="D834" s="106" t="inlineStr">
        <is>
          <t>Monitor cardíaco resistente vermelho</t>
        </is>
      </c>
      <c r="E834" s="107" t="n">
        <v>281.04</v>
      </c>
      <c r="F834" s="108" t="n">
        <v>50</v>
      </c>
      <c r="G834" s="107">
        <f>ROUND(E834*(1+IF(ABS(F834)&lt;=1,F834,F834/100)),2)</f>
        <v/>
      </c>
      <c r="H834" s="105" t="n">
        <v>15</v>
      </c>
      <c r="I834" s="105" t="n">
        <v>5</v>
      </c>
      <c r="J834" s="105">
        <f>IF(OR(UPPER(C834)="SERVIÇO",UPPER(C834)="SERVICO"),"SERVIÇO",IF(H834&lt;=0,"ZERADO",IF(H834&lt;=I834,"ESTOQUE BAIXO","NORMAL")))</f>
        <v/>
      </c>
      <c r="K834" s="107">
        <f>IF(OR(UPPER(C834)="SERVIÇO",UPPER(C834)="SERVICO"),0,N(H834)*N(E834))</f>
        <v/>
      </c>
      <c r="L834" s="107">
        <f>IF(OR(UPPER(C834)="SERVIÇO",UPPER(C834)="SERVICO"),0,N(H834)*N(G834))</f>
        <v/>
      </c>
      <c r="M834" s="107">
        <f>IF(OR(UPPER(C834)="SERVIÇO",UPPER(C834)="SERVICO"),0,L834-K834)</f>
        <v/>
      </c>
    </row>
    <row r="835" ht="15" customHeight="1">
      <c r="B835" s="105" t="n">
        <v>824</v>
      </c>
      <c r="C835" s="105" t="inlineStr">
        <is>
          <t>Produto</t>
        </is>
      </c>
      <c r="D835" s="106" t="inlineStr">
        <is>
          <t>Caneleira de futebol profissional branco</t>
        </is>
      </c>
      <c r="E835" s="107" t="n">
        <v>29.2</v>
      </c>
      <c r="F835" s="108" t="n">
        <v>50</v>
      </c>
      <c r="G835" s="107">
        <f>ROUND(E835*(1+IF(ABS(F835)&lt;=1,F835,F835/100)),2)</f>
        <v/>
      </c>
      <c r="H835" s="105" t="n">
        <v>15</v>
      </c>
      <c r="I835" s="105" t="n">
        <v>5</v>
      </c>
      <c r="J835" s="105">
        <f>IF(OR(UPPER(C835)="SERVIÇO",UPPER(C835)="SERVICO"),"SERVIÇO",IF(H835&lt;=0,"ZERADO",IF(H835&lt;=I835,"ESTOQUE BAIXO","NORMAL")))</f>
        <v/>
      </c>
      <c r="K835" s="107">
        <f>IF(OR(UPPER(C835)="SERVIÇO",UPPER(C835)="SERVICO"),0,N(H835)*N(E835))</f>
        <v/>
      </c>
      <c r="L835" s="107">
        <f>IF(OR(UPPER(C835)="SERVIÇO",UPPER(C835)="SERVICO"),0,N(H835)*N(G835))</f>
        <v/>
      </c>
      <c r="M835" s="107">
        <f>IF(OR(UPPER(C835)="SERVIÇO",UPPER(C835)="SERVICO"),0,L835-K835)</f>
        <v/>
      </c>
    </row>
    <row r="836" ht="15" customHeight="1">
      <c r="B836" s="105" t="n">
        <v>825</v>
      </c>
      <c r="C836" s="105" t="inlineStr">
        <is>
          <t>Produto</t>
        </is>
      </c>
      <c r="D836" s="106" t="inlineStr">
        <is>
          <t>Calça legging modelo básico branco tam. 34</t>
        </is>
      </c>
      <c r="E836" s="107" t="n">
        <v>62.71</v>
      </c>
      <c r="F836" s="108" t="n">
        <v>50</v>
      </c>
      <c r="G836" s="107">
        <f>ROUND(E836*(1+IF(ABS(F836)&lt;=1,F836,F836/100)),2)</f>
        <v/>
      </c>
      <c r="H836" s="105" t="n">
        <v>15</v>
      </c>
      <c r="I836" s="105" t="n">
        <v>5</v>
      </c>
      <c r="J836" s="105">
        <f>IF(OR(UPPER(C836)="SERVIÇO",UPPER(C836)="SERVICO"),"SERVIÇO",IF(H836&lt;=0,"ZERADO",IF(H836&lt;=I836,"ESTOQUE BAIXO","NORMAL")))</f>
        <v/>
      </c>
      <c r="K836" s="107">
        <f>IF(OR(UPPER(C836)="SERVIÇO",UPPER(C836)="SERVICO"),0,N(H836)*N(E836))</f>
        <v/>
      </c>
      <c r="L836" s="107">
        <f>IF(OR(UPPER(C836)="SERVIÇO",UPPER(C836)="SERVICO"),0,N(H836)*N(G836))</f>
        <v/>
      </c>
      <c r="M836" s="107">
        <f>IF(OR(UPPER(C836)="SERVIÇO",UPPER(C836)="SERVICO"),0,L836-K836)</f>
        <v/>
      </c>
    </row>
    <row r="837" ht="15" customHeight="1">
      <c r="B837" s="105" t="n">
        <v>826</v>
      </c>
      <c r="C837" s="105" t="inlineStr">
        <is>
          <t>Produto</t>
        </is>
      </c>
      <c r="D837" s="106" t="inlineStr">
        <is>
          <t>Step de ginástica resistente rosa</t>
        </is>
      </c>
      <c r="E837" s="107" t="n">
        <v>299.13</v>
      </c>
      <c r="F837" s="108" t="n">
        <v>50</v>
      </c>
      <c r="G837" s="107">
        <f>ROUND(E837*(1+IF(ABS(F837)&lt;=1,F837,F837/100)),2)</f>
        <v/>
      </c>
      <c r="H837" s="105" t="n">
        <v>15</v>
      </c>
      <c r="I837" s="105" t="n">
        <v>5</v>
      </c>
      <c r="J837" s="105">
        <f>IF(OR(UPPER(C837)="SERVIÇO",UPPER(C837)="SERVICO"),"SERVIÇO",IF(H837&lt;=0,"ZERADO",IF(H837&lt;=I837,"ESTOQUE BAIXO","NORMAL")))</f>
        <v/>
      </c>
      <c r="K837" s="107">
        <f>IF(OR(UPPER(C837)="SERVIÇO",UPPER(C837)="SERVICO"),0,N(H837)*N(E837))</f>
        <v/>
      </c>
      <c r="L837" s="107">
        <f>IF(OR(UPPER(C837)="SERVIÇO",UPPER(C837)="SERVICO"),0,N(H837)*N(G837))</f>
        <v/>
      </c>
      <c r="M837" s="107">
        <f>IF(OR(UPPER(C837)="SERVIÇO",UPPER(C837)="SERVICO"),0,L837-K837)</f>
        <v/>
      </c>
    </row>
    <row r="838" ht="15" customHeight="1">
      <c r="B838" s="105" t="n">
        <v>827</v>
      </c>
      <c r="C838" s="105" t="inlineStr">
        <is>
          <t>Produto</t>
        </is>
      </c>
      <c r="D838" s="106" t="inlineStr">
        <is>
          <t>Step de ginástica treino branco</t>
        </is>
      </c>
      <c r="E838" s="107" t="n">
        <v>166.9</v>
      </c>
      <c r="F838" s="108" t="n">
        <v>50</v>
      </c>
      <c r="G838" s="107">
        <f>ROUND(E838*(1+IF(ABS(F838)&lt;=1,F838,F838/100)),2)</f>
        <v/>
      </c>
      <c r="H838" s="105" t="n">
        <v>15</v>
      </c>
      <c r="I838" s="105" t="n">
        <v>5</v>
      </c>
      <c r="J838" s="105">
        <f>IF(OR(UPPER(C838)="SERVIÇO",UPPER(C838)="SERVICO"),"SERVIÇO",IF(H838&lt;=0,"ZERADO",IF(H838&lt;=I838,"ESTOQUE BAIXO","NORMAL")))</f>
        <v/>
      </c>
      <c r="K838" s="107">
        <f>IF(OR(UPPER(C838)="SERVIÇO",UPPER(C838)="SERVICO"),0,N(H838)*N(E838))</f>
        <v/>
      </c>
      <c r="L838" s="107">
        <f>IF(OR(UPPER(C838)="SERVIÇO",UPPER(C838)="SERVICO"),0,N(H838)*N(G838))</f>
        <v/>
      </c>
      <c r="M838" s="107">
        <f>IF(OR(UPPER(C838)="SERVIÇO",UPPER(C838)="SERVICO"),0,L838-K838)</f>
        <v/>
      </c>
    </row>
    <row r="839" ht="15" customHeight="1">
      <c r="B839" s="105" t="n">
        <v>828</v>
      </c>
      <c r="C839" s="105" t="inlineStr">
        <is>
          <t>Produto</t>
        </is>
      </c>
      <c r="D839" s="106" t="inlineStr">
        <is>
          <t>Óculos de natação versão 2026 verde</t>
        </is>
      </c>
      <c r="E839" s="107" t="n">
        <v>144.27</v>
      </c>
      <c r="F839" s="108" t="n">
        <v>50</v>
      </c>
      <c r="G839" s="107">
        <f>ROUND(E839*(1+IF(ABS(F839)&lt;=1,F839,F839/100)),2)</f>
        <v/>
      </c>
      <c r="H839" s="105" t="n">
        <v>15</v>
      </c>
      <c r="I839" s="105" t="n">
        <v>5</v>
      </c>
      <c r="J839" s="105">
        <f>IF(OR(UPPER(C839)="SERVIÇO",UPPER(C839)="SERVICO"),"SERVIÇO",IF(H839&lt;=0,"ZERADO",IF(H839&lt;=I839,"ESTOQUE BAIXO","NORMAL")))</f>
        <v/>
      </c>
      <c r="K839" s="107">
        <f>IF(OR(UPPER(C839)="SERVIÇO",UPPER(C839)="SERVICO"),0,N(H839)*N(E839))</f>
        <v/>
      </c>
      <c r="L839" s="107">
        <f>IF(OR(UPPER(C839)="SERVIÇO",UPPER(C839)="SERVICO"),0,N(H839)*N(G839))</f>
        <v/>
      </c>
      <c r="M839" s="107">
        <f>IF(OR(UPPER(C839)="SERVIÇO",UPPER(C839)="SERVICO"),0,L839-K839)</f>
        <v/>
      </c>
    </row>
    <row r="840" ht="15" customHeight="1">
      <c r="B840" s="105" t="n">
        <v>829</v>
      </c>
      <c r="C840" s="105" t="inlineStr">
        <is>
          <t>Produto</t>
        </is>
      </c>
      <c r="D840" s="106" t="inlineStr">
        <is>
          <t>Nadadeira para uso diário azul</t>
        </is>
      </c>
      <c r="E840" s="107" t="n">
        <v>84.14</v>
      </c>
      <c r="F840" s="108" t="n">
        <v>50</v>
      </c>
      <c r="G840" s="107">
        <f>ROUND(E840*(1+IF(ABS(F840)&lt;=1,F840,F840/100)),2)</f>
        <v/>
      </c>
      <c r="H840" s="105" t="n">
        <v>15</v>
      </c>
      <c r="I840" s="105" t="n">
        <v>5</v>
      </c>
      <c r="J840" s="105">
        <f>IF(OR(UPPER(C840)="SERVIÇO",UPPER(C840)="SERVICO"),"SERVIÇO",IF(H840&lt;=0,"ZERADO",IF(H840&lt;=I840,"ESTOQUE BAIXO","NORMAL")))</f>
        <v/>
      </c>
      <c r="K840" s="107">
        <f>IF(OR(UPPER(C840)="SERVIÇO",UPPER(C840)="SERVICO"),0,N(H840)*N(E840))</f>
        <v/>
      </c>
      <c r="L840" s="107">
        <f>IF(OR(UPPER(C840)="SERVIÇO",UPPER(C840)="SERVICO"),0,N(H840)*N(G840))</f>
        <v/>
      </c>
      <c r="M840" s="107">
        <f>IF(OR(UPPER(C840)="SERVIÇO",UPPER(C840)="SERVICO"),0,L840-K840)</f>
        <v/>
      </c>
    </row>
    <row r="841" ht="15" customHeight="1">
      <c r="B841" s="105" t="n">
        <v>830</v>
      </c>
      <c r="C841" s="105" t="inlineStr">
        <is>
          <t>Produto</t>
        </is>
      </c>
      <c r="D841" s="106" t="inlineStr">
        <is>
          <t>Caneleira de futebol adulto branco</t>
        </is>
      </c>
      <c r="E841" s="107" t="n">
        <v>52.06</v>
      </c>
      <c r="F841" s="108" t="n">
        <v>50</v>
      </c>
      <c r="G841" s="107">
        <f>ROUND(E841*(1+IF(ABS(F841)&lt;=1,F841,F841/100)),2)</f>
        <v/>
      </c>
      <c r="H841" s="105" t="n">
        <v>15</v>
      </c>
      <c r="I841" s="105" t="n">
        <v>5</v>
      </c>
      <c r="J841" s="105">
        <f>IF(OR(UPPER(C841)="SERVIÇO",UPPER(C841)="SERVICO"),"SERVIÇO",IF(H841&lt;=0,"ZERADO",IF(H841&lt;=I841,"ESTOQUE BAIXO","NORMAL")))</f>
        <v/>
      </c>
      <c r="K841" s="107">
        <f>IF(OR(UPPER(C841)="SERVIÇO",UPPER(C841)="SERVICO"),0,N(H841)*N(E841))</f>
        <v/>
      </c>
      <c r="L841" s="107">
        <f>IF(OR(UPPER(C841)="SERVIÇO",UPPER(C841)="SERVICO"),0,N(H841)*N(G841))</f>
        <v/>
      </c>
      <c r="M841" s="107">
        <f>IF(OR(UPPER(C841)="SERVIÇO",UPPER(C841)="SERVICO"),0,L841-K841)</f>
        <v/>
      </c>
    </row>
    <row r="842" ht="15" customHeight="1">
      <c r="B842" s="105" t="n">
        <v>831</v>
      </c>
      <c r="C842" s="105" t="inlineStr">
        <is>
          <t>Produto</t>
        </is>
      </c>
      <c r="D842" s="106" t="inlineStr">
        <is>
          <t>Relógio esportivo ergonômico preto</t>
        </is>
      </c>
      <c r="E842" s="107" t="n">
        <v>486.8</v>
      </c>
      <c r="F842" s="108" t="n">
        <v>50</v>
      </c>
      <c r="G842" s="107">
        <f>ROUND(E842*(1+IF(ABS(F842)&lt;=1,F842,F842/100)),2)</f>
        <v/>
      </c>
      <c r="H842" s="105" t="n">
        <v>15</v>
      </c>
      <c r="I842" s="105" t="n">
        <v>5</v>
      </c>
      <c r="J842" s="105">
        <f>IF(OR(UPPER(C842)="SERVIÇO",UPPER(C842)="SERVICO"),"SERVIÇO",IF(H842&lt;=0,"ZERADO",IF(H842&lt;=I842,"ESTOQUE BAIXO","NORMAL")))</f>
        <v/>
      </c>
      <c r="K842" s="107">
        <f>IF(OR(UPPER(C842)="SERVIÇO",UPPER(C842)="SERVICO"),0,N(H842)*N(E842))</f>
        <v/>
      </c>
      <c r="L842" s="107">
        <f>IF(OR(UPPER(C842)="SERVIÇO",UPPER(C842)="SERVICO"),0,N(H842)*N(G842))</f>
        <v/>
      </c>
      <c r="M842" s="107">
        <f>IF(OR(UPPER(C842)="SERVIÇO",UPPER(C842)="SERVICO"),0,L842-K842)</f>
        <v/>
      </c>
    </row>
    <row r="843" ht="15" customHeight="1">
      <c r="B843" s="105" t="n">
        <v>832</v>
      </c>
      <c r="C843" s="105" t="inlineStr">
        <is>
          <t>Produto</t>
        </is>
      </c>
      <c r="D843" s="106" t="inlineStr">
        <is>
          <t>Óculos de natação modelo básico azul</t>
        </is>
      </c>
      <c r="E843" s="107" t="n">
        <v>142.79</v>
      </c>
      <c r="F843" s="108" t="n">
        <v>50</v>
      </c>
      <c r="G843" s="107">
        <f>ROUND(E843*(1+IF(ABS(F843)&lt;=1,F843,F843/100)),2)</f>
        <v/>
      </c>
      <c r="H843" s="105" t="n">
        <v>15</v>
      </c>
      <c r="I843" s="105" t="n">
        <v>5</v>
      </c>
      <c r="J843" s="105">
        <f>IF(OR(UPPER(C843)="SERVIÇO",UPPER(C843)="SERVICO"),"SERVIÇO",IF(H843&lt;=0,"ZERADO",IF(H843&lt;=I843,"ESTOQUE BAIXO","NORMAL")))</f>
        <v/>
      </c>
      <c r="K843" s="107">
        <f>IF(OR(UPPER(C843)="SERVIÇO",UPPER(C843)="SERVICO"),0,N(H843)*N(E843))</f>
        <v/>
      </c>
      <c r="L843" s="107">
        <f>IF(OR(UPPER(C843)="SERVIÇO",UPPER(C843)="SERVICO"),0,N(H843)*N(G843))</f>
        <v/>
      </c>
      <c r="M843" s="107">
        <f>IF(OR(UPPER(C843)="SERVIÇO",UPPER(C843)="SERVICO"),0,L843-K843)</f>
        <v/>
      </c>
    </row>
    <row r="844" ht="15" customHeight="1">
      <c r="B844" s="105" t="n">
        <v>833</v>
      </c>
      <c r="C844" s="105" t="inlineStr">
        <is>
          <t>Produto</t>
        </is>
      </c>
      <c r="D844" s="106" t="inlineStr">
        <is>
          <t>Camiseta esportiva ventilado preto tam. M</t>
        </is>
      </c>
      <c r="E844" s="107" t="n">
        <v>39.44</v>
      </c>
      <c r="F844" s="108" t="n">
        <v>50</v>
      </c>
      <c r="G844" s="107">
        <f>ROUND(E844*(1+IF(ABS(F844)&lt;=1,F844,F844/100)),2)</f>
        <v/>
      </c>
      <c r="H844" s="105" t="n">
        <v>15</v>
      </c>
      <c r="I844" s="105" t="n">
        <v>5</v>
      </c>
      <c r="J844" s="105">
        <f>IF(OR(UPPER(C844)="SERVIÇO",UPPER(C844)="SERVICO"),"SERVIÇO",IF(H844&lt;=0,"ZERADO",IF(H844&lt;=I844,"ESTOQUE BAIXO","NORMAL")))</f>
        <v/>
      </c>
      <c r="K844" s="107">
        <f>IF(OR(UPPER(C844)="SERVIÇO",UPPER(C844)="SERVICO"),0,N(H844)*N(E844))</f>
        <v/>
      </c>
      <c r="L844" s="107">
        <f>IF(OR(UPPER(C844)="SERVIÇO",UPPER(C844)="SERVICO"),0,N(H844)*N(G844))</f>
        <v/>
      </c>
      <c r="M844" s="107">
        <f>IF(OR(UPPER(C844)="SERVIÇO",UPPER(C844)="SERVICO"),0,L844-K844)</f>
        <v/>
      </c>
    </row>
    <row r="845" ht="15" customHeight="1">
      <c r="B845" s="105" t="n">
        <v>834</v>
      </c>
      <c r="C845" s="105" t="inlineStr">
        <is>
          <t>Produto</t>
        </is>
      </c>
      <c r="D845" s="106" t="inlineStr">
        <is>
          <t>Touca de natação alta performance azul tam. GG</t>
        </is>
      </c>
      <c r="E845" s="107" t="n">
        <v>36.37</v>
      </c>
      <c r="F845" s="108" t="n">
        <v>50</v>
      </c>
      <c r="G845" s="107">
        <f>ROUND(E845*(1+IF(ABS(F845)&lt;=1,F845,F845/100)),2)</f>
        <v/>
      </c>
      <c r="H845" s="105" t="n">
        <v>15</v>
      </c>
      <c r="I845" s="105" t="n">
        <v>5</v>
      </c>
      <c r="J845" s="105">
        <f>IF(OR(UPPER(C845)="SERVIÇO",UPPER(C845)="SERVICO"),"SERVIÇO",IF(H845&lt;=0,"ZERADO",IF(H845&lt;=I845,"ESTOQUE BAIXO","NORMAL")))</f>
        <v/>
      </c>
      <c r="K845" s="107">
        <f>IF(OR(UPPER(C845)="SERVIÇO",UPPER(C845)="SERVICO"),0,N(H845)*N(E845))</f>
        <v/>
      </c>
      <c r="L845" s="107">
        <f>IF(OR(UPPER(C845)="SERVIÇO",UPPER(C845)="SERVICO"),0,N(H845)*N(G845))</f>
        <v/>
      </c>
      <c r="M845" s="107">
        <f>IF(OR(UPPER(C845)="SERVIÇO",UPPER(C845)="SERVICO"),0,L845-K845)</f>
        <v/>
      </c>
    </row>
    <row r="846" ht="15" customHeight="1">
      <c r="B846" s="105" t="n">
        <v>835</v>
      </c>
      <c r="C846" s="105" t="inlineStr">
        <is>
          <t>Produto</t>
        </is>
      </c>
      <c r="D846" s="106" t="inlineStr">
        <is>
          <t>Skate profissional vermelho</t>
        </is>
      </c>
      <c r="E846" s="107" t="n">
        <v>102.05</v>
      </c>
      <c r="F846" s="108" t="n">
        <v>50</v>
      </c>
      <c r="G846" s="107">
        <f>ROUND(E846*(1+IF(ABS(F846)&lt;=1,F846,F846/100)),2)</f>
        <v/>
      </c>
      <c r="H846" s="105" t="n">
        <v>15</v>
      </c>
      <c r="I846" s="105" t="n">
        <v>5</v>
      </c>
      <c r="J846" s="105">
        <f>IF(OR(UPPER(C846)="SERVIÇO",UPPER(C846)="SERVICO"),"SERVIÇO",IF(H846&lt;=0,"ZERADO",IF(H846&lt;=I846,"ESTOQUE BAIXO","NORMAL")))</f>
        <v/>
      </c>
      <c r="K846" s="107">
        <f>IF(OR(UPPER(C846)="SERVIÇO",UPPER(C846)="SERVICO"),0,N(H846)*N(E846))</f>
        <v/>
      </c>
      <c r="L846" s="107">
        <f>IF(OR(UPPER(C846)="SERVIÇO",UPPER(C846)="SERVICO"),0,N(H846)*N(G846))</f>
        <v/>
      </c>
      <c r="M846" s="107">
        <f>IF(OR(UPPER(C846)="SERVIÇO",UPPER(C846)="SERVICO"),0,L846-K846)</f>
        <v/>
      </c>
    </row>
    <row r="847" ht="15" customHeight="1">
      <c r="B847" s="105" t="n">
        <v>836</v>
      </c>
      <c r="C847" s="105" t="inlineStr">
        <is>
          <t>Produto</t>
        </is>
      </c>
      <c r="D847" s="106" t="inlineStr">
        <is>
          <t>Patins juvenil azul</t>
        </is>
      </c>
      <c r="E847" s="107" t="n">
        <v>168.28</v>
      </c>
      <c r="F847" s="108" t="n">
        <v>50</v>
      </c>
      <c r="G847" s="107">
        <f>ROUND(E847*(1+IF(ABS(F847)&lt;=1,F847,F847/100)),2)</f>
        <v/>
      </c>
      <c r="H847" s="105" t="n">
        <v>15</v>
      </c>
      <c r="I847" s="105" t="n">
        <v>5</v>
      </c>
      <c r="J847" s="105">
        <f>IF(OR(UPPER(C847)="SERVIÇO",UPPER(C847)="SERVICO"),"SERVIÇO",IF(H847&lt;=0,"ZERADO",IF(H847&lt;=I847,"ESTOQUE BAIXO","NORMAL")))</f>
        <v/>
      </c>
      <c r="K847" s="107">
        <f>IF(OR(UPPER(C847)="SERVIÇO",UPPER(C847)="SERVICO"),0,N(H847)*N(E847))</f>
        <v/>
      </c>
      <c r="L847" s="107">
        <f>IF(OR(UPPER(C847)="SERVIÇO",UPPER(C847)="SERVICO"),0,N(H847)*N(G847))</f>
        <v/>
      </c>
      <c r="M847" s="107">
        <f>IF(OR(UPPER(C847)="SERVIÇO",UPPER(C847)="SERVICO"),0,L847-K847)</f>
        <v/>
      </c>
    </row>
    <row r="848" ht="15" customHeight="1">
      <c r="B848" s="105" t="n">
        <v>837</v>
      </c>
      <c r="C848" s="105" t="inlineStr">
        <is>
          <t>Produto</t>
        </is>
      </c>
      <c r="D848" s="106" t="inlineStr">
        <is>
          <t>Regata esportiva ventilado azul tam. 44</t>
        </is>
      </c>
      <c r="E848" s="107" t="n">
        <v>66.7</v>
      </c>
      <c r="F848" s="108" t="n">
        <v>50</v>
      </c>
      <c r="G848" s="107">
        <f>ROUND(E848*(1+IF(ABS(F848)&lt;=1,F848,F848/100)),2)</f>
        <v/>
      </c>
      <c r="H848" s="105" t="n">
        <v>15</v>
      </c>
      <c r="I848" s="105" t="n">
        <v>5</v>
      </c>
      <c r="J848" s="105">
        <f>IF(OR(UPPER(C848)="SERVIÇO",UPPER(C848)="SERVICO"),"SERVIÇO",IF(H848&lt;=0,"ZERADO",IF(H848&lt;=I848,"ESTOQUE BAIXO","NORMAL")))</f>
        <v/>
      </c>
      <c r="K848" s="107">
        <f>IF(OR(UPPER(C848)="SERVIÇO",UPPER(C848)="SERVICO"),0,N(H848)*N(E848))</f>
        <v/>
      </c>
      <c r="L848" s="107">
        <f>IF(OR(UPPER(C848)="SERVIÇO",UPPER(C848)="SERVICO"),0,N(H848)*N(G848))</f>
        <v/>
      </c>
      <c r="M848" s="107">
        <f>IF(OR(UPPER(C848)="SERVIÇO",UPPER(C848)="SERVICO"),0,L848-K848)</f>
        <v/>
      </c>
    </row>
    <row r="849" ht="15" customHeight="1">
      <c r="B849" s="105" t="n">
        <v>838</v>
      </c>
      <c r="C849" s="105" t="inlineStr">
        <is>
          <t>Produto</t>
        </is>
      </c>
      <c r="D849" s="106" t="inlineStr">
        <is>
          <t>Mochila esportiva para uso diário rosa</t>
        </is>
      </c>
      <c r="E849" s="107" t="n">
        <v>164.5</v>
      </c>
      <c r="F849" s="108" t="n">
        <v>50</v>
      </c>
      <c r="G849" s="107">
        <f>ROUND(E849*(1+IF(ABS(F849)&lt;=1,F849,F849/100)),2)</f>
        <v/>
      </c>
      <c r="H849" s="105" t="n">
        <v>15</v>
      </c>
      <c r="I849" s="105" t="n">
        <v>5</v>
      </c>
      <c r="J849" s="105">
        <f>IF(OR(UPPER(C849)="SERVIÇO",UPPER(C849)="SERVICO"),"SERVIÇO",IF(H849&lt;=0,"ZERADO",IF(H849&lt;=I849,"ESTOQUE BAIXO","NORMAL")))</f>
        <v/>
      </c>
      <c r="K849" s="107">
        <f>IF(OR(UPPER(C849)="SERVIÇO",UPPER(C849)="SERVICO"),0,N(H849)*N(E849))</f>
        <v/>
      </c>
      <c r="L849" s="107">
        <f>IF(OR(UPPER(C849)="SERVIÇO",UPPER(C849)="SERVICO"),0,N(H849)*N(G849))</f>
        <v/>
      </c>
      <c r="M849" s="107">
        <f>IF(OR(UPPER(C849)="SERVIÇO",UPPER(C849)="SERVICO"),0,L849-K849)</f>
        <v/>
      </c>
    </row>
    <row r="850" ht="15" customHeight="1">
      <c r="B850" s="105" t="n">
        <v>839</v>
      </c>
      <c r="C850" s="105" t="inlineStr">
        <is>
          <t>Produto</t>
        </is>
      </c>
      <c r="D850" s="106" t="inlineStr">
        <is>
          <t>Bicicleta ergométrica adulto laranja</t>
        </is>
      </c>
      <c r="E850" s="107" t="n">
        <v>2137.45</v>
      </c>
      <c r="F850" s="108" t="n">
        <v>50</v>
      </c>
      <c r="G850" s="107">
        <f>ROUND(E850*(1+IF(ABS(F850)&lt;=1,F850,F850/100)),2)</f>
        <v/>
      </c>
      <c r="H850" s="105" t="n">
        <v>15</v>
      </c>
      <c r="I850" s="105" t="n">
        <v>5</v>
      </c>
      <c r="J850" s="105">
        <f>IF(OR(UPPER(C850)="SERVIÇO",UPPER(C850)="SERVICO"),"SERVIÇO",IF(H850&lt;=0,"ZERADO",IF(H850&lt;=I850,"ESTOQUE BAIXO","NORMAL")))</f>
        <v/>
      </c>
      <c r="K850" s="107">
        <f>IF(OR(UPPER(C850)="SERVIÇO",UPPER(C850)="SERVICO"),0,N(H850)*N(E850))</f>
        <v/>
      </c>
      <c r="L850" s="107">
        <f>IF(OR(UPPER(C850)="SERVIÇO",UPPER(C850)="SERVICO"),0,N(H850)*N(G850))</f>
        <v/>
      </c>
      <c r="M850" s="107">
        <f>IF(OR(UPPER(C850)="SERVIÇO",UPPER(C850)="SERVICO"),0,L850-K850)</f>
        <v/>
      </c>
    </row>
    <row r="851" ht="15" customHeight="1">
      <c r="B851" s="105" t="n">
        <v>840</v>
      </c>
      <c r="C851" s="105" t="inlineStr">
        <is>
          <t>Produto</t>
        </is>
      </c>
      <c r="D851" s="106" t="inlineStr">
        <is>
          <t>Caneleira de futebol versão 2026 azul</t>
        </is>
      </c>
      <c r="E851" s="107" t="n">
        <v>70.90000000000001</v>
      </c>
      <c r="F851" s="108" t="n">
        <v>50</v>
      </c>
      <c r="G851" s="107">
        <f>ROUND(E851*(1+IF(ABS(F851)&lt;=1,F851,F851/100)),2)</f>
        <v/>
      </c>
      <c r="H851" s="105" t="n">
        <v>15</v>
      </c>
      <c r="I851" s="105" t="n">
        <v>5</v>
      </c>
      <c r="J851" s="105">
        <f>IF(OR(UPPER(C851)="SERVIÇO",UPPER(C851)="SERVICO"),"SERVIÇO",IF(H851&lt;=0,"ZERADO",IF(H851&lt;=I851,"ESTOQUE BAIXO","NORMAL")))</f>
        <v/>
      </c>
      <c r="K851" s="107">
        <f>IF(OR(UPPER(C851)="SERVIÇO",UPPER(C851)="SERVICO"),0,N(H851)*N(E851))</f>
        <v/>
      </c>
      <c r="L851" s="107">
        <f>IF(OR(UPPER(C851)="SERVIÇO",UPPER(C851)="SERVICO"),0,N(H851)*N(G851))</f>
        <v/>
      </c>
      <c r="M851" s="107">
        <f>IF(OR(UPPER(C851)="SERVIÇO",UPPER(C851)="SERVICO"),0,L851-K851)</f>
        <v/>
      </c>
    </row>
    <row r="852" ht="15" customHeight="1">
      <c r="B852" s="105" t="n">
        <v>841</v>
      </c>
      <c r="C852" s="105" t="inlineStr">
        <is>
          <t>Produto</t>
        </is>
      </c>
      <c r="D852" s="106" t="inlineStr">
        <is>
          <t>Luva de boxe profissional branco tam. 42</t>
        </is>
      </c>
      <c r="E852" s="107" t="n">
        <v>69.31999999999999</v>
      </c>
      <c r="F852" s="108" t="n">
        <v>50</v>
      </c>
      <c r="G852" s="107">
        <f>ROUND(E852*(1+IF(ABS(F852)&lt;=1,F852,F852/100)),2)</f>
        <v/>
      </c>
      <c r="H852" s="105" t="n">
        <v>15</v>
      </c>
      <c r="I852" s="105" t="n">
        <v>5</v>
      </c>
      <c r="J852" s="105">
        <f>IF(OR(UPPER(C852)="SERVIÇO",UPPER(C852)="SERVICO"),"SERVIÇO",IF(H852&lt;=0,"ZERADO",IF(H852&lt;=I852,"ESTOQUE BAIXO","NORMAL")))</f>
        <v/>
      </c>
      <c r="K852" s="107">
        <f>IF(OR(UPPER(C852)="SERVIÇO",UPPER(C852)="SERVICO"),0,N(H852)*N(E852))</f>
        <v/>
      </c>
      <c r="L852" s="107">
        <f>IF(OR(UPPER(C852)="SERVIÇO",UPPER(C852)="SERVICO"),0,N(H852)*N(G852))</f>
        <v/>
      </c>
      <c r="M852" s="107">
        <f>IF(OR(UPPER(C852)="SERVIÇO",UPPER(C852)="SERVICO"),0,L852-K852)</f>
        <v/>
      </c>
    </row>
    <row r="853" ht="15" customHeight="1">
      <c r="B853" s="105" t="n">
        <v>842</v>
      </c>
      <c r="C853" s="105" t="inlineStr">
        <is>
          <t>Produto</t>
        </is>
      </c>
      <c r="D853" s="106" t="inlineStr">
        <is>
          <t>Nadadeira versão 2026 azul</t>
        </is>
      </c>
      <c r="E853" s="107" t="n">
        <v>67.84999999999999</v>
      </c>
      <c r="F853" s="108" t="n">
        <v>50</v>
      </c>
      <c r="G853" s="107">
        <f>ROUND(E853*(1+IF(ABS(F853)&lt;=1,F853,F853/100)),2)</f>
        <v/>
      </c>
      <c r="H853" s="105" t="n">
        <v>15</v>
      </c>
      <c r="I853" s="105" t="n">
        <v>5</v>
      </c>
      <c r="J853" s="105">
        <f>IF(OR(UPPER(C853)="SERVIÇO",UPPER(C853)="SERVICO"),"SERVIÇO",IF(H853&lt;=0,"ZERADO",IF(H853&lt;=I853,"ESTOQUE BAIXO","NORMAL")))</f>
        <v/>
      </c>
      <c r="K853" s="107">
        <f>IF(OR(UPPER(C853)="SERVIÇO",UPPER(C853)="SERVICO"),0,N(H853)*N(E853))</f>
        <v/>
      </c>
      <c r="L853" s="107">
        <f>IF(OR(UPPER(C853)="SERVIÇO",UPPER(C853)="SERVICO"),0,N(H853)*N(G853))</f>
        <v/>
      </c>
      <c r="M853" s="107">
        <f>IF(OR(UPPER(C853)="SERVIÇO",UPPER(C853)="SERVICO"),0,L853-K853)</f>
        <v/>
      </c>
    </row>
    <row r="854" ht="15" customHeight="1">
      <c r="B854" s="105" t="n">
        <v>843</v>
      </c>
      <c r="C854" s="105" t="inlineStr">
        <is>
          <t>Produto</t>
        </is>
      </c>
      <c r="D854" s="106" t="inlineStr">
        <is>
          <t>Bicicleta urbana para uso diário preto</t>
        </is>
      </c>
      <c r="E854" s="107" t="n">
        <v>2243.17</v>
      </c>
      <c r="F854" s="108" t="n">
        <v>50</v>
      </c>
      <c r="G854" s="107">
        <f>ROUND(E854*(1+IF(ABS(F854)&lt;=1,F854,F854/100)),2)</f>
        <v/>
      </c>
      <c r="H854" s="105" t="n">
        <v>15</v>
      </c>
      <c r="I854" s="105" t="n">
        <v>5</v>
      </c>
      <c r="J854" s="105">
        <f>IF(OR(UPPER(C854)="SERVIÇO",UPPER(C854)="SERVICO"),"SERVIÇO",IF(H854&lt;=0,"ZERADO",IF(H854&lt;=I854,"ESTOQUE BAIXO","NORMAL")))</f>
        <v/>
      </c>
      <c r="K854" s="107">
        <f>IF(OR(UPPER(C854)="SERVIÇO",UPPER(C854)="SERVICO"),0,N(H854)*N(E854))</f>
        <v/>
      </c>
      <c r="L854" s="107">
        <f>IF(OR(UPPER(C854)="SERVIÇO",UPPER(C854)="SERVICO"),0,N(H854)*N(G854))</f>
        <v/>
      </c>
      <c r="M854" s="107">
        <f>IF(OR(UPPER(C854)="SERVIÇO",UPPER(C854)="SERVICO"),0,L854-K854)</f>
        <v/>
      </c>
    </row>
    <row r="855" ht="15" customHeight="1">
      <c r="B855" s="105" t="n">
        <v>844</v>
      </c>
      <c r="C855" s="105" t="inlineStr">
        <is>
          <t>Produto</t>
        </is>
      </c>
      <c r="D855" s="106" t="inlineStr">
        <is>
          <t>Caneleira de futebol recreativo laranja</t>
        </is>
      </c>
      <c r="E855" s="107" t="n">
        <v>74.09</v>
      </c>
      <c r="F855" s="108" t="n">
        <v>50</v>
      </c>
      <c r="G855" s="107">
        <f>ROUND(E855*(1+IF(ABS(F855)&lt;=1,F855,F855/100)),2)</f>
        <v/>
      </c>
      <c r="H855" s="105" t="n">
        <v>15</v>
      </c>
      <c r="I855" s="105" t="n">
        <v>5</v>
      </c>
      <c r="J855" s="105">
        <f>IF(OR(UPPER(C855)="SERVIÇO",UPPER(C855)="SERVICO"),"SERVIÇO",IF(H855&lt;=0,"ZERADO",IF(H855&lt;=I855,"ESTOQUE BAIXO","NORMAL")))</f>
        <v/>
      </c>
      <c r="K855" s="107">
        <f>IF(OR(UPPER(C855)="SERVIÇO",UPPER(C855)="SERVICO"),0,N(H855)*N(E855))</f>
        <v/>
      </c>
      <c r="L855" s="107">
        <f>IF(OR(UPPER(C855)="SERVIÇO",UPPER(C855)="SERVICO"),0,N(H855)*N(G855))</f>
        <v/>
      </c>
      <c r="M855" s="107">
        <f>IF(OR(UPPER(C855)="SERVIÇO",UPPER(C855)="SERVICO"),0,L855-K855)</f>
        <v/>
      </c>
    </row>
    <row r="856" ht="15" customHeight="1">
      <c r="B856" s="105" t="n">
        <v>845</v>
      </c>
      <c r="C856" s="105" t="inlineStr">
        <is>
          <t>Produto</t>
        </is>
      </c>
      <c r="D856" s="106" t="inlineStr">
        <is>
          <t>Caneleira de futebol recreativo cinza</t>
        </is>
      </c>
      <c r="E856" s="107" t="n">
        <v>64.77</v>
      </c>
      <c r="F856" s="108" t="n">
        <v>50</v>
      </c>
      <c r="G856" s="107">
        <f>ROUND(E856*(1+IF(ABS(F856)&lt;=1,F856,F856/100)),2)</f>
        <v/>
      </c>
      <c r="H856" s="105" t="n">
        <v>15</v>
      </c>
      <c r="I856" s="105" t="n">
        <v>5</v>
      </c>
      <c r="J856" s="105">
        <f>IF(OR(UPPER(C856)="SERVIÇO",UPPER(C856)="SERVICO"),"SERVIÇO",IF(H856&lt;=0,"ZERADO",IF(H856&lt;=I856,"ESTOQUE BAIXO","NORMAL")))</f>
        <v/>
      </c>
      <c r="K856" s="107">
        <f>IF(OR(UPPER(C856)="SERVIÇO",UPPER(C856)="SERVICO"),0,N(H856)*N(E856))</f>
        <v/>
      </c>
      <c r="L856" s="107">
        <f>IF(OR(UPPER(C856)="SERVIÇO",UPPER(C856)="SERVICO"),0,N(H856)*N(G856))</f>
        <v/>
      </c>
      <c r="M856" s="107">
        <f>IF(OR(UPPER(C856)="SERVIÇO",UPPER(C856)="SERVICO"),0,L856-K856)</f>
        <v/>
      </c>
    </row>
    <row r="857" ht="15" customHeight="1">
      <c r="B857" s="105" t="n">
        <v>846</v>
      </c>
      <c r="C857" s="105" t="inlineStr">
        <is>
          <t>Produto</t>
        </is>
      </c>
      <c r="D857" s="106" t="inlineStr">
        <is>
          <t>Bastão de caminhada adulto vermelho</t>
        </is>
      </c>
      <c r="E857" s="107" t="n">
        <v>48.43</v>
      </c>
      <c r="F857" s="108" t="n">
        <v>50</v>
      </c>
      <c r="G857" s="107">
        <f>ROUND(E857*(1+IF(ABS(F857)&lt;=1,F857,F857/100)),2)</f>
        <v/>
      </c>
      <c r="H857" s="105" t="n">
        <v>15</v>
      </c>
      <c r="I857" s="105" t="n">
        <v>5</v>
      </c>
      <c r="J857" s="105">
        <f>IF(OR(UPPER(C857)="SERVIÇO",UPPER(C857)="SERVICO"),"SERVIÇO",IF(H857&lt;=0,"ZERADO",IF(H857&lt;=I857,"ESTOQUE BAIXO","NORMAL")))</f>
        <v/>
      </c>
      <c r="K857" s="107">
        <f>IF(OR(UPPER(C857)="SERVIÇO",UPPER(C857)="SERVICO"),0,N(H857)*N(E857))</f>
        <v/>
      </c>
      <c r="L857" s="107">
        <f>IF(OR(UPPER(C857)="SERVIÇO",UPPER(C857)="SERVICO"),0,N(H857)*N(G857))</f>
        <v/>
      </c>
      <c r="M857" s="107">
        <f>IF(OR(UPPER(C857)="SERVIÇO",UPPER(C857)="SERVICO"),0,L857-K857)</f>
        <v/>
      </c>
    </row>
    <row r="858" ht="15" customHeight="1">
      <c r="B858" s="105" t="n">
        <v>847</v>
      </c>
      <c r="C858" s="105" t="inlineStr">
        <is>
          <t>Produto</t>
        </is>
      </c>
      <c r="D858" s="106" t="inlineStr">
        <is>
          <t>Bola de futebol versão 2026 laranja</t>
        </is>
      </c>
      <c r="E858" s="107" t="n">
        <v>110.51</v>
      </c>
      <c r="F858" s="108" t="n">
        <v>50</v>
      </c>
      <c r="G858" s="107">
        <f>ROUND(E858*(1+IF(ABS(F858)&lt;=1,F858,F858/100)),2)</f>
        <v/>
      </c>
      <c r="H858" s="105" t="n">
        <v>15</v>
      </c>
      <c r="I858" s="105" t="n">
        <v>5</v>
      </c>
      <c r="J858" s="105">
        <f>IF(OR(UPPER(C858)="SERVIÇO",UPPER(C858)="SERVICO"),"SERVIÇO",IF(H858&lt;=0,"ZERADO",IF(H858&lt;=I858,"ESTOQUE BAIXO","NORMAL")))</f>
        <v/>
      </c>
      <c r="K858" s="107">
        <f>IF(OR(UPPER(C858)="SERVIÇO",UPPER(C858)="SERVICO"),0,N(H858)*N(E858))</f>
        <v/>
      </c>
      <c r="L858" s="107">
        <f>IF(OR(UPPER(C858)="SERVIÇO",UPPER(C858)="SERVICO"),0,N(H858)*N(G858))</f>
        <v/>
      </c>
      <c r="M858" s="107">
        <f>IF(OR(UPPER(C858)="SERVIÇO",UPPER(C858)="SERVICO"),0,L858-K858)</f>
        <v/>
      </c>
    </row>
    <row r="859" ht="15" customHeight="1">
      <c r="B859" s="105" t="n">
        <v>848</v>
      </c>
      <c r="C859" s="105" t="inlineStr">
        <is>
          <t>Produto</t>
        </is>
      </c>
      <c r="D859" s="106" t="inlineStr">
        <is>
          <t>Raquete de badminton reforçado branco</t>
        </is>
      </c>
      <c r="E859" s="107" t="n">
        <v>74.41</v>
      </c>
      <c r="F859" s="108" t="n">
        <v>50</v>
      </c>
      <c r="G859" s="107">
        <f>ROUND(E859*(1+IF(ABS(F859)&lt;=1,F859,F859/100)),2)</f>
        <v/>
      </c>
      <c r="H859" s="105" t="n">
        <v>15</v>
      </c>
      <c r="I859" s="105" t="n">
        <v>5</v>
      </c>
      <c r="J859" s="105">
        <f>IF(OR(UPPER(C859)="SERVIÇO",UPPER(C859)="SERVICO"),"SERVIÇO",IF(H859&lt;=0,"ZERADO",IF(H859&lt;=I859,"ESTOQUE BAIXO","NORMAL")))</f>
        <v/>
      </c>
      <c r="K859" s="107">
        <f>IF(OR(UPPER(C859)="SERVIÇO",UPPER(C859)="SERVICO"),0,N(H859)*N(E859))</f>
        <v/>
      </c>
      <c r="L859" s="107">
        <f>IF(OR(UPPER(C859)="SERVIÇO",UPPER(C859)="SERVICO"),0,N(H859)*N(G859))</f>
        <v/>
      </c>
      <c r="M859" s="107">
        <f>IF(OR(UPPER(C859)="SERVIÇO",UPPER(C859)="SERVICO"),0,L859-K859)</f>
        <v/>
      </c>
    </row>
    <row r="860" ht="15" customHeight="1">
      <c r="B860" s="105" t="n">
        <v>849</v>
      </c>
      <c r="C860" s="105" t="inlineStr">
        <is>
          <t>Produto</t>
        </is>
      </c>
      <c r="D860" s="106" t="inlineStr">
        <is>
          <t>Óculos de natação recreativo vermelho</t>
        </is>
      </c>
      <c r="E860" s="107" t="n">
        <v>37.33</v>
      </c>
      <c r="F860" s="108" t="n">
        <v>50</v>
      </c>
      <c r="G860" s="107">
        <f>ROUND(E860*(1+IF(ABS(F860)&lt;=1,F860,F860/100)),2)</f>
        <v/>
      </c>
      <c r="H860" s="105" t="n">
        <v>15</v>
      </c>
      <c r="I860" s="105" t="n">
        <v>5</v>
      </c>
      <c r="J860" s="105">
        <f>IF(OR(UPPER(C860)="SERVIÇO",UPPER(C860)="SERVICO"),"SERVIÇO",IF(H860&lt;=0,"ZERADO",IF(H860&lt;=I860,"ESTOQUE BAIXO","NORMAL")))</f>
        <v/>
      </c>
      <c r="K860" s="107">
        <f>IF(OR(UPPER(C860)="SERVIÇO",UPPER(C860)="SERVICO"),0,N(H860)*N(E860))</f>
        <v/>
      </c>
      <c r="L860" s="107">
        <f>IF(OR(UPPER(C860)="SERVIÇO",UPPER(C860)="SERVICO"),0,N(H860)*N(G860))</f>
        <v/>
      </c>
      <c r="M860" s="107">
        <f>IF(OR(UPPER(C860)="SERVIÇO",UPPER(C860)="SERVICO"),0,L860-K860)</f>
        <v/>
      </c>
    </row>
    <row r="861" ht="15" customHeight="1">
      <c r="B861" s="105" t="n">
        <v>850</v>
      </c>
      <c r="C861" s="105" t="inlineStr">
        <is>
          <t>Produto</t>
        </is>
      </c>
      <c r="D861" s="106" t="inlineStr">
        <is>
          <t>Kimono de judô reforçado azul tam. G</t>
        </is>
      </c>
      <c r="E861" s="107" t="n">
        <v>261.23</v>
      </c>
      <c r="F861" s="108" t="n">
        <v>50</v>
      </c>
      <c r="G861" s="107">
        <f>ROUND(E861*(1+IF(ABS(F861)&lt;=1,F861,F861/100)),2)</f>
        <v/>
      </c>
      <c r="H861" s="105" t="n">
        <v>15</v>
      </c>
      <c r="I861" s="105" t="n">
        <v>5</v>
      </c>
      <c r="J861" s="105">
        <f>IF(OR(UPPER(C861)="SERVIÇO",UPPER(C861)="SERVICO"),"SERVIÇO",IF(H861&lt;=0,"ZERADO",IF(H861&lt;=I861,"ESTOQUE BAIXO","NORMAL")))</f>
        <v/>
      </c>
      <c r="K861" s="107">
        <f>IF(OR(UPPER(C861)="SERVIÇO",UPPER(C861)="SERVICO"),0,N(H861)*N(E861))</f>
        <v/>
      </c>
      <c r="L861" s="107">
        <f>IF(OR(UPPER(C861)="SERVIÇO",UPPER(C861)="SERVICO"),0,N(H861)*N(G861))</f>
        <v/>
      </c>
      <c r="M861" s="107">
        <f>IF(OR(UPPER(C861)="SERVIÇO",UPPER(C861)="SERVICO"),0,L861-K861)</f>
        <v/>
      </c>
    </row>
    <row r="862" ht="15" customHeight="1">
      <c r="B862" s="105" t="n">
        <v>851</v>
      </c>
      <c r="C862" s="105" t="inlineStr">
        <is>
          <t>Produto</t>
        </is>
      </c>
      <c r="D862" s="106" t="inlineStr">
        <is>
          <t>Protetor bucal ventilado rosa</t>
        </is>
      </c>
      <c r="E862" s="107" t="n">
        <v>41.82</v>
      </c>
      <c r="F862" s="108" t="n">
        <v>50</v>
      </c>
      <c r="G862" s="107">
        <f>ROUND(E862*(1+IF(ABS(F862)&lt;=1,F862,F862/100)),2)</f>
        <v/>
      </c>
      <c r="H862" s="105" t="n">
        <v>15</v>
      </c>
      <c r="I862" s="105" t="n">
        <v>5</v>
      </c>
      <c r="J862" s="105">
        <f>IF(OR(UPPER(C862)="SERVIÇO",UPPER(C862)="SERVICO"),"SERVIÇO",IF(H862&lt;=0,"ZERADO",IF(H862&lt;=I862,"ESTOQUE BAIXO","NORMAL")))</f>
        <v/>
      </c>
      <c r="K862" s="107">
        <f>IF(OR(UPPER(C862)="SERVIÇO",UPPER(C862)="SERVICO"),0,N(H862)*N(E862))</f>
        <v/>
      </c>
      <c r="L862" s="107">
        <f>IF(OR(UPPER(C862)="SERVIÇO",UPPER(C862)="SERVICO"),0,N(H862)*N(G862))</f>
        <v/>
      </c>
      <c r="M862" s="107">
        <f>IF(OR(UPPER(C862)="SERVIÇO",UPPER(C862)="SERVICO"),0,L862-K862)</f>
        <v/>
      </c>
    </row>
    <row r="863" ht="15" customHeight="1">
      <c r="B863" s="105" t="n">
        <v>852</v>
      </c>
      <c r="C863" s="105" t="inlineStr">
        <is>
          <t>Produto</t>
        </is>
      </c>
      <c r="D863" s="106" t="inlineStr">
        <is>
          <t>Raquete de beach tennis profissional cinza</t>
        </is>
      </c>
      <c r="E863" s="107" t="n">
        <v>146.88</v>
      </c>
      <c r="F863" s="108" t="n">
        <v>50</v>
      </c>
      <c r="G863" s="107">
        <f>ROUND(E863*(1+IF(ABS(F863)&lt;=1,F863,F863/100)),2)</f>
        <v/>
      </c>
      <c r="H863" s="105" t="n">
        <v>15</v>
      </c>
      <c r="I863" s="105" t="n">
        <v>5</v>
      </c>
      <c r="J863" s="105">
        <f>IF(OR(UPPER(C863)="SERVIÇO",UPPER(C863)="SERVICO"),"SERVIÇO",IF(H863&lt;=0,"ZERADO",IF(H863&lt;=I863,"ESTOQUE BAIXO","NORMAL")))</f>
        <v/>
      </c>
      <c r="K863" s="107">
        <f>IF(OR(UPPER(C863)="SERVIÇO",UPPER(C863)="SERVICO"),0,N(H863)*N(E863))</f>
        <v/>
      </c>
      <c r="L863" s="107">
        <f>IF(OR(UPPER(C863)="SERVIÇO",UPPER(C863)="SERVICO"),0,N(H863)*N(G863))</f>
        <v/>
      </c>
      <c r="M863" s="107">
        <f>IF(OR(UPPER(C863)="SERVIÇO",UPPER(C863)="SERVICO"),0,L863-K863)</f>
        <v/>
      </c>
    </row>
    <row r="864" ht="15" customHeight="1">
      <c r="B864" s="105" t="n">
        <v>853</v>
      </c>
      <c r="C864" s="105" t="inlineStr">
        <is>
          <t>Produto</t>
        </is>
      </c>
      <c r="D864" s="106" t="inlineStr">
        <is>
          <t>Bastão de caminhada ergonômico branco</t>
        </is>
      </c>
      <c r="E864" s="107" t="n">
        <v>83.51000000000001</v>
      </c>
      <c r="F864" s="108" t="n">
        <v>50</v>
      </c>
      <c r="G864" s="107">
        <f>ROUND(E864*(1+IF(ABS(F864)&lt;=1,F864,F864/100)),2)</f>
        <v/>
      </c>
      <c r="H864" s="105" t="n">
        <v>15</v>
      </c>
      <c r="I864" s="105" t="n">
        <v>5</v>
      </c>
      <c r="J864" s="105">
        <f>IF(OR(UPPER(C864)="SERVIÇO",UPPER(C864)="SERVICO"),"SERVIÇO",IF(H864&lt;=0,"ZERADO",IF(H864&lt;=I864,"ESTOQUE BAIXO","NORMAL")))</f>
        <v/>
      </c>
      <c r="K864" s="107">
        <f>IF(OR(UPPER(C864)="SERVIÇO",UPPER(C864)="SERVICO"),0,N(H864)*N(E864))</f>
        <v/>
      </c>
      <c r="L864" s="107">
        <f>IF(OR(UPPER(C864)="SERVIÇO",UPPER(C864)="SERVICO"),0,N(H864)*N(G864))</f>
        <v/>
      </c>
      <c r="M864" s="107">
        <f>IF(OR(UPPER(C864)="SERVIÇO",UPPER(C864)="SERVICO"),0,L864-K864)</f>
        <v/>
      </c>
    </row>
    <row r="865" ht="15" customHeight="1">
      <c r="B865" s="105" t="n">
        <v>854</v>
      </c>
      <c r="C865" s="105" t="inlineStr">
        <is>
          <t>Produto</t>
        </is>
      </c>
      <c r="D865" s="106" t="inlineStr">
        <is>
          <t>Prancha de natação treino cinza</t>
        </is>
      </c>
      <c r="E865" s="107" t="n">
        <v>73.7</v>
      </c>
      <c r="F865" s="108" t="n">
        <v>50</v>
      </c>
      <c r="G865" s="107">
        <f>ROUND(E865*(1+IF(ABS(F865)&lt;=1,F865,F865/100)),2)</f>
        <v/>
      </c>
      <c r="H865" s="105" t="n">
        <v>15</v>
      </c>
      <c r="I865" s="105" t="n">
        <v>5</v>
      </c>
      <c r="J865" s="105">
        <f>IF(OR(UPPER(C865)="SERVIÇO",UPPER(C865)="SERVICO"),"SERVIÇO",IF(H865&lt;=0,"ZERADO",IF(H865&lt;=I865,"ESTOQUE BAIXO","NORMAL")))</f>
        <v/>
      </c>
      <c r="K865" s="107">
        <f>IF(OR(UPPER(C865)="SERVIÇO",UPPER(C865)="SERVICO"),0,N(H865)*N(E865))</f>
        <v/>
      </c>
      <c r="L865" s="107">
        <f>IF(OR(UPPER(C865)="SERVIÇO",UPPER(C865)="SERVICO"),0,N(H865)*N(G865))</f>
        <v/>
      </c>
      <c r="M865" s="107">
        <f>IF(OR(UPPER(C865)="SERVIÇO",UPPER(C865)="SERVICO"),0,L865-K865)</f>
        <v/>
      </c>
    </row>
    <row r="866" ht="15" customHeight="1">
      <c r="B866" s="105" t="n">
        <v>855</v>
      </c>
      <c r="C866" s="105" t="inlineStr">
        <is>
          <t>Produto</t>
        </is>
      </c>
      <c r="D866" s="106" t="inlineStr">
        <is>
          <t>Short esportivo ergonômico rosa tam. 36</t>
        </is>
      </c>
      <c r="E866" s="107" t="n">
        <v>73.41</v>
      </c>
      <c r="F866" s="108" t="n">
        <v>50</v>
      </c>
      <c r="G866" s="107">
        <f>ROUND(E866*(1+IF(ABS(F866)&lt;=1,F866,F866/100)),2)</f>
        <v/>
      </c>
      <c r="H866" s="105" t="n">
        <v>15</v>
      </c>
      <c r="I866" s="105" t="n">
        <v>5</v>
      </c>
      <c r="J866" s="105">
        <f>IF(OR(UPPER(C866)="SERVIÇO",UPPER(C866)="SERVICO"),"SERVIÇO",IF(H866&lt;=0,"ZERADO",IF(H866&lt;=I866,"ESTOQUE BAIXO","NORMAL")))</f>
        <v/>
      </c>
      <c r="K866" s="107">
        <f>IF(OR(UPPER(C866)="SERVIÇO",UPPER(C866)="SERVICO"),0,N(H866)*N(E866))</f>
        <v/>
      </c>
      <c r="L866" s="107">
        <f>IF(OR(UPPER(C866)="SERVIÇO",UPPER(C866)="SERVICO"),0,N(H866)*N(G866))</f>
        <v/>
      </c>
      <c r="M866" s="107">
        <f>IF(OR(UPPER(C866)="SERVIÇO",UPPER(C866)="SERVICO"),0,L866-K866)</f>
        <v/>
      </c>
    </row>
    <row r="867" ht="15" customHeight="1">
      <c r="B867" s="105" t="n">
        <v>856</v>
      </c>
      <c r="C867" s="105" t="inlineStr">
        <is>
          <t>Produto</t>
        </is>
      </c>
      <c r="D867" s="106" t="inlineStr">
        <is>
          <t>Coqueteleira recreativo branco</t>
        </is>
      </c>
      <c r="E867" s="107" t="n">
        <v>45.86</v>
      </c>
      <c r="F867" s="108" t="n">
        <v>50</v>
      </c>
      <c r="G867" s="107">
        <f>ROUND(E867*(1+IF(ABS(F867)&lt;=1,F867,F867/100)),2)</f>
        <v/>
      </c>
      <c r="H867" s="105" t="n">
        <v>15</v>
      </c>
      <c r="I867" s="105" t="n">
        <v>5</v>
      </c>
      <c r="J867" s="105">
        <f>IF(OR(UPPER(C867)="SERVIÇO",UPPER(C867)="SERVICO"),"SERVIÇO",IF(H867&lt;=0,"ZERADO",IF(H867&lt;=I867,"ESTOQUE BAIXO","NORMAL")))</f>
        <v/>
      </c>
      <c r="K867" s="107">
        <f>IF(OR(UPPER(C867)="SERVIÇO",UPPER(C867)="SERVICO"),0,N(H867)*N(E867))</f>
        <v/>
      </c>
      <c r="L867" s="107">
        <f>IF(OR(UPPER(C867)="SERVIÇO",UPPER(C867)="SERVICO"),0,N(H867)*N(G867))</f>
        <v/>
      </c>
      <c r="M867" s="107">
        <f>IF(OR(UPPER(C867)="SERVIÇO",UPPER(C867)="SERVICO"),0,L867-K867)</f>
        <v/>
      </c>
    </row>
    <row r="868" ht="15" customHeight="1">
      <c r="B868" s="105" t="n">
        <v>857</v>
      </c>
      <c r="C868" s="105" t="inlineStr">
        <is>
          <t>Produto</t>
        </is>
      </c>
      <c r="D868" s="106" t="inlineStr">
        <is>
          <t>Bicicleta ergométrica adulto branco</t>
        </is>
      </c>
      <c r="E868" s="107" t="n">
        <v>1009.84</v>
      </c>
      <c r="F868" s="108" t="n">
        <v>50</v>
      </c>
      <c r="G868" s="107">
        <f>ROUND(E868*(1+IF(ABS(F868)&lt;=1,F868,F868/100)),2)</f>
        <v/>
      </c>
      <c r="H868" s="105" t="n">
        <v>15</v>
      </c>
      <c r="I868" s="105" t="n">
        <v>5</v>
      </c>
      <c r="J868" s="105">
        <f>IF(OR(UPPER(C868)="SERVIÇO",UPPER(C868)="SERVICO"),"SERVIÇO",IF(H868&lt;=0,"ZERADO",IF(H868&lt;=I868,"ESTOQUE BAIXO","NORMAL")))</f>
        <v/>
      </c>
      <c r="K868" s="107">
        <f>IF(OR(UPPER(C868)="SERVIÇO",UPPER(C868)="SERVICO"),0,N(H868)*N(E868))</f>
        <v/>
      </c>
      <c r="L868" s="107">
        <f>IF(OR(UPPER(C868)="SERVIÇO",UPPER(C868)="SERVICO"),0,N(H868)*N(G868))</f>
        <v/>
      </c>
      <c r="M868" s="107">
        <f>IF(OR(UPPER(C868)="SERVIÇO",UPPER(C868)="SERVICO"),0,L868-K868)</f>
        <v/>
      </c>
    </row>
    <row r="869" ht="15" customHeight="1">
      <c r="B869" s="105" t="n">
        <v>858</v>
      </c>
      <c r="C869" s="105" t="inlineStr">
        <is>
          <t>Produto</t>
        </is>
      </c>
      <c r="D869" s="106" t="inlineStr">
        <is>
          <t>Jaqueta esportiva premium branco tam. G</t>
        </is>
      </c>
      <c r="E869" s="107" t="n">
        <v>221.12</v>
      </c>
      <c r="F869" s="108" t="n">
        <v>50</v>
      </c>
      <c r="G869" s="107">
        <f>ROUND(E869*(1+IF(ABS(F869)&lt;=1,F869,F869/100)),2)</f>
        <v/>
      </c>
      <c r="H869" s="105" t="n">
        <v>15</v>
      </c>
      <c r="I869" s="105" t="n">
        <v>5</v>
      </c>
      <c r="J869" s="105">
        <f>IF(OR(UPPER(C869)="SERVIÇO",UPPER(C869)="SERVICO"),"SERVIÇO",IF(H869&lt;=0,"ZERADO",IF(H869&lt;=I869,"ESTOQUE BAIXO","NORMAL")))</f>
        <v/>
      </c>
      <c r="K869" s="107">
        <f>IF(OR(UPPER(C869)="SERVIÇO",UPPER(C869)="SERVICO"),0,N(H869)*N(E869))</f>
        <v/>
      </c>
      <c r="L869" s="107">
        <f>IF(OR(UPPER(C869)="SERVIÇO",UPPER(C869)="SERVICO"),0,N(H869)*N(G869))</f>
        <v/>
      </c>
      <c r="M869" s="107">
        <f>IF(OR(UPPER(C869)="SERVIÇO",UPPER(C869)="SERVICO"),0,L869-K869)</f>
        <v/>
      </c>
    </row>
    <row r="870" ht="15" customHeight="1">
      <c r="B870" s="105" t="n">
        <v>859</v>
      </c>
      <c r="C870" s="105" t="inlineStr">
        <is>
          <t>Produto</t>
        </is>
      </c>
      <c r="D870" s="106" t="inlineStr">
        <is>
          <t>Kettlebell com ajuste rosa</t>
        </is>
      </c>
      <c r="E870" s="107" t="n">
        <v>105.28</v>
      </c>
      <c r="F870" s="108" t="n">
        <v>50</v>
      </c>
      <c r="G870" s="107">
        <f>ROUND(E870*(1+IF(ABS(F870)&lt;=1,F870,F870/100)),2)</f>
        <v/>
      </c>
      <c r="H870" s="105" t="n">
        <v>15</v>
      </c>
      <c r="I870" s="105" t="n">
        <v>5</v>
      </c>
      <c r="J870" s="105">
        <f>IF(OR(UPPER(C870)="SERVIÇO",UPPER(C870)="SERVICO"),"SERVIÇO",IF(H870&lt;=0,"ZERADO",IF(H870&lt;=I870,"ESTOQUE BAIXO","NORMAL")))</f>
        <v/>
      </c>
      <c r="K870" s="107">
        <f>IF(OR(UPPER(C870)="SERVIÇO",UPPER(C870)="SERVICO"),0,N(H870)*N(E870))</f>
        <v/>
      </c>
      <c r="L870" s="107">
        <f>IF(OR(UPPER(C870)="SERVIÇO",UPPER(C870)="SERVICO"),0,N(H870)*N(G870))</f>
        <v/>
      </c>
      <c r="M870" s="107">
        <f>IF(OR(UPPER(C870)="SERVIÇO",UPPER(C870)="SERVICO"),0,L870-K870)</f>
        <v/>
      </c>
    </row>
    <row r="871" ht="15" customHeight="1">
      <c r="B871" s="105" t="n">
        <v>860</v>
      </c>
      <c r="C871" s="105" t="inlineStr">
        <is>
          <t>Produto</t>
        </is>
      </c>
      <c r="D871" s="106" t="inlineStr">
        <is>
          <t>Coqueteleira ventilado azul</t>
        </is>
      </c>
      <c r="E871" s="107" t="n">
        <v>19.32</v>
      </c>
      <c r="F871" s="108" t="n">
        <v>50</v>
      </c>
      <c r="G871" s="107">
        <f>ROUND(E871*(1+IF(ABS(F871)&lt;=1,F871,F871/100)),2)</f>
        <v/>
      </c>
      <c r="H871" s="105" t="n">
        <v>15</v>
      </c>
      <c r="I871" s="105" t="n">
        <v>5</v>
      </c>
      <c r="J871" s="105">
        <f>IF(OR(UPPER(C871)="SERVIÇO",UPPER(C871)="SERVICO"),"SERVIÇO",IF(H871&lt;=0,"ZERADO",IF(H871&lt;=I871,"ESTOQUE BAIXO","NORMAL")))</f>
        <v/>
      </c>
      <c r="K871" s="107">
        <f>IF(OR(UPPER(C871)="SERVIÇO",UPPER(C871)="SERVICO"),0,N(H871)*N(E871))</f>
        <v/>
      </c>
      <c r="L871" s="107">
        <f>IF(OR(UPPER(C871)="SERVIÇO",UPPER(C871)="SERVICO"),0,N(H871)*N(G871))</f>
        <v/>
      </c>
      <c r="M871" s="107">
        <f>IF(OR(UPPER(C871)="SERVIÇO",UPPER(C871)="SERVICO"),0,L871-K871)</f>
        <v/>
      </c>
    </row>
    <row r="872" ht="15" customHeight="1">
      <c r="B872" s="105" t="n">
        <v>861</v>
      </c>
      <c r="C872" s="105" t="inlineStr">
        <is>
          <t>Produto</t>
        </is>
      </c>
      <c r="D872" s="106" t="inlineStr">
        <is>
          <t>Saco de pancadas premium vermelho</t>
        </is>
      </c>
      <c r="E872" s="107" t="n">
        <v>708.2</v>
      </c>
      <c r="F872" s="108" t="n">
        <v>50</v>
      </c>
      <c r="G872" s="107">
        <f>ROUND(E872*(1+IF(ABS(F872)&lt;=1,F872,F872/100)),2)</f>
        <v/>
      </c>
      <c r="H872" s="105" t="n">
        <v>15</v>
      </c>
      <c r="I872" s="105" t="n">
        <v>5</v>
      </c>
      <c r="J872" s="105">
        <f>IF(OR(UPPER(C872)="SERVIÇO",UPPER(C872)="SERVICO"),"SERVIÇO",IF(H872&lt;=0,"ZERADO",IF(H872&lt;=I872,"ESTOQUE BAIXO","NORMAL")))</f>
        <v/>
      </c>
      <c r="K872" s="107">
        <f>IF(OR(UPPER(C872)="SERVIÇO",UPPER(C872)="SERVICO"),0,N(H872)*N(E872))</f>
        <v/>
      </c>
      <c r="L872" s="107">
        <f>IF(OR(UPPER(C872)="SERVIÇO",UPPER(C872)="SERVICO"),0,N(H872)*N(G872))</f>
        <v/>
      </c>
      <c r="M872" s="107">
        <f>IF(OR(UPPER(C872)="SERVIÇO",UPPER(C872)="SERVICO"),0,L872-K872)</f>
        <v/>
      </c>
    </row>
    <row r="873" ht="15" customHeight="1">
      <c r="B873" s="105" t="n">
        <v>862</v>
      </c>
      <c r="C873" s="105" t="inlineStr">
        <is>
          <t>Produto</t>
        </is>
      </c>
      <c r="D873" s="106" t="inlineStr">
        <is>
          <t>Short esportivo profissional azul tam. P</t>
        </is>
      </c>
      <c r="E873" s="107" t="n">
        <v>94.40000000000001</v>
      </c>
      <c r="F873" s="108" t="n">
        <v>50</v>
      </c>
      <c r="G873" s="107">
        <f>ROUND(E873*(1+IF(ABS(F873)&lt;=1,F873,F873/100)),2)</f>
        <v/>
      </c>
      <c r="H873" s="105" t="n">
        <v>15</v>
      </c>
      <c r="I873" s="105" t="n">
        <v>5</v>
      </c>
      <c r="J873" s="105">
        <f>IF(OR(UPPER(C873)="SERVIÇO",UPPER(C873)="SERVICO"),"SERVIÇO",IF(H873&lt;=0,"ZERADO",IF(H873&lt;=I873,"ESTOQUE BAIXO","NORMAL")))</f>
        <v/>
      </c>
      <c r="K873" s="107">
        <f>IF(OR(UPPER(C873)="SERVIÇO",UPPER(C873)="SERVICO"),0,N(H873)*N(E873))</f>
        <v/>
      </c>
      <c r="L873" s="107">
        <f>IF(OR(UPPER(C873)="SERVIÇO",UPPER(C873)="SERVICO"),0,N(H873)*N(G873))</f>
        <v/>
      </c>
      <c r="M873" s="107">
        <f>IF(OR(UPPER(C873)="SERVIÇO",UPPER(C873)="SERVICO"),0,L873-K873)</f>
        <v/>
      </c>
    </row>
    <row r="874" ht="15" customHeight="1">
      <c r="B874" s="105" t="n">
        <v>863</v>
      </c>
      <c r="C874" s="105" t="inlineStr">
        <is>
          <t>Produto</t>
        </is>
      </c>
      <c r="D874" s="106" t="inlineStr">
        <is>
          <t>Touca de natação unissex laranja tam. 44</t>
        </is>
      </c>
      <c r="E874" s="107" t="n">
        <v>19.79</v>
      </c>
      <c r="F874" s="108" t="n">
        <v>50</v>
      </c>
      <c r="G874" s="107">
        <f>ROUND(E874*(1+IF(ABS(F874)&lt;=1,F874,F874/100)),2)</f>
        <v/>
      </c>
      <c r="H874" s="105" t="n">
        <v>15</v>
      </c>
      <c r="I874" s="105" t="n">
        <v>5</v>
      </c>
      <c r="J874" s="105">
        <f>IF(OR(UPPER(C874)="SERVIÇO",UPPER(C874)="SERVICO"),"SERVIÇO",IF(H874&lt;=0,"ZERADO",IF(H874&lt;=I874,"ESTOQUE BAIXO","NORMAL")))</f>
        <v/>
      </c>
      <c r="K874" s="107">
        <f>IF(OR(UPPER(C874)="SERVIÇO",UPPER(C874)="SERVICO"),0,N(H874)*N(E874))</f>
        <v/>
      </c>
      <c r="L874" s="107">
        <f>IF(OR(UPPER(C874)="SERVIÇO",UPPER(C874)="SERVICO"),0,N(H874)*N(G874))</f>
        <v/>
      </c>
      <c r="M874" s="107">
        <f>IF(OR(UPPER(C874)="SERVIÇO",UPPER(C874)="SERVICO"),0,L874-K874)</f>
        <v/>
      </c>
    </row>
    <row r="875" ht="15" customHeight="1">
      <c r="B875" s="105" t="n">
        <v>864</v>
      </c>
      <c r="C875" s="105" t="inlineStr">
        <is>
          <t>Produto</t>
        </is>
      </c>
      <c r="D875" s="106" t="inlineStr">
        <is>
          <t>Bola de vôlei premium rosa</t>
        </is>
      </c>
      <c r="E875" s="107" t="n">
        <v>78.87</v>
      </c>
      <c r="F875" s="108" t="n">
        <v>50</v>
      </c>
      <c r="G875" s="107">
        <f>ROUND(E875*(1+IF(ABS(F875)&lt;=1,F875,F875/100)),2)</f>
        <v/>
      </c>
      <c r="H875" s="105" t="n">
        <v>15</v>
      </c>
      <c r="I875" s="105" t="n">
        <v>5</v>
      </c>
      <c r="J875" s="105">
        <f>IF(OR(UPPER(C875)="SERVIÇO",UPPER(C875)="SERVICO"),"SERVIÇO",IF(H875&lt;=0,"ZERADO",IF(H875&lt;=I875,"ESTOQUE BAIXO","NORMAL")))</f>
        <v/>
      </c>
      <c r="K875" s="107">
        <f>IF(OR(UPPER(C875)="SERVIÇO",UPPER(C875)="SERVICO"),0,N(H875)*N(E875))</f>
        <v/>
      </c>
      <c r="L875" s="107">
        <f>IF(OR(UPPER(C875)="SERVIÇO",UPPER(C875)="SERVICO"),0,N(H875)*N(G875))</f>
        <v/>
      </c>
      <c r="M875" s="107">
        <f>IF(OR(UPPER(C875)="SERVIÇO",UPPER(C875)="SERVICO"),0,L875-K875)</f>
        <v/>
      </c>
    </row>
    <row r="876" ht="15" customHeight="1">
      <c r="B876" s="105" t="n">
        <v>865</v>
      </c>
      <c r="C876" s="105" t="inlineStr">
        <is>
          <t>Produto</t>
        </is>
      </c>
      <c r="D876" s="106" t="inlineStr">
        <is>
          <t>Chuteira society para uso diário verde tam. 44</t>
        </is>
      </c>
      <c r="E876" s="107" t="n">
        <v>323.9</v>
      </c>
      <c r="F876" s="108" t="n">
        <v>50</v>
      </c>
      <c r="G876" s="107">
        <f>ROUND(E876*(1+IF(ABS(F876)&lt;=1,F876,F876/100)),2)</f>
        <v/>
      </c>
      <c r="H876" s="105" t="n">
        <v>15</v>
      </c>
      <c r="I876" s="105" t="n">
        <v>5</v>
      </c>
      <c r="J876" s="105">
        <f>IF(OR(UPPER(C876)="SERVIÇO",UPPER(C876)="SERVICO"),"SERVIÇO",IF(H876&lt;=0,"ZERADO",IF(H876&lt;=I876,"ESTOQUE BAIXO","NORMAL")))</f>
        <v/>
      </c>
      <c r="K876" s="107">
        <f>IF(OR(UPPER(C876)="SERVIÇO",UPPER(C876)="SERVICO"),0,N(H876)*N(E876))</f>
        <v/>
      </c>
      <c r="L876" s="107">
        <f>IF(OR(UPPER(C876)="SERVIÇO",UPPER(C876)="SERVICO"),0,N(H876)*N(G876))</f>
        <v/>
      </c>
      <c r="M876" s="107">
        <f>IF(OR(UPPER(C876)="SERVIÇO",UPPER(C876)="SERVICO"),0,L876-K876)</f>
        <v/>
      </c>
    </row>
    <row r="877" ht="15" customHeight="1">
      <c r="B877" s="105" t="n">
        <v>866</v>
      </c>
      <c r="C877" s="105" t="inlineStr">
        <is>
          <t>Produto</t>
        </is>
      </c>
      <c r="D877" s="106" t="inlineStr">
        <is>
          <t>Garrafa squeeze com ajuste azul</t>
        </is>
      </c>
      <c r="E877" s="107" t="n">
        <v>29.18</v>
      </c>
      <c r="F877" s="108" t="n">
        <v>50</v>
      </c>
      <c r="G877" s="107">
        <f>ROUND(E877*(1+IF(ABS(F877)&lt;=1,F877,F877/100)),2)</f>
        <v/>
      </c>
      <c r="H877" s="105" t="n">
        <v>15</v>
      </c>
      <c r="I877" s="105" t="n">
        <v>5</v>
      </c>
      <c r="J877" s="105">
        <f>IF(OR(UPPER(C877)="SERVIÇO",UPPER(C877)="SERVICO"),"SERVIÇO",IF(H877&lt;=0,"ZERADO",IF(H877&lt;=I877,"ESTOQUE BAIXO","NORMAL")))</f>
        <v/>
      </c>
      <c r="K877" s="107">
        <f>IF(OR(UPPER(C877)="SERVIÇO",UPPER(C877)="SERVICO"),0,N(H877)*N(E877))</f>
        <v/>
      </c>
      <c r="L877" s="107">
        <f>IF(OR(UPPER(C877)="SERVIÇO",UPPER(C877)="SERVICO"),0,N(H877)*N(G877))</f>
        <v/>
      </c>
      <c r="M877" s="107">
        <f>IF(OR(UPPER(C877)="SERVIÇO",UPPER(C877)="SERVICO"),0,L877-K877)</f>
        <v/>
      </c>
    </row>
    <row r="878" ht="15" customHeight="1">
      <c r="B878" s="105" t="n">
        <v>867</v>
      </c>
      <c r="C878" s="105" t="inlineStr">
        <is>
          <t>Produto</t>
        </is>
      </c>
      <c r="D878" s="106" t="inlineStr">
        <is>
          <t>Relógio esportivo compacto vermelho</t>
        </is>
      </c>
      <c r="E878" s="107" t="n">
        <v>1150.31</v>
      </c>
      <c r="F878" s="108" t="n">
        <v>50</v>
      </c>
      <c r="G878" s="107">
        <f>ROUND(E878*(1+IF(ABS(F878)&lt;=1,F878,F878/100)),2)</f>
        <v/>
      </c>
      <c r="H878" s="105" t="n">
        <v>15</v>
      </c>
      <c r="I878" s="105" t="n">
        <v>5</v>
      </c>
      <c r="J878" s="105">
        <f>IF(OR(UPPER(C878)="SERVIÇO",UPPER(C878)="SERVICO"),"SERVIÇO",IF(H878&lt;=0,"ZERADO",IF(H878&lt;=I878,"ESTOQUE BAIXO","NORMAL")))</f>
        <v/>
      </c>
      <c r="K878" s="107">
        <f>IF(OR(UPPER(C878)="SERVIÇO",UPPER(C878)="SERVICO"),0,N(H878)*N(E878))</f>
        <v/>
      </c>
      <c r="L878" s="107">
        <f>IF(OR(UPPER(C878)="SERVIÇO",UPPER(C878)="SERVICO"),0,N(H878)*N(G878))</f>
        <v/>
      </c>
      <c r="M878" s="107">
        <f>IF(OR(UPPER(C878)="SERVIÇO",UPPER(C878)="SERVICO"),0,L878-K878)</f>
        <v/>
      </c>
    </row>
    <row r="879" ht="15" customHeight="1">
      <c r="B879" s="105" t="n">
        <v>868</v>
      </c>
      <c r="C879" s="105" t="inlineStr">
        <is>
          <t>Produto</t>
        </is>
      </c>
      <c r="D879" s="106" t="inlineStr">
        <is>
          <t>Chuteira de campo leve vermelho tam. 44</t>
        </is>
      </c>
      <c r="E879" s="107" t="n">
        <v>515.9400000000001</v>
      </c>
      <c r="F879" s="108" t="n">
        <v>50</v>
      </c>
      <c r="G879" s="107">
        <f>ROUND(E879*(1+IF(ABS(F879)&lt;=1,F879,F879/100)),2)</f>
        <v/>
      </c>
      <c r="H879" s="105" t="n">
        <v>15</v>
      </c>
      <c r="I879" s="105" t="n">
        <v>5</v>
      </c>
      <c r="J879" s="105">
        <f>IF(OR(UPPER(C879)="SERVIÇO",UPPER(C879)="SERVICO"),"SERVIÇO",IF(H879&lt;=0,"ZERADO",IF(H879&lt;=I879,"ESTOQUE BAIXO","NORMAL")))</f>
        <v/>
      </c>
      <c r="K879" s="107">
        <f>IF(OR(UPPER(C879)="SERVIÇO",UPPER(C879)="SERVICO"),0,N(H879)*N(E879))</f>
        <v/>
      </c>
      <c r="L879" s="107">
        <f>IF(OR(UPPER(C879)="SERVIÇO",UPPER(C879)="SERVICO"),0,N(H879)*N(G879))</f>
        <v/>
      </c>
      <c r="M879" s="107">
        <f>IF(OR(UPPER(C879)="SERVIÇO",UPPER(C879)="SERVICO"),0,L879-K879)</f>
        <v/>
      </c>
    </row>
    <row r="880" ht="15" customHeight="1">
      <c r="B880" s="105" t="n">
        <v>869</v>
      </c>
      <c r="C880" s="105" t="inlineStr">
        <is>
          <t>Produto</t>
        </is>
      </c>
      <c r="D880" s="106" t="inlineStr">
        <is>
          <t>Prancha de natação ergonômico branco</t>
        </is>
      </c>
      <c r="E880" s="107" t="n">
        <v>21.58</v>
      </c>
      <c r="F880" s="108" t="n">
        <v>50</v>
      </c>
      <c r="G880" s="107">
        <f>ROUND(E880*(1+IF(ABS(F880)&lt;=1,F880,F880/100)),2)</f>
        <v/>
      </c>
      <c r="H880" s="105" t="n">
        <v>15</v>
      </c>
      <c r="I880" s="105" t="n">
        <v>5</v>
      </c>
      <c r="J880" s="105">
        <f>IF(OR(UPPER(C880)="SERVIÇO",UPPER(C880)="SERVICO"),"SERVIÇO",IF(H880&lt;=0,"ZERADO",IF(H880&lt;=I880,"ESTOQUE BAIXO","NORMAL")))</f>
        <v/>
      </c>
      <c r="K880" s="107">
        <f>IF(OR(UPPER(C880)="SERVIÇO",UPPER(C880)="SERVICO"),0,N(H880)*N(E880))</f>
        <v/>
      </c>
      <c r="L880" s="107">
        <f>IF(OR(UPPER(C880)="SERVIÇO",UPPER(C880)="SERVICO"),0,N(H880)*N(G880))</f>
        <v/>
      </c>
      <c r="M880" s="107">
        <f>IF(OR(UPPER(C880)="SERVIÇO",UPPER(C880)="SERVICO"),0,L880-K880)</f>
        <v/>
      </c>
    </row>
    <row r="881" ht="15" customHeight="1">
      <c r="B881" s="105" t="n">
        <v>870</v>
      </c>
      <c r="C881" s="105" t="inlineStr">
        <is>
          <t>Produto</t>
        </is>
      </c>
      <c r="D881" s="106" t="inlineStr">
        <is>
          <t>Step de ginástica compacto azul</t>
        </is>
      </c>
      <c r="E881" s="107" t="n">
        <v>123.38</v>
      </c>
      <c r="F881" s="108" t="n">
        <v>50</v>
      </c>
      <c r="G881" s="107">
        <f>ROUND(E881*(1+IF(ABS(F881)&lt;=1,F881,F881/100)),2)</f>
        <v/>
      </c>
      <c r="H881" s="105" t="n">
        <v>15</v>
      </c>
      <c r="I881" s="105" t="n">
        <v>5</v>
      </c>
      <c r="J881" s="105">
        <f>IF(OR(UPPER(C881)="SERVIÇO",UPPER(C881)="SERVICO"),"SERVIÇO",IF(H881&lt;=0,"ZERADO",IF(H881&lt;=I881,"ESTOQUE BAIXO","NORMAL")))</f>
        <v/>
      </c>
      <c r="K881" s="107">
        <f>IF(OR(UPPER(C881)="SERVIÇO",UPPER(C881)="SERVICO"),0,N(H881)*N(E881))</f>
        <v/>
      </c>
      <c r="L881" s="107">
        <f>IF(OR(UPPER(C881)="SERVIÇO",UPPER(C881)="SERVICO"),0,N(H881)*N(G881))</f>
        <v/>
      </c>
      <c r="M881" s="107">
        <f>IF(OR(UPPER(C881)="SERVIÇO",UPPER(C881)="SERVICO"),0,L881-K881)</f>
        <v/>
      </c>
    </row>
    <row r="882" ht="15" customHeight="1">
      <c r="B882" s="105" t="n">
        <v>871</v>
      </c>
      <c r="C882" s="105" t="inlineStr">
        <is>
          <t>Produto</t>
        </is>
      </c>
      <c r="D882" s="106" t="inlineStr">
        <is>
          <t>Jaqueta esportiva reforçado branco tam. 38</t>
        </is>
      </c>
      <c r="E882" s="107" t="n">
        <v>169.48</v>
      </c>
      <c r="F882" s="108" t="n">
        <v>50</v>
      </c>
      <c r="G882" s="107">
        <f>ROUND(E882*(1+IF(ABS(F882)&lt;=1,F882,F882/100)),2)</f>
        <v/>
      </c>
      <c r="H882" s="105" t="n">
        <v>15</v>
      </c>
      <c r="I882" s="105" t="n">
        <v>5</v>
      </c>
      <c r="J882" s="105">
        <f>IF(OR(UPPER(C882)="SERVIÇO",UPPER(C882)="SERVICO"),"SERVIÇO",IF(H882&lt;=0,"ZERADO",IF(H882&lt;=I882,"ESTOQUE BAIXO","NORMAL")))</f>
        <v/>
      </c>
      <c r="K882" s="107">
        <f>IF(OR(UPPER(C882)="SERVIÇO",UPPER(C882)="SERVICO"),0,N(H882)*N(E882))</f>
        <v/>
      </c>
      <c r="L882" s="107">
        <f>IF(OR(UPPER(C882)="SERVIÇO",UPPER(C882)="SERVICO"),0,N(H882)*N(G882))</f>
        <v/>
      </c>
      <c r="M882" s="107">
        <f>IF(OR(UPPER(C882)="SERVIÇO",UPPER(C882)="SERVICO"),0,L882-K882)</f>
        <v/>
      </c>
    </row>
    <row r="883" ht="15" customHeight="1">
      <c r="B883" s="105" t="n">
        <v>872</v>
      </c>
      <c r="C883" s="105" t="inlineStr">
        <is>
          <t>Produto</t>
        </is>
      </c>
      <c r="D883" s="106" t="inlineStr">
        <is>
          <t>Capacete de ciclismo juvenil branco</t>
        </is>
      </c>
      <c r="E883" s="107" t="n">
        <v>80.15000000000001</v>
      </c>
      <c r="F883" s="108" t="n">
        <v>50</v>
      </c>
      <c r="G883" s="107">
        <f>ROUND(E883*(1+IF(ABS(F883)&lt;=1,F883,F883/100)),2)</f>
        <v/>
      </c>
      <c r="H883" s="105" t="n">
        <v>15</v>
      </c>
      <c r="I883" s="105" t="n">
        <v>5</v>
      </c>
      <c r="J883" s="105">
        <f>IF(OR(UPPER(C883)="SERVIÇO",UPPER(C883)="SERVICO"),"SERVIÇO",IF(H883&lt;=0,"ZERADO",IF(H883&lt;=I883,"ESTOQUE BAIXO","NORMAL")))</f>
        <v/>
      </c>
      <c r="K883" s="107">
        <f>IF(OR(UPPER(C883)="SERVIÇO",UPPER(C883)="SERVICO"),0,N(H883)*N(E883))</f>
        <v/>
      </c>
      <c r="L883" s="107">
        <f>IF(OR(UPPER(C883)="SERVIÇO",UPPER(C883)="SERVICO"),0,N(H883)*N(G883))</f>
        <v/>
      </c>
      <c r="M883" s="107">
        <f>IF(OR(UPPER(C883)="SERVIÇO",UPPER(C883)="SERVICO"),0,L883-K883)</f>
        <v/>
      </c>
    </row>
    <row r="884" ht="15" customHeight="1">
      <c r="B884" s="105" t="n">
        <v>873</v>
      </c>
      <c r="C884" s="105" t="inlineStr">
        <is>
          <t>Produto</t>
        </is>
      </c>
      <c r="D884" s="106" t="inlineStr">
        <is>
          <t>Monitor cardíaco premium vermelho</t>
        </is>
      </c>
      <c r="E884" s="107" t="n">
        <v>259.6</v>
      </c>
      <c r="F884" s="108" t="n">
        <v>50</v>
      </c>
      <c r="G884" s="107">
        <f>ROUND(E884*(1+IF(ABS(F884)&lt;=1,F884,F884/100)),2)</f>
        <v/>
      </c>
      <c r="H884" s="105" t="n">
        <v>15</v>
      </c>
      <c r="I884" s="105" t="n">
        <v>5</v>
      </c>
      <c r="J884" s="105">
        <f>IF(OR(UPPER(C884)="SERVIÇO",UPPER(C884)="SERVICO"),"SERVIÇO",IF(H884&lt;=0,"ZERADO",IF(H884&lt;=I884,"ESTOQUE BAIXO","NORMAL")))</f>
        <v/>
      </c>
      <c r="K884" s="107">
        <f>IF(OR(UPPER(C884)="SERVIÇO",UPPER(C884)="SERVICO"),0,N(H884)*N(E884))</f>
        <v/>
      </c>
      <c r="L884" s="107">
        <f>IF(OR(UPPER(C884)="SERVIÇO",UPPER(C884)="SERVICO"),0,N(H884)*N(G884))</f>
        <v/>
      </c>
      <c r="M884" s="107">
        <f>IF(OR(UPPER(C884)="SERVIÇO",UPPER(C884)="SERVICO"),0,L884-K884)</f>
        <v/>
      </c>
    </row>
    <row r="885" ht="15" customHeight="1">
      <c r="B885" s="105" t="n">
        <v>874</v>
      </c>
      <c r="C885" s="105" t="inlineStr">
        <is>
          <t>Produto</t>
        </is>
      </c>
      <c r="D885" s="106" t="inlineStr">
        <is>
          <t>Bloco para yoga unissex azul</t>
        </is>
      </c>
      <c r="E885" s="107" t="n">
        <v>29.09</v>
      </c>
      <c r="F885" s="108" t="n">
        <v>50</v>
      </c>
      <c r="G885" s="107">
        <f>ROUND(E885*(1+IF(ABS(F885)&lt;=1,F885,F885/100)),2)</f>
        <v/>
      </c>
      <c r="H885" s="105" t="n">
        <v>15</v>
      </c>
      <c r="I885" s="105" t="n">
        <v>5</v>
      </c>
      <c r="J885" s="105">
        <f>IF(OR(UPPER(C885)="SERVIÇO",UPPER(C885)="SERVICO"),"SERVIÇO",IF(H885&lt;=0,"ZERADO",IF(H885&lt;=I885,"ESTOQUE BAIXO","NORMAL")))</f>
        <v/>
      </c>
      <c r="K885" s="107">
        <f>IF(OR(UPPER(C885)="SERVIÇO",UPPER(C885)="SERVICO"),0,N(H885)*N(E885))</f>
        <v/>
      </c>
      <c r="L885" s="107">
        <f>IF(OR(UPPER(C885)="SERVIÇO",UPPER(C885)="SERVICO"),0,N(H885)*N(G885))</f>
        <v/>
      </c>
      <c r="M885" s="107">
        <f>IF(OR(UPPER(C885)="SERVIÇO",UPPER(C885)="SERVICO"),0,L885-K885)</f>
        <v/>
      </c>
    </row>
    <row r="886" ht="15" customHeight="1">
      <c r="B886" s="105" t="n">
        <v>875</v>
      </c>
      <c r="C886" s="105" t="inlineStr">
        <is>
          <t>Produto</t>
        </is>
      </c>
      <c r="D886" s="106" t="inlineStr">
        <is>
          <t>Bloco para yoga resistente laranja</t>
        </is>
      </c>
      <c r="E886" s="107" t="n">
        <v>22.7</v>
      </c>
      <c r="F886" s="108" t="n">
        <v>50</v>
      </c>
      <c r="G886" s="107">
        <f>ROUND(E886*(1+IF(ABS(F886)&lt;=1,F886,F886/100)),2)</f>
        <v/>
      </c>
      <c r="H886" s="105" t="n">
        <v>15</v>
      </c>
      <c r="I886" s="105" t="n">
        <v>5</v>
      </c>
      <c r="J886" s="105">
        <f>IF(OR(UPPER(C886)="SERVIÇO",UPPER(C886)="SERVICO"),"SERVIÇO",IF(H886&lt;=0,"ZERADO",IF(H886&lt;=I886,"ESTOQUE BAIXO","NORMAL")))</f>
        <v/>
      </c>
      <c r="K886" s="107">
        <f>IF(OR(UPPER(C886)="SERVIÇO",UPPER(C886)="SERVICO"),0,N(H886)*N(E886))</f>
        <v/>
      </c>
      <c r="L886" s="107">
        <f>IF(OR(UPPER(C886)="SERVIÇO",UPPER(C886)="SERVICO"),0,N(H886)*N(G886))</f>
        <v/>
      </c>
      <c r="M886" s="107">
        <f>IF(OR(UPPER(C886)="SERVIÇO",UPPER(C886)="SERVICO"),0,L886-K886)</f>
        <v/>
      </c>
    </row>
    <row r="887" ht="15" customHeight="1">
      <c r="B887" s="105" t="n">
        <v>876</v>
      </c>
      <c r="C887" s="105" t="inlineStr">
        <is>
          <t>Produto</t>
        </is>
      </c>
      <c r="D887" s="106" t="inlineStr">
        <is>
          <t>Colchonete de exercício ergonômico preto</t>
        </is>
      </c>
      <c r="E887" s="107" t="n">
        <v>72.11</v>
      </c>
      <c r="F887" s="108" t="n">
        <v>50</v>
      </c>
      <c r="G887" s="107">
        <f>ROUND(E887*(1+IF(ABS(F887)&lt;=1,F887,F887/100)),2)</f>
        <v/>
      </c>
      <c r="H887" s="105" t="n">
        <v>15</v>
      </c>
      <c r="I887" s="105" t="n">
        <v>5</v>
      </c>
      <c r="J887" s="105">
        <f>IF(OR(UPPER(C887)="SERVIÇO",UPPER(C887)="SERVICO"),"SERVIÇO",IF(H887&lt;=0,"ZERADO",IF(H887&lt;=I887,"ESTOQUE BAIXO","NORMAL")))</f>
        <v/>
      </c>
      <c r="K887" s="107">
        <f>IF(OR(UPPER(C887)="SERVIÇO",UPPER(C887)="SERVICO"),0,N(H887)*N(E887))</f>
        <v/>
      </c>
      <c r="L887" s="107">
        <f>IF(OR(UPPER(C887)="SERVIÇO",UPPER(C887)="SERVICO"),0,N(H887)*N(G887))</f>
        <v/>
      </c>
      <c r="M887" s="107">
        <f>IF(OR(UPPER(C887)="SERVIÇO",UPPER(C887)="SERVICO"),0,L887-K887)</f>
        <v/>
      </c>
    </row>
    <row r="888" ht="15" customHeight="1">
      <c r="B888" s="105" t="n">
        <v>877</v>
      </c>
      <c r="C888" s="105" t="inlineStr">
        <is>
          <t>Produto</t>
        </is>
      </c>
      <c r="D888" s="106" t="inlineStr">
        <is>
          <t>Chuteira de campo leve verde tam. M</t>
        </is>
      </c>
      <c r="E888" s="107" t="n">
        <v>312.74</v>
      </c>
      <c r="F888" s="108" t="n">
        <v>50</v>
      </c>
      <c r="G888" s="107">
        <f>ROUND(E888*(1+IF(ABS(F888)&lt;=1,F888,F888/100)),2)</f>
        <v/>
      </c>
      <c r="H888" s="105" t="n">
        <v>15</v>
      </c>
      <c r="I888" s="105" t="n">
        <v>5</v>
      </c>
      <c r="J888" s="105">
        <f>IF(OR(UPPER(C888)="SERVIÇO",UPPER(C888)="SERVICO"),"SERVIÇO",IF(H888&lt;=0,"ZERADO",IF(H888&lt;=I888,"ESTOQUE BAIXO","NORMAL")))</f>
        <v/>
      </c>
      <c r="K888" s="107">
        <f>IF(OR(UPPER(C888)="SERVIÇO",UPPER(C888)="SERVICO"),0,N(H888)*N(E888))</f>
        <v/>
      </c>
      <c r="L888" s="107">
        <f>IF(OR(UPPER(C888)="SERVIÇO",UPPER(C888)="SERVICO"),0,N(H888)*N(G888))</f>
        <v/>
      </c>
      <c r="M888" s="107">
        <f>IF(OR(UPPER(C888)="SERVIÇO",UPPER(C888)="SERVICO"),0,L888-K888)</f>
        <v/>
      </c>
    </row>
    <row r="889" ht="15" customHeight="1">
      <c r="B889" s="105" t="n">
        <v>878</v>
      </c>
      <c r="C889" s="105" t="inlineStr">
        <is>
          <t>Produto</t>
        </is>
      </c>
      <c r="D889" s="106" t="inlineStr">
        <is>
          <t>Bolsa de academia recreativo vermelho</t>
        </is>
      </c>
      <c r="E889" s="107" t="n">
        <v>53.54</v>
      </c>
      <c r="F889" s="108" t="n">
        <v>50</v>
      </c>
      <c r="G889" s="107">
        <f>ROUND(E889*(1+IF(ABS(F889)&lt;=1,F889,F889/100)),2)</f>
        <v/>
      </c>
      <c r="H889" s="105" t="n">
        <v>15</v>
      </c>
      <c r="I889" s="105" t="n">
        <v>5</v>
      </c>
      <c r="J889" s="105">
        <f>IF(OR(UPPER(C889)="SERVIÇO",UPPER(C889)="SERVICO"),"SERVIÇO",IF(H889&lt;=0,"ZERADO",IF(H889&lt;=I889,"ESTOQUE BAIXO","NORMAL")))</f>
        <v/>
      </c>
      <c r="K889" s="107">
        <f>IF(OR(UPPER(C889)="SERVIÇO",UPPER(C889)="SERVICO"),0,N(H889)*N(E889))</f>
        <v/>
      </c>
      <c r="L889" s="107">
        <f>IF(OR(UPPER(C889)="SERVIÇO",UPPER(C889)="SERVICO"),0,N(H889)*N(G889))</f>
        <v/>
      </c>
      <c r="M889" s="107">
        <f>IF(OR(UPPER(C889)="SERVIÇO",UPPER(C889)="SERVICO"),0,L889-K889)</f>
        <v/>
      </c>
    </row>
    <row r="890" ht="15" customHeight="1">
      <c r="B890" s="105" t="n">
        <v>879</v>
      </c>
      <c r="C890" s="105" t="inlineStr">
        <is>
          <t>Produto</t>
        </is>
      </c>
      <c r="D890" s="106" t="inlineStr">
        <is>
          <t>Saco de pancadas compacto laranja</t>
        </is>
      </c>
      <c r="E890" s="107" t="n">
        <v>655.3099999999999</v>
      </c>
      <c r="F890" s="108" t="n">
        <v>50</v>
      </c>
      <c r="G890" s="107">
        <f>ROUND(E890*(1+IF(ABS(F890)&lt;=1,F890,F890/100)),2)</f>
        <v/>
      </c>
      <c r="H890" s="105" t="n">
        <v>15</v>
      </c>
      <c r="I890" s="105" t="n">
        <v>5</v>
      </c>
      <c r="J890" s="105">
        <f>IF(OR(UPPER(C890)="SERVIÇO",UPPER(C890)="SERVICO"),"SERVIÇO",IF(H890&lt;=0,"ZERADO",IF(H890&lt;=I890,"ESTOQUE BAIXO","NORMAL")))</f>
        <v/>
      </c>
      <c r="K890" s="107">
        <f>IF(OR(UPPER(C890)="SERVIÇO",UPPER(C890)="SERVICO"),0,N(H890)*N(E890))</f>
        <v/>
      </c>
      <c r="L890" s="107">
        <f>IF(OR(UPPER(C890)="SERVIÇO",UPPER(C890)="SERVICO"),0,N(H890)*N(G890))</f>
        <v/>
      </c>
      <c r="M890" s="107">
        <f>IF(OR(UPPER(C890)="SERVIÇO",UPPER(C890)="SERVICO"),0,L890-K890)</f>
        <v/>
      </c>
    </row>
    <row r="891" ht="15" customHeight="1">
      <c r="B891" s="105" t="n">
        <v>880</v>
      </c>
      <c r="C891" s="105" t="inlineStr">
        <is>
          <t>Produto</t>
        </is>
      </c>
      <c r="D891" s="106" t="inlineStr">
        <is>
          <t>Bastão de caminhada ergonômico rosa</t>
        </is>
      </c>
      <c r="E891" s="107" t="n">
        <v>101.8</v>
      </c>
      <c r="F891" s="108" t="n">
        <v>50</v>
      </c>
      <c r="G891" s="107">
        <f>ROUND(E891*(1+IF(ABS(F891)&lt;=1,F891,F891/100)),2)</f>
        <v/>
      </c>
      <c r="H891" s="105" t="n">
        <v>15</v>
      </c>
      <c r="I891" s="105" t="n">
        <v>5</v>
      </c>
      <c r="J891" s="105">
        <f>IF(OR(UPPER(C891)="SERVIÇO",UPPER(C891)="SERVICO"),"SERVIÇO",IF(H891&lt;=0,"ZERADO",IF(H891&lt;=I891,"ESTOQUE BAIXO","NORMAL")))</f>
        <v/>
      </c>
      <c r="K891" s="107">
        <f>IF(OR(UPPER(C891)="SERVIÇO",UPPER(C891)="SERVICO"),0,N(H891)*N(E891))</f>
        <v/>
      </c>
      <c r="L891" s="107">
        <f>IF(OR(UPPER(C891)="SERVIÇO",UPPER(C891)="SERVICO"),0,N(H891)*N(G891))</f>
        <v/>
      </c>
      <c r="M891" s="107">
        <f>IF(OR(UPPER(C891)="SERVIÇO",UPPER(C891)="SERVICO"),0,L891-K891)</f>
        <v/>
      </c>
    </row>
    <row r="892" ht="15" customHeight="1">
      <c r="B892" s="105" t="n">
        <v>881</v>
      </c>
      <c r="C892" s="105" t="inlineStr">
        <is>
          <t>Produto</t>
        </is>
      </c>
      <c r="D892" s="106" t="inlineStr">
        <is>
          <t>Luva de boxe alta performance preto tam. GG</t>
        </is>
      </c>
      <c r="E892" s="107" t="n">
        <v>53.07</v>
      </c>
      <c r="F892" s="108" t="n">
        <v>50</v>
      </c>
      <c r="G892" s="107">
        <f>ROUND(E892*(1+IF(ABS(F892)&lt;=1,F892,F892/100)),2)</f>
        <v/>
      </c>
      <c r="H892" s="105" t="n">
        <v>15</v>
      </c>
      <c r="I892" s="105" t="n">
        <v>5</v>
      </c>
      <c r="J892" s="105">
        <f>IF(OR(UPPER(C892)="SERVIÇO",UPPER(C892)="SERVICO"),"SERVIÇO",IF(H892&lt;=0,"ZERADO",IF(H892&lt;=I892,"ESTOQUE BAIXO","NORMAL")))</f>
        <v/>
      </c>
      <c r="K892" s="107">
        <f>IF(OR(UPPER(C892)="SERVIÇO",UPPER(C892)="SERVICO"),0,N(H892)*N(E892))</f>
        <v/>
      </c>
      <c r="L892" s="107">
        <f>IF(OR(UPPER(C892)="SERVIÇO",UPPER(C892)="SERVICO"),0,N(H892)*N(G892))</f>
        <v/>
      </c>
      <c r="M892" s="107">
        <f>IF(OR(UPPER(C892)="SERVIÇO",UPPER(C892)="SERVICO"),0,L892-K892)</f>
        <v/>
      </c>
    </row>
    <row r="893" ht="15" customHeight="1">
      <c r="B893" s="105" t="n">
        <v>882</v>
      </c>
      <c r="C893" s="105" t="inlineStr">
        <is>
          <t>Produto</t>
        </is>
      </c>
      <c r="D893" s="106" t="inlineStr">
        <is>
          <t>Protetor bucal leve vermelho</t>
        </is>
      </c>
      <c r="E893" s="107" t="n">
        <v>41.05</v>
      </c>
      <c r="F893" s="108" t="n">
        <v>50</v>
      </c>
      <c r="G893" s="107">
        <f>ROUND(E893*(1+IF(ABS(F893)&lt;=1,F893,F893/100)),2)</f>
        <v/>
      </c>
      <c r="H893" s="105" t="n">
        <v>15</v>
      </c>
      <c r="I893" s="105" t="n">
        <v>5</v>
      </c>
      <c r="J893" s="105">
        <f>IF(OR(UPPER(C893)="SERVIÇO",UPPER(C893)="SERVICO"),"SERVIÇO",IF(H893&lt;=0,"ZERADO",IF(H893&lt;=I893,"ESTOQUE BAIXO","NORMAL")))</f>
        <v/>
      </c>
      <c r="K893" s="107">
        <f>IF(OR(UPPER(C893)="SERVIÇO",UPPER(C893)="SERVICO"),0,N(H893)*N(E893))</f>
        <v/>
      </c>
      <c r="L893" s="107">
        <f>IF(OR(UPPER(C893)="SERVIÇO",UPPER(C893)="SERVICO"),0,N(H893)*N(G893))</f>
        <v/>
      </c>
      <c r="M893" s="107">
        <f>IF(OR(UPPER(C893)="SERVIÇO",UPPER(C893)="SERVICO"),0,L893-K893)</f>
        <v/>
      </c>
    </row>
    <row r="894" ht="15" customHeight="1">
      <c r="B894" s="105" t="n">
        <v>883</v>
      </c>
      <c r="C894" s="105" t="inlineStr">
        <is>
          <t>Produto</t>
        </is>
      </c>
      <c r="D894" s="106" t="inlineStr">
        <is>
          <t>Bola de vôlei recreativo preto</t>
        </is>
      </c>
      <c r="E894" s="107" t="n">
        <v>37.91</v>
      </c>
      <c r="F894" s="108" t="n">
        <v>50</v>
      </c>
      <c r="G894" s="107">
        <f>ROUND(E894*(1+IF(ABS(F894)&lt;=1,F894,F894/100)),2)</f>
        <v/>
      </c>
      <c r="H894" s="105" t="n">
        <v>15</v>
      </c>
      <c r="I894" s="105" t="n">
        <v>5</v>
      </c>
      <c r="J894" s="105">
        <f>IF(OR(UPPER(C894)="SERVIÇO",UPPER(C894)="SERVICO"),"SERVIÇO",IF(H894&lt;=0,"ZERADO",IF(H894&lt;=I894,"ESTOQUE BAIXO","NORMAL")))</f>
        <v/>
      </c>
      <c r="K894" s="107">
        <f>IF(OR(UPPER(C894)="SERVIÇO",UPPER(C894)="SERVICO"),0,N(H894)*N(E894))</f>
        <v/>
      </c>
      <c r="L894" s="107">
        <f>IF(OR(UPPER(C894)="SERVIÇO",UPPER(C894)="SERVICO"),0,N(H894)*N(G894))</f>
        <v/>
      </c>
      <c r="M894" s="107">
        <f>IF(OR(UPPER(C894)="SERVIÇO",UPPER(C894)="SERVICO"),0,L894-K894)</f>
        <v/>
      </c>
    </row>
    <row r="895" ht="15" customHeight="1">
      <c r="B895" s="105" t="n">
        <v>884</v>
      </c>
      <c r="C895" s="105" t="inlineStr">
        <is>
          <t>Produto</t>
        </is>
      </c>
      <c r="D895" s="106" t="inlineStr">
        <is>
          <t>Regata esportiva para uso diário preto tam. 34</t>
        </is>
      </c>
      <c r="E895" s="107" t="n">
        <v>74.62</v>
      </c>
      <c r="F895" s="108" t="n">
        <v>50</v>
      </c>
      <c r="G895" s="107">
        <f>ROUND(E895*(1+IF(ABS(F895)&lt;=1,F895,F895/100)),2)</f>
        <v/>
      </c>
      <c r="H895" s="105" t="n">
        <v>15</v>
      </c>
      <c r="I895" s="105" t="n">
        <v>5</v>
      </c>
      <c r="J895" s="105">
        <f>IF(OR(UPPER(C895)="SERVIÇO",UPPER(C895)="SERVICO"),"SERVIÇO",IF(H895&lt;=0,"ZERADO",IF(H895&lt;=I895,"ESTOQUE BAIXO","NORMAL")))</f>
        <v/>
      </c>
      <c r="K895" s="107">
        <f>IF(OR(UPPER(C895)="SERVIÇO",UPPER(C895)="SERVICO"),0,N(H895)*N(E895))</f>
        <v/>
      </c>
      <c r="L895" s="107">
        <f>IF(OR(UPPER(C895)="SERVIÇO",UPPER(C895)="SERVICO"),0,N(H895)*N(G895))</f>
        <v/>
      </c>
      <c r="M895" s="107">
        <f>IF(OR(UPPER(C895)="SERVIÇO",UPPER(C895)="SERVICO"),0,L895-K895)</f>
        <v/>
      </c>
    </row>
    <row r="896" ht="15" customHeight="1">
      <c r="B896" s="105" t="n">
        <v>885</v>
      </c>
      <c r="C896" s="105" t="inlineStr">
        <is>
          <t>Produto</t>
        </is>
      </c>
      <c r="D896" s="106" t="inlineStr">
        <is>
          <t>Calça legging versão 2026 rosa tam. 40</t>
        </is>
      </c>
      <c r="E896" s="107" t="n">
        <v>55.52</v>
      </c>
      <c r="F896" s="108" t="n">
        <v>50</v>
      </c>
      <c r="G896" s="107">
        <f>ROUND(E896*(1+IF(ABS(F896)&lt;=1,F896,F896/100)),2)</f>
        <v/>
      </c>
      <c r="H896" s="105" t="n">
        <v>15</v>
      </c>
      <c r="I896" s="105" t="n">
        <v>5</v>
      </c>
      <c r="J896" s="105">
        <f>IF(OR(UPPER(C896)="SERVIÇO",UPPER(C896)="SERVICO"),"SERVIÇO",IF(H896&lt;=0,"ZERADO",IF(H896&lt;=I896,"ESTOQUE BAIXO","NORMAL")))</f>
        <v/>
      </c>
      <c r="K896" s="107">
        <f>IF(OR(UPPER(C896)="SERVIÇO",UPPER(C896)="SERVICO"),0,N(H896)*N(E896))</f>
        <v/>
      </c>
      <c r="L896" s="107">
        <f>IF(OR(UPPER(C896)="SERVIÇO",UPPER(C896)="SERVICO"),0,N(H896)*N(G896))</f>
        <v/>
      </c>
      <c r="M896" s="107">
        <f>IF(OR(UPPER(C896)="SERVIÇO",UPPER(C896)="SERVICO"),0,L896-K896)</f>
        <v/>
      </c>
    </row>
    <row r="897" ht="15" customHeight="1">
      <c r="B897" s="105" t="n">
        <v>886</v>
      </c>
      <c r="C897" s="105" t="inlineStr">
        <is>
          <t>Produto</t>
        </is>
      </c>
      <c r="D897" s="106" t="inlineStr">
        <is>
          <t>Corda de pular recreativo vermelho</t>
        </is>
      </c>
      <c r="E897" s="107" t="n">
        <v>59.42</v>
      </c>
      <c r="F897" s="108" t="n">
        <v>50</v>
      </c>
      <c r="G897" s="107">
        <f>ROUND(E897*(1+IF(ABS(F897)&lt;=1,F897,F897/100)),2)</f>
        <v/>
      </c>
      <c r="H897" s="105" t="n">
        <v>15</v>
      </c>
      <c r="I897" s="105" t="n">
        <v>5</v>
      </c>
      <c r="J897" s="105">
        <f>IF(OR(UPPER(C897)="SERVIÇO",UPPER(C897)="SERVICO"),"SERVIÇO",IF(H897&lt;=0,"ZERADO",IF(H897&lt;=I897,"ESTOQUE BAIXO","NORMAL")))</f>
        <v/>
      </c>
      <c r="K897" s="107">
        <f>IF(OR(UPPER(C897)="SERVIÇO",UPPER(C897)="SERVICO"),0,N(H897)*N(E897))</f>
        <v/>
      </c>
      <c r="L897" s="107">
        <f>IF(OR(UPPER(C897)="SERVIÇO",UPPER(C897)="SERVICO"),0,N(H897)*N(G897))</f>
        <v/>
      </c>
      <c r="M897" s="107">
        <f>IF(OR(UPPER(C897)="SERVIÇO",UPPER(C897)="SERVICO"),0,L897-K897)</f>
        <v/>
      </c>
    </row>
    <row r="898" ht="15" customHeight="1">
      <c r="B898" s="105" t="n">
        <v>887</v>
      </c>
      <c r="C898" s="105" t="inlineStr">
        <is>
          <t>Produto</t>
        </is>
      </c>
      <c r="D898" s="106" t="inlineStr">
        <is>
          <t>Relógio esportivo leve branco</t>
        </is>
      </c>
      <c r="E898" s="107" t="n">
        <v>1388.12</v>
      </c>
      <c r="F898" s="108" t="n">
        <v>50</v>
      </c>
      <c r="G898" s="107">
        <f>ROUND(E898*(1+IF(ABS(F898)&lt;=1,F898,F898/100)),2)</f>
        <v/>
      </c>
      <c r="H898" s="105" t="n">
        <v>15</v>
      </c>
      <c r="I898" s="105" t="n">
        <v>5</v>
      </c>
      <c r="J898" s="105">
        <f>IF(OR(UPPER(C898)="SERVIÇO",UPPER(C898)="SERVICO"),"SERVIÇO",IF(H898&lt;=0,"ZERADO",IF(H898&lt;=I898,"ESTOQUE BAIXO","NORMAL")))</f>
        <v/>
      </c>
      <c r="K898" s="107">
        <f>IF(OR(UPPER(C898)="SERVIÇO",UPPER(C898)="SERVICO"),0,N(H898)*N(E898))</f>
        <v/>
      </c>
      <c r="L898" s="107">
        <f>IF(OR(UPPER(C898)="SERVIÇO",UPPER(C898)="SERVICO"),0,N(H898)*N(G898))</f>
        <v/>
      </c>
      <c r="M898" s="107">
        <f>IF(OR(UPPER(C898)="SERVIÇO",UPPER(C898)="SERVICO"),0,L898-K898)</f>
        <v/>
      </c>
    </row>
    <row r="899" ht="15" customHeight="1">
      <c r="B899" s="105" t="n">
        <v>888</v>
      </c>
      <c r="C899" s="105" t="inlineStr">
        <is>
          <t>Produto</t>
        </is>
      </c>
      <c r="D899" s="106" t="inlineStr">
        <is>
          <t>Saco de pancadas profissional verde</t>
        </is>
      </c>
      <c r="E899" s="107" t="n">
        <v>369.56</v>
      </c>
      <c r="F899" s="108" t="n">
        <v>50</v>
      </c>
      <c r="G899" s="107">
        <f>ROUND(E899*(1+IF(ABS(F899)&lt;=1,F899,F899/100)),2)</f>
        <v/>
      </c>
      <c r="H899" s="105" t="n">
        <v>15</v>
      </c>
      <c r="I899" s="105" t="n">
        <v>5</v>
      </c>
      <c r="J899" s="105">
        <f>IF(OR(UPPER(C899)="SERVIÇO",UPPER(C899)="SERVICO"),"SERVIÇO",IF(H899&lt;=0,"ZERADO",IF(H899&lt;=I899,"ESTOQUE BAIXO","NORMAL")))</f>
        <v/>
      </c>
      <c r="K899" s="107">
        <f>IF(OR(UPPER(C899)="SERVIÇO",UPPER(C899)="SERVICO"),0,N(H899)*N(E899))</f>
        <v/>
      </c>
      <c r="L899" s="107">
        <f>IF(OR(UPPER(C899)="SERVIÇO",UPPER(C899)="SERVICO"),0,N(H899)*N(G899))</f>
        <v/>
      </c>
      <c r="M899" s="107">
        <f>IF(OR(UPPER(C899)="SERVIÇO",UPPER(C899)="SERVICO"),0,L899-K899)</f>
        <v/>
      </c>
    </row>
    <row r="900" ht="15" customHeight="1">
      <c r="B900" s="105" t="n">
        <v>889</v>
      </c>
      <c r="C900" s="105" t="inlineStr">
        <is>
          <t>Produto</t>
        </is>
      </c>
      <c r="D900" s="106" t="inlineStr">
        <is>
          <t>Chuteira de campo adulto verde tam. 42</t>
        </is>
      </c>
      <c r="E900" s="107" t="n">
        <v>474.23</v>
      </c>
      <c r="F900" s="108" t="n">
        <v>50</v>
      </c>
      <c r="G900" s="107">
        <f>ROUND(E900*(1+IF(ABS(F900)&lt;=1,F900,F900/100)),2)</f>
        <v/>
      </c>
      <c r="H900" s="105" t="n">
        <v>15</v>
      </c>
      <c r="I900" s="105" t="n">
        <v>5</v>
      </c>
      <c r="J900" s="105">
        <f>IF(OR(UPPER(C900)="SERVIÇO",UPPER(C900)="SERVICO"),"SERVIÇO",IF(H900&lt;=0,"ZERADO",IF(H900&lt;=I900,"ESTOQUE BAIXO","NORMAL")))</f>
        <v/>
      </c>
      <c r="K900" s="107">
        <f>IF(OR(UPPER(C900)="SERVIÇO",UPPER(C900)="SERVICO"),0,N(H900)*N(E900))</f>
        <v/>
      </c>
      <c r="L900" s="107">
        <f>IF(OR(UPPER(C900)="SERVIÇO",UPPER(C900)="SERVICO"),0,N(H900)*N(G900))</f>
        <v/>
      </c>
      <c r="M900" s="107">
        <f>IF(OR(UPPER(C900)="SERVIÇO",UPPER(C900)="SERVICO"),0,L900-K900)</f>
        <v/>
      </c>
    </row>
    <row r="901" ht="15" customHeight="1">
      <c r="B901" s="105" t="n">
        <v>890</v>
      </c>
      <c r="C901" s="105" t="inlineStr">
        <is>
          <t>Produto</t>
        </is>
      </c>
      <c r="D901" s="106" t="inlineStr">
        <is>
          <t>Relógio esportivo recreativo azul</t>
        </is>
      </c>
      <c r="E901" s="107" t="n">
        <v>315.43</v>
      </c>
      <c r="F901" s="108" t="n">
        <v>50</v>
      </c>
      <c r="G901" s="107">
        <f>ROUND(E901*(1+IF(ABS(F901)&lt;=1,F901,F901/100)),2)</f>
        <v/>
      </c>
      <c r="H901" s="105" t="n">
        <v>15</v>
      </c>
      <c r="I901" s="105" t="n">
        <v>5</v>
      </c>
      <c r="J901" s="105">
        <f>IF(OR(UPPER(C901)="SERVIÇO",UPPER(C901)="SERVICO"),"SERVIÇO",IF(H901&lt;=0,"ZERADO",IF(H901&lt;=I901,"ESTOQUE BAIXO","NORMAL")))</f>
        <v/>
      </c>
      <c r="K901" s="107">
        <f>IF(OR(UPPER(C901)="SERVIÇO",UPPER(C901)="SERVICO"),0,N(H901)*N(E901))</f>
        <v/>
      </c>
      <c r="L901" s="107">
        <f>IF(OR(UPPER(C901)="SERVIÇO",UPPER(C901)="SERVICO"),0,N(H901)*N(G901))</f>
        <v/>
      </c>
      <c r="M901" s="107">
        <f>IF(OR(UPPER(C901)="SERVIÇO",UPPER(C901)="SERVICO"),0,L901-K901)</f>
        <v/>
      </c>
    </row>
    <row r="902" ht="15" customHeight="1">
      <c r="B902" s="105" t="n">
        <v>891</v>
      </c>
      <c r="C902" s="105" t="inlineStr">
        <is>
          <t>Produto</t>
        </is>
      </c>
      <c r="D902" s="106" t="inlineStr">
        <is>
          <t>Kimono de judô juvenil azul tam. M</t>
        </is>
      </c>
      <c r="E902" s="107" t="n">
        <v>204.61</v>
      </c>
      <c r="F902" s="108" t="n">
        <v>50</v>
      </c>
      <c r="G902" s="107">
        <f>ROUND(E902*(1+IF(ABS(F902)&lt;=1,F902,F902/100)),2)</f>
        <v/>
      </c>
      <c r="H902" s="105" t="n">
        <v>15</v>
      </c>
      <c r="I902" s="105" t="n">
        <v>5</v>
      </c>
      <c r="J902" s="105">
        <f>IF(OR(UPPER(C902)="SERVIÇO",UPPER(C902)="SERVICO"),"SERVIÇO",IF(H902&lt;=0,"ZERADO",IF(H902&lt;=I902,"ESTOQUE BAIXO","NORMAL")))</f>
        <v/>
      </c>
      <c r="K902" s="107">
        <f>IF(OR(UPPER(C902)="SERVIÇO",UPPER(C902)="SERVICO"),0,N(H902)*N(E902))</f>
        <v/>
      </c>
      <c r="L902" s="107">
        <f>IF(OR(UPPER(C902)="SERVIÇO",UPPER(C902)="SERVICO"),0,N(H902)*N(G902))</f>
        <v/>
      </c>
      <c r="M902" s="107">
        <f>IF(OR(UPPER(C902)="SERVIÇO",UPPER(C902)="SERVICO"),0,L902-K902)</f>
        <v/>
      </c>
    </row>
    <row r="903" ht="15" customHeight="1">
      <c r="B903" s="105" t="n">
        <v>892</v>
      </c>
      <c r="C903" s="105" t="inlineStr">
        <is>
          <t>Produto</t>
        </is>
      </c>
      <c r="D903" s="106" t="inlineStr">
        <is>
          <t>Chuteira de campo ventilado preto tam. 38</t>
        </is>
      </c>
      <c r="E903" s="107" t="n">
        <v>316.25</v>
      </c>
      <c r="F903" s="108" t="n">
        <v>50</v>
      </c>
      <c r="G903" s="107">
        <f>ROUND(E903*(1+IF(ABS(F903)&lt;=1,F903,F903/100)),2)</f>
        <v/>
      </c>
      <c r="H903" s="105" t="n">
        <v>15</v>
      </c>
      <c r="I903" s="105" t="n">
        <v>5</v>
      </c>
      <c r="J903" s="105">
        <f>IF(OR(UPPER(C903)="SERVIÇO",UPPER(C903)="SERVICO"),"SERVIÇO",IF(H903&lt;=0,"ZERADO",IF(H903&lt;=I903,"ESTOQUE BAIXO","NORMAL")))</f>
        <v/>
      </c>
      <c r="K903" s="107">
        <f>IF(OR(UPPER(C903)="SERVIÇO",UPPER(C903)="SERVICO"),0,N(H903)*N(E903))</f>
        <v/>
      </c>
      <c r="L903" s="107">
        <f>IF(OR(UPPER(C903)="SERVIÇO",UPPER(C903)="SERVICO"),0,N(H903)*N(G903))</f>
        <v/>
      </c>
      <c r="M903" s="107">
        <f>IF(OR(UPPER(C903)="SERVIÇO",UPPER(C903)="SERVICO"),0,L903-K903)</f>
        <v/>
      </c>
    </row>
    <row r="904" ht="15" customHeight="1">
      <c r="B904" s="105" t="n">
        <v>893</v>
      </c>
      <c r="C904" s="105" t="inlineStr">
        <is>
          <t>Produto</t>
        </is>
      </c>
      <c r="D904" s="106" t="inlineStr">
        <is>
          <t>Tapete de yoga resistente laranja</t>
        </is>
      </c>
      <c r="E904" s="107" t="n">
        <v>59.74</v>
      </c>
      <c r="F904" s="108" t="n">
        <v>50</v>
      </c>
      <c r="G904" s="107">
        <f>ROUND(E904*(1+IF(ABS(F904)&lt;=1,F904,F904/100)),2)</f>
        <v/>
      </c>
      <c r="H904" s="105" t="n">
        <v>15</v>
      </c>
      <c r="I904" s="105" t="n">
        <v>5</v>
      </c>
      <c r="J904" s="105">
        <f>IF(OR(UPPER(C904)="SERVIÇO",UPPER(C904)="SERVICO"),"SERVIÇO",IF(H904&lt;=0,"ZERADO",IF(H904&lt;=I904,"ESTOQUE BAIXO","NORMAL")))</f>
        <v/>
      </c>
      <c r="K904" s="107">
        <f>IF(OR(UPPER(C904)="SERVIÇO",UPPER(C904)="SERVICO"),0,N(H904)*N(E904))</f>
        <v/>
      </c>
      <c r="L904" s="107">
        <f>IF(OR(UPPER(C904)="SERVIÇO",UPPER(C904)="SERVICO"),0,N(H904)*N(G904))</f>
        <v/>
      </c>
      <c r="M904" s="107">
        <f>IF(OR(UPPER(C904)="SERVIÇO",UPPER(C904)="SERVICO"),0,L904-K904)</f>
        <v/>
      </c>
    </row>
    <row r="905" ht="15" customHeight="1">
      <c r="B905" s="105" t="n">
        <v>894</v>
      </c>
      <c r="C905" s="105" t="inlineStr">
        <is>
          <t>Produto</t>
        </is>
      </c>
      <c r="D905" s="106" t="inlineStr">
        <is>
          <t>Luva de ciclismo modelo avançado azul tam. 38</t>
        </is>
      </c>
      <c r="E905" s="107" t="n">
        <v>31.6</v>
      </c>
      <c r="F905" s="108" t="n">
        <v>50</v>
      </c>
      <c r="G905" s="107">
        <f>ROUND(E905*(1+IF(ABS(F905)&lt;=1,F905,F905/100)),2)</f>
        <v/>
      </c>
      <c r="H905" s="105" t="n">
        <v>15</v>
      </c>
      <c r="I905" s="105" t="n">
        <v>5</v>
      </c>
      <c r="J905" s="105">
        <f>IF(OR(UPPER(C905)="SERVIÇO",UPPER(C905)="SERVICO"),"SERVIÇO",IF(H905&lt;=0,"ZERADO",IF(H905&lt;=I905,"ESTOQUE BAIXO","NORMAL")))</f>
        <v/>
      </c>
      <c r="K905" s="107">
        <f>IF(OR(UPPER(C905)="SERVIÇO",UPPER(C905)="SERVICO"),0,N(H905)*N(E905))</f>
        <v/>
      </c>
      <c r="L905" s="107">
        <f>IF(OR(UPPER(C905)="SERVIÇO",UPPER(C905)="SERVICO"),0,N(H905)*N(G905))</f>
        <v/>
      </c>
      <c r="M905" s="107">
        <f>IF(OR(UPPER(C905)="SERVIÇO",UPPER(C905)="SERVICO"),0,L905-K905)</f>
        <v/>
      </c>
    </row>
    <row r="906" ht="15" customHeight="1">
      <c r="B906" s="105" t="n">
        <v>895</v>
      </c>
      <c r="C906" s="105" t="inlineStr">
        <is>
          <t>Produto</t>
        </is>
      </c>
      <c r="D906" s="106" t="inlineStr">
        <is>
          <t>Luva de ciclismo profissional cinza tam. 44</t>
        </is>
      </c>
      <c r="E906" s="107" t="n">
        <v>107.37</v>
      </c>
      <c r="F906" s="108" t="n">
        <v>50</v>
      </c>
      <c r="G906" s="107">
        <f>ROUND(E906*(1+IF(ABS(F906)&lt;=1,F906,F906/100)),2)</f>
        <v/>
      </c>
      <c r="H906" s="105" t="n">
        <v>15</v>
      </c>
      <c r="I906" s="105" t="n">
        <v>5</v>
      </c>
      <c r="J906" s="105">
        <f>IF(OR(UPPER(C906)="SERVIÇO",UPPER(C906)="SERVICO"),"SERVIÇO",IF(H906&lt;=0,"ZERADO",IF(H906&lt;=I906,"ESTOQUE BAIXO","NORMAL")))</f>
        <v/>
      </c>
      <c r="K906" s="107">
        <f>IF(OR(UPPER(C906)="SERVIÇO",UPPER(C906)="SERVICO"),0,N(H906)*N(E906))</f>
        <v/>
      </c>
      <c r="L906" s="107">
        <f>IF(OR(UPPER(C906)="SERVIÇO",UPPER(C906)="SERVICO"),0,N(H906)*N(G906))</f>
        <v/>
      </c>
      <c r="M906" s="107">
        <f>IF(OR(UPPER(C906)="SERVIÇO",UPPER(C906)="SERVICO"),0,L906-K906)</f>
        <v/>
      </c>
    </row>
    <row r="907" ht="15" customHeight="1">
      <c r="B907" s="105" t="n">
        <v>896</v>
      </c>
      <c r="C907" s="105" t="inlineStr">
        <is>
          <t>Produto</t>
        </is>
      </c>
      <c r="D907" s="106" t="inlineStr">
        <is>
          <t>Corda de pular reforçado preto</t>
        </is>
      </c>
      <c r="E907" s="107" t="n">
        <v>66.38</v>
      </c>
      <c r="F907" s="108" t="n">
        <v>50</v>
      </c>
      <c r="G907" s="107">
        <f>ROUND(E907*(1+IF(ABS(F907)&lt;=1,F907,F907/100)),2)</f>
        <v/>
      </c>
      <c r="H907" s="105" t="n">
        <v>15</v>
      </c>
      <c r="I907" s="105" t="n">
        <v>5</v>
      </c>
      <c r="J907" s="105">
        <f>IF(OR(UPPER(C907)="SERVIÇO",UPPER(C907)="SERVICO"),"SERVIÇO",IF(H907&lt;=0,"ZERADO",IF(H907&lt;=I907,"ESTOQUE BAIXO","NORMAL")))</f>
        <v/>
      </c>
      <c r="K907" s="107">
        <f>IF(OR(UPPER(C907)="SERVIÇO",UPPER(C907)="SERVICO"),0,N(H907)*N(E907))</f>
        <v/>
      </c>
      <c r="L907" s="107">
        <f>IF(OR(UPPER(C907)="SERVIÇO",UPPER(C907)="SERVICO"),0,N(H907)*N(G907))</f>
        <v/>
      </c>
      <c r="M907" s="107">
        <f>IF(OR(UPPER(C907)="SERVIÇO",UPPER(C907)="SERVICO"),0,L907-K907)</f>
        <v/>
      </c>
    </row>
    <row r="908" ht="15" customHeight="1">
      <c r="B908" s="105" t="n">
        <v>897</v>
      </c>
      <c r="C908" s="105" t="inlineStr">
        <is>
          <t>Produto</t>
        </is>
      </c>
      <c r="D908" s="106" t="inlineStr">
        <is>
          <t>Bola de futebol resistente azul</t>
        </is>
      </c>
      <c r="E908" s="107" t="n">
        <v>107.9</v>
      </c>
      <c r="F908" s="108" t="n">
        <v>50</v>
      </c>
      <c r="G908" s="107">
        <f>ROUND(E908*(1+IF(ABS(F908)&lt;=1,F908,F908/100)),2)</f>
        <v/>
      </c>
      <c r="H908" s="105" t="n">
        <v>15</v>
      </c>
      <c r="I908" s="105" t="n">
        <v>5</v>
      </c>
      <c r="J908" s="105">
        <f>IF(OR(UPPER(C908)="SERVIÇO",UPPER(C908)="SERVICO"),"SERVIÇO",IF(H908&lt;=0,"ZERADO",IF(H908&lt;=I908,"ESTOQUE BAIXO","NORMAL")))</f>
        <v/>
      </c>
      <c r="K908" s="107">
        <f>IF(OR(UPPER(C908)="SERVIÇO",UPPER(C908)="SERVICO"),0,N(H908)*N(E908))</f>
        <v/>
      </c>
      <c r="L908" s="107">
        <f>IF(OR(UPPER(C908)="SERVIÇO",UPPER(C908)="SERVICO"),0,N(H908)*N(G908))</f>
        <v/>
      </c>
      <c r="M908" s="107">
        <f>IF(OR(UPPER(C908)="SERVIÇO",UPPER(C908)="SERVICO"),0,L908-K908)</f>
        <v/>
      </c>
    </row>
    <row r="909" ht="15" customHeight="1">
      <c r="B909" s="105" t="n">
        <v>898</v>
      </c>
      <c r="C909" s="105" t="inlineStr">
        <is>
          <t>Produto</t>
        </is>
      </c>
      <c r="D909" s="106" t="inlineStr">
        <is>
          <t>Bloco para yoga modelo básico laranja</t>
        </is>
      </c>
      <c r="E909" s="107" t="n">
        <v>23.07</v>
      </c>
      <c r="F909" s="108" t="n">
        <v>50</v>
      </c>
      <c r="G909" s="107">
        <f>ROUND(E909*(1+IF(ABS(F909)&lt;=1,F909,F909/100)),2)</f>
        <v/>
      </c>
      <c r="H909" s="105" t="n">
        <v>15</v>
      </c>
      <c r="I909" s="105" t="n">
        <v>5</v>
      </c>
      <c r="J909" s="105">
        <f>IF(OR(UPPER(C909)="SERVIÇO",UPPER(C909)="SERVICO"),"SERVIÇO",IF(H909&lt;=0,"ZERADO",IF(H909&lt;=I909,"ESTOQUE BAIXO","NORMAL")))</f>
        <v/>
      </c>
      <c r="K909" s="107">
        <f>IF(OR(UPPER(C909)="SERVIÇO",UPPER(C909)="SERVICO"),0,N(H909)*N(E909))</f>
        <v/>
      </c>
      <c r="L909" s="107">
        <f>IF(OR(UPPER(C909)="SERVIÇO",UPPER(C909)="SERVICO"),0,N(H909)*N(G909))</f>
        <v/>
      </c>
      <c r="M909" s="107">
        <f>IF(OR(UPPER(C909)="SERVIÇO",UPPER(C909)="SERVICO"),0,L909-K909)</f>
        <v/>
      </c>
    </row>
    <row r="910" ht="15" customHeight="1">
      <c r="B910" s="105" t="n">
        <v>899</v>
      </c>
      <c r="C910" s="105" t="inlineStr">
        <is>
          <t>Produto</t>
        </is>
      </c>
      <c r="D910" s="106" t="inlineStr">
        <is>
          <t>Chuteira society unissex cinza tam. 34</t>
        </is>
      </c>
      <c r="E910" s="107" t="n">
        <v>367.73</v>
      </c>
      <c r="F910" s="108" t="n">
        <v>50</v>
      </c>
      <c r="G910" s="107">
        <f>ROUND(E910*(1+IF(ABS(F910)&lt;=1,F910,F910/100)),2)</f>
        <v/>
      </c>
      <c r="H910" s="105" t="n">
        <v>15</v>
      </c>
      <c r="I910" s="105" t="n">
        <v>5</v>
      </c>
      <c r="J910" s="105">
        <f>IF(OR(UPPER(C910)="SERVIÇO",UPPER(C910)="SERVICO"),"SERVIÇO",IF(H910&lt;=0,"ZERADO",IF(H910&lt;=I910,"ESTOQUE BAIXO","NORMAL")))</f>
        <v/>
      </c>
      <c r="K910" s="107">
        <f>IF(OR(UPPER(C910)="SERVIÇO",UPPER(C910)="SERVICO"),0,N(H910)*N(E910))</f>
        <v/>
      </c>
      <c r="L910" s="107">
        <f>IF(OR(UPPER(C910)="SERVIÇO",UPPER(C910)="SERVICO"),0,N(H910)*N(G910))</f>
        <v/>
      </c>
      <c r="M910" s="107">
        <f>IF(OR(UPPER(C910)="SERVIÇO",UPPER(C910)="SERVICO"),0,L910-K910)</f>
        <v/>
      </c>
    </row>
    <row r="911" ht="15" customHeight="1">
      <c r="B911" s="105" t="n">
        <v>900</v>
      </c>
      <c r="C911" s="105" t="inlineStr">
        <is>
          <t>Produto</t>
        </is>
      </c>
      <c r="D911" s="106" t="inlineStr">
        <is>
          <t>Bicicleta ergométrica modelo avançado cinza</t>
        </is>
      </c>
      <c r="E911" s="107" t="n">
        <v>2978.29</v>
      </c>
      <c r="F911" s="108" t="n">
        <v>50</v>
      </c>
      <c r="G911" s="107">
        <f>ROUND(E911*(1+IF(ABS(F911)&lt;=1,F911,F911/100)),2)</f>
        <v/>
      </c>
      <c r="H911" s="105" t="n">
        <v>15</v>
      </c>
      <c r="I911" s="105" t="n">
        <v>5</v>
      </c>
      <c r="J911" s="105">
        <f>IF(OR(UPPER(C911)="SERVIÇO",UPPER(C911)="SERVICO"),"SERVIÇO",IF(H911&lt;=0,"ZERADO",IF(H911&lt;=I911,"ESTOQUE BAIXO","NORMAL")))</f>
        <v/>
      </c>
      <c r="K911" s="107">
        <f>IF(OR(UPPER(C911)="SERVIÇO",UPPER(C911)="SERVICO"),0,N(H911)*N(E911))</f>
        <v/>
      </c>
      <c r="L911" s="107">
        <f>IF(OR(UPPER(C911)="SERVIÇO",UPPER(C911)="SERVICO"),0,N(H911)*N(G911))</f>
        <v/>
      </c>
      <c r="M911" s="107">
        <f>IF(OR(UPPER(C911)="SERVIÇO",UPPER(C911)="SERVICO"),0,L911-K911)</f>
        <v/>
      </c>
    </row>
    <row r="912" ht="15" customHeight="1">
      <c r="B912" s="105" t="n">
        <v>901</v>
      </c>
      <c r="C912" s="105" t="inlineStr">
        <is>
          <t>Produto</t>
        </is>
      </c>
      <c r="D912" s="106" t="inlineStr">
        <is>
          <t>Elástico de resistência alta performance rosa</t>
        </is>
      </c>
      <c r="E912" s="107" t="n">
        <v>17.07</v>
      </c>
      <c r="F912" s="108" t="n">
        <v>50</v>
      </c>
      <c r="G912" s="107">
        <f>ROUND(E912*(1+IF(ABS(F912)&lt;=1,F912,F912/100)),2)</f>
        <v/>
      </c>
      <c r="H912" s="105" t="n">
        <v>15</v>
      </c>
      <c r="I912" s="105" t="n">
        <v>5</v>
      </c>
      <c r="J912" s="105">
        <f>IF(OR(UPPER(C912)="SERVIÇO",UPPER(C912)="SERVICO"),"SERVIÇO",IF(H912&lt;=0,"ZERADO",IF(H912&lt;=I912,"ESTOQUE BAIXO","NORMAL")))</f>
        <v/>
      </c>
      <c r="K912" s="107">
        <f>IF(OR(UPPER(C912)="SERVIÇO",UPPER(C912)="SERVICO"),0,N(H912)*N(E912))</f>
        <v/>
      </c>
      <c r="L912" s="107">
        <f>IF(OR(UPPER(C912)="SERVIÇO",UPPER(C912)="SERVICO"),0,N(H912)*N(G912))</f>
        <v/>
      </c>
      <c r="M912" s="107">
        <f>IF(OR(UPPER(C912)="SERVIÇO",UPPER(C912)="SERVICO"),0,L912-K912)</f>
        <v/>
      </c>
    </row>
    <row r="913" ht="15" customHeight="1">
      <c r="B913" s="105" t="n">
        <v>902</v>
      </c>
      <c r="C913" s="105" t="inlineStr">
        <is>
          <t>Produto</t>
        </is>
      </c>
      <c r="D913" s="106" t="inlineStr">
        <is>
          <t>Luva de goleiro ergonômico cinza tam. 34</t>
        </is>
      </c>
      <c r="E913" s="107" t="n">
        <v>148.71</v>
      </c>
      <c r="F913" s="108" t="n">
        <v>50</v>
      </c>
      <c r="G913" s="107">
        <f>ROUND(E913*(1+IF(ABS(F913)&lt;=1,F913,F913/100)),2)</f>
        <v/>
      </c>
      <c r="H913" s="105" t="n">
        <v>15</v>
      </c>
      <c r="I913" s="105" t="n">
        <v>5</v>
      </c>
      <c r="J913" s="105">
        <f>IF(OR(UPPER(C913)="SERVIÇO",UPPER(C913)="SERVICO"),"SERVIÇO",IF(H913&lt;=0,"ZERADO",IF(H913&lt;=I913,"ESTOQUE BAIXO","NORMAL")))</f>
        <v/>
      </c>
      <c r="K913" s="107">
        <f>IF(OR(UPPER(C913)="SERVIÇO",UPPER(C913)="SERVICO"),0,N(H913)*N(E913))</f>
        <v/>
      </c>
      <c r="L913" s="107">
        <f>IF(OR(UPPER(C913)="SERVIÇO",UPPER(C913)="SERVICO"),0,N(H913)*N(G913))</f>
        <v/>
      </c>
      <c r="M913" s="107">
        <f>IF(OR(UPPER(C913)="SERVIÇO",UPPER(C913)="SERVICO"),0,L913-K913)</f>
        <v/>
      </c>
    </row>
    <row r="914" ht="15" customHeight="1">
      <c r="B914" s="105" t="n">
        <v>903</v>
      </c>
      <c r="C914" s="105" t="inlineStr">
        <is>
          <t>Produto</t>
        </is>
      </c>
      <c r="D914" s="106" t="inlineStr">
        <is>
          <t>Banco de musculação recreativo azul</t>
        </is>
      </c>
      <c r="E914" s="107" t="n">
        <v>1167.05</v>
      </c>
      <c r="F914" s="108" t="n">
        <v>50</v>
      </c>
      <c r="G914" s="107">
        <f>ROUND(E914*(1+IF(ABS(F914)&lt;=1,F914,F914/100)),2)</f>
        <v/>
      </c>
      <c r="H914" s="105" t="n">
        <v>15</v>
      </c>
      <c r="I914" s="105" t="n">
        <v>5</v>
      </c>
      <c r="J914" s="105">
        <f>IF(OR(UPPER(C914)="SERVIÇO",UPPER(C914)="SERVICO"),"SERVIÇO",IF(H914&lt;=0,"ZERADO",IF(H914&lt;=I914,"ESTOQUE BAIXO","NORMAL")))</f>
        <v/>
      </c>
      <c r="K914" s="107">
        <f>IF(OR(UPPER(C914)="SERVIÇO",UPPER(C914)="SERVICO"),0,N(H914)*N(E914))</f>
        <v/>
      </c>
      <c r="L914" s="107">
        <f>IF(OR(UPPER(C914)="SERVIÇO",UPPER(C914)="SERVICO"),0,N(H914)*N(G914))</f>
        <v/>
      </c>
      <c r="M914" s="107">
        <f>IF(OR(UPPER(C914)="SERVIÇO",UPPER(C914)="SERVICO"),0,L914-K914)</f>
        <v/>
      </c>
    </row>
    <row r="915" ht="15" customHeight="1">
      <c r="B915" s="105" t="n">
        <v>904</v>
      </c>
      <c r="C915" s="105" t="inlineStr">
        <is>
          <t>Produto</t>
        </is>
      </c>
      <c r="D915" s="106" t="inlineStr">
        <is>
          <t>Bicicleta urbana treino verde</t>
        </is>
      </c>
      <c r="E915" s="107" t="n">
        <v>2370.98</v>
      </c>
      <c r="F915" s="108" t="n">
        <v>50</v>
      </c>
      <c r="G915" s="107">
        <f>ROUND(E915*(1+IF(ABS(F915)&lt;=1,F915,F915/100)),2)</f>
        <v/>
      </c>
      <c r="H915" s="105" t="n">
        <v>15</v>
      </c>
      <c r="I915" s="105" t="n">
        <v>5</v>
      </c>
      <c r="J915" s="105">
        <f>IF(OR(UPPER(C915)="SERVIÇO",UPPER(C915)="SERVICO"),"SERVIÇO",IF(H915&lt;=0,"ZERADO",IF(H915&lt;=I915,"ESTOQUE BAIXO","NORMAL")))</f>
        <v/>
      </c>
      <c r="K915" s="107">
        <f>IF(OR(UPPER(C915)="SERVIÇO",UPPER(C915)="SERVICO"),0,N(H915)*N(E915))</f>
        <v/>
      </c>
      <c r="L915" s="107">
        <f>IF(OR(UPPER(C915)="SERVIÇO",UPPER(C915)="SERVICO"),0,N(H915)*N(G915))</f>
        <v/>
      </c>
      <c r="M915" s="107">
        <f>IF(OR(UPPER(C915)="SERVIÇO",UPPER(C915)="SERVICO"),0,L915-K915)</f>
        <v/>
      </c>
    </row>
    <row r="916" ht="15" customHeight="1">
      <c r="B916" s="105" t="n">
        <v>905</v>
      </c>
      <c r="C916" s="105" t="inlineStr">
        <is>
          <t>Produto</t>
        </is>
      </c>
      <c r="D916" s="106" t="inlineStr">
        <is>
          <t>Kettlebell versão 2026 preto</t>
        </is>
      </c>
      <c r="E916" s="107" t="n">
        <v>63.7</v>
      </c>
      <c r="F916" s="108" t="n">
        <v>50</v>
      </c>
      <c r="G916" s="107">
        <f>ROUND(E916*(1+IF(ABS(F916)&lt;=1,F916,F916/100)),2)</f>
        <v/>
      </c>
      <c r="H916" s="105" t="n">
        <v>15</v>
      </c>
      <c r="I916" s="105" t="n">
        <v>5</v>
      </c>
      <c r="J916" s="105">
        <f>IF(OR(UPPER(C916)="SERVIÇO",UPPER(C916)="SERVICO"),"SERVIÇO",IF(H916&lt;=0,"ZERADO",IF(H916&lt;=I916,"ESTOQUE BAIXO","NORMAL")))</f>
        <v/>
      </c>
      <c r="K916" s="107">
        <f>IF(OR(UPPER(C916)="SERVIÇO",UPPER(C916)="SERVICO"),0,N(H916)*N(E916))</f>
        <v/>
      </c>
      <c r="L916" s="107">
        <f>IF(OR(UPPER(C916)="SERVIÇO",UPPER(C916)="SERVICO"),0,N(H916)*N(G916))</f>
        <v/>
      </c>
      <c r="M916" s="107">
        <f>IF(OR(UPPER(C916)="SERVIÇO",UPPER(C916)="SERVICO"),0,L916-K916)</f>
        <v/>
      </c>
    </row>
    <row r="917" ht="15" customHeight="1">
      <c r="B917" s="105" t="n">
        <v>906</v>
      </c>
      <c r="C917" s="105" t="inlineStr">
        <is>
          <t>Produto</t>
        </is>
      </c>
      <c r="D917" s="106" t="inlineStr">
        <is>
          <t>Touca de natação profissional vermelho tam. 40</t>
        </is>
      </c>
      <c r="E917" s="107" t="n">
        <v>56.16</v>
      </c>
      <c r="F917" s="108" t="n">
        <v>50</v>
      </c>
      <c r="G917" s="107">
        <f>ROUND(E917*(1+IF(ABS(F917)&lt;=1,F917,F917/100)),2)</f>
        <v/>
      </c>
      <c r="H917" s="105" t="n">
        <v>15</v>
      </c>
      <c r="I917" s="105" t="n">
        <v>5</v>
      </c>
      <c r="J917" s="105">
        <f>IF(OR(UPPER(C917)="SERVIÇO",UPPER(C917)="SERVICO"),"SERVIÇO",IF(H917&lt;=0,"ZERADO",IF(H917&lt;=I917,"ESTOQUE BAIXO","NORMAL")))</f>
        <v/>
      </c>
      <c r="K917" s="107">
        <f>IF(OR(UPPER(C917)="SERVIÇO",UPPER(C917)="SERVICO"),0,N(H917)*N(E917))</f>
        <v/>
      </c>
      <c r="L917" s="107">
        <f>IF(OR(UPPER(C917)="SERVIÇO",UPPER(C917)="SERVICO"),0,N(H917)*N(G917))</f>
        <v/>
      </c>
      <c r="M917" s="107">
        <f>IF(OR(UPPER(C917)="SERVIÇO",UPPER(C917)="SERVICO"),0,L917-K917)</f>
        <v/>
      </c>
    </row>
    <row r="918" ht="15" customHeight="1">
      <c r="B918" s="105" t="n">
        <v>907</v>
      </c>
      <c r="C918" s="105" t="inlineStr">
        <is>
          <t>Produto</t>
        </is>
      </c>
      <c r="D918" s="106" t="inlineStr">
        <is>
          <t>Bicicleta ergométrica profissional cinza</t>
        </is>
      </c>
      <c r="E918" s="107" t="n">
        <v>945.41</v>
      </c>
      <c r="F918" s="108" t="n">
        <v>50</v>
      </c>
      <c r="G918" s="107">
        <f>ROUND(E918*(1+IF(ABS(F918)&lt;=1,F918,F918/100)),2)</f>
        <v/>
      </c>
      <c r="H918" s="105" t="n">
        <v>15</v>
      </c>
      <c r="I918" s="105" t="n">
        <v>5</v>
      </c>
      <c r="J918" s="105">
        <f>IF(OR(UPPER(C918)="SERVIÇO",UPPER(C918)="SERVICO"),"SERVIÇO",IF(H918&lt;=0,"ZERADO",IF(H918&lt;=I918,"ESTOQUE BAIXO","NORMAL")))</f>
        <v/>
      </c>
      <c r="K918" s="107">
        <f>IF(OR(UPPER(C918)="SERVIÇO",UPPER(C918)="SERVICO"),0,N(H918)*N(E918))</f>
        <v/>
      </c>
      <c r="L918" s="107">
        <f>IF(OR(UPPER(C918)="SERVIÇO",UPPER(C918)="SERVICO"),0,N(H918)*N(G918))</f>
        <v/>
      </c>
      <c r="M918" s="107">
        <f>IF(OR(UPPER(C918)="SERVIÇO",UPPER(C918)="SERVICO"),0,L918-K918)</f>
        <v/>
      </c>
    </row>
    <row r="919" ht="15" customHeight="1">
      <c r="B919" s="105" t="n">
        <v>908</v>
      </c>
      <c r="C919" s="105" t="inlineStr">
        <is>
          <t>Produto</t>
        </is>
      </c>
      <c r="D919" s="106" t="inlineStr">
        <is>
          <t>Raquete de badminton juvenil laranja</t>
        </is>
      </c>
      <c r="E919" s="107" t="n">
        <v>225.38</v>
      </c>
      <c r="F919" s="108" t="n">
        <v>50</v>
      </c>
      <c r="G919" s="107">
        <f>ROUND(E919*(1+IF(ABS(F919)&lt;=1,F919,F919/100)),2)</f>
        <v/>
      </c>
      <c r="H919" s="105" t="n">
        <v>15</v>
      </c>
      <c r="I919" s="105" t="n">
        <v>5</v>
      </c>
      <c r="J919" s="105">
        <f>IF(OR(UPPER(C919)="SERVIÇO",UPPER(C919)="SERVICO"),"SERVIÇO",IF(H919&lt;=0,"ZERADO",IF(H919&lt;=I919,"ESTOQUE BAIXO","NORMAL")))</f>
        <v/>
      </c>
      <c r="K919" s="107">
        <f>IF(OR(UPPER(C919)="SERVIÇO",UPPER(C919)="SERVICO"),0,N(H919)*N(E919))</f>
        <v/>
      </c>
      <c r="L919" s="107">
        <f>IF(OR(UPPER(C919)="SERVIÇO",UPPER(C919)="SERVICO"),0,N(H919)*N(G919))</f>
        <v/>
      </c>
      <c r="M919" s="107">
        <f>IF(OR(UPPER(C919)="SERVIÇO",UPPER(C919)="SERVICO"),0,L919-K919)</f>
        <v/>
      </c>
    </row>
    <row r="920" ht="15" customHeight="1">
      <c r="B920" s="105" t="n">
        <v>909</v>
      </c>
      <c r="C920" s="105" t="inlineStr">
        <is>
          <t>Produto</t>
        </is>
      </c>
      <c r="D920" s="106" t="inlineStr">
        <is>
          <t>Elástico de resistência resistente cinza</t>
        </is>
      </c>
      <c r="E920" s="107" t="n">
        <v>44.89</v>
      </c>
      <c r="F920" s="108" t="n">
        <v>50</v>
      </c>
      <c r="G920" s="107">
        <f>ROUND(E920*(1+IF(ABS(F920)&lt;=1,F920,F920/100)),2)</f>
        <v/>
      </c>
      <c r="H920" s="105" t="n">
        <v>15</v>
      </c>
      <c r="I920" s="105" t="n">
        <v>5</v>
      </c>
      <c r="J920" s="105">
        <f>IF(OR(UPPER(C920)="SERVIÇO",UPPER(C920)="SERVICO"),"SERVIÇO",IF(H920&lt;=0,"ZERADO",IF(H920&lt;=I920,"ESTOQUE BAIXO","NORMAL")))</f>
        <v/>
      </c>
      <c r="K920" s="107">
        <f>IF(OR(UPPER(C920)="SERVIÇO",UPPER(C920)="SERVICO"),0,N(H920)*N(E920))</f>
        <v/>
      </c>
      <c r="L920" s="107">
        <f>IF(OR(UPPER(C920)="SERVIÇO",UPPER(C920)="SERVICO"),0,N(H920)*N(G920))</f>
        <v/>
      </c>
      <c r="M920" s="107">
        <f>IF(OR(UPPER(C920)="SERVIÇO",UPPER(C920)="SERVICO"),0,L920-K920)</f>
        <v/>
      </c>
    </row>
    <row r="921" ht="15" customHeight="1">
      <c r="B921" s="105" t="n">
        <v>910</v>
      </c>
      <c r="C921" s="105" t="inlineStr">
        <is>
          <t>Produto</t>
        </is>
      </c>
      <c r="D921" s="106" t="inlineStr">
        <is>
          <t>Saco de pancadas leve rosa</t>
        </is>
      </c>
      <c r="E921" s="107" t="n">
        <v>409.66</v>
      </c>
      <c r="F921" s="108" t="n">
        <v>50</v>
      </c>
      <c r="G921" s="107">
        <f>ROUND(E921*(1+IF(ABS(F921)&lt;=1,F921,F921/100)),2)</f>
        <v/>
      </c>
      <c r="H921" s="105" t="n">
        <v>15</v>
      </c>
      <c r="I921" s="105" t="n">
        <v>5</v>
      </c>
      <c r="J921" s="105">
        <f>IF(OR(UPPER(C921)="SERVIÇO",UPPER(C921)="SERVICO"),"SERVIÇO",IF(H921&lt;=0,"ZERADO",IF(H921&lt;=I921,"ESTOQUE BAIXO","NORMAL")))</f>
        <v/>
      </c>
      <c r="K921" s="107">
        <f>IF(OR(UPPER(C921)="SERVIÇO",UPPER(C921)="SERVICO"),0,N(H921)*N(E921))</f>
        <v/>
      </c>
      <c r="L921" s="107">
        <f>IF(OR(UPPER(C921)="SERVIÇO",UPPER(C921)="SERVICO"),0,N(H921)*N(G921))</f>
        <v/>
      </c>
      <c r="M921" s="107">
        <f>IF(OR(UPPER(C921)="SERVIÇO",UPPER(C921)="SERVICO"),0,L921-K921)</f>
        <v/>
      </c>
    </row>
    <row r="922" ht="15" customHeight="1">
      <c r="B922" s="105" t="n">
        <v>911</v>
      </c>
      <c r="C922" s="105" t="inlineStr">
        <is>
          <t>Produto</t>
        </is>
      </c>
      <c r="D922" s="106" t="inlineStr">
        <is>
          <t>Short esportivo iniciante verde tam. P</t>
        </is>
      </c>
      <c r="E922" s="107" t="n">
        <v>88.48999999999999</v>
      </c>
      <c r="F922" s="108" t="n">
        <v>50</v>
      </c>
      <c r="G922" s="107">
        <f>ROUND(E922*(1+IF(ABS(F922)&lt;=1,F922,F922/100)),2)</f>
        <v/>
      </c>
      <c r="H922" s="105" t="n">
        <v>15</v>
      </c>
      <c r="I922" s="105" t="n">
        <v>5</v>
      </c>
      <c r="J922" s="105">
        <f>IF(OR(UPPER(C922)="SERVIÇO",UPPER(C922)="SERVICO"),"SERVIÇO",IF(H922&lt;=0,"ZERADO",IF(H922&lt;=I922,"ESTOQUE BAIXO","NORMAL")))</f>
        <v/>
      </c>
      <c r="K922" s="107">
        <f>IF(OR(UPPER(C922)="SERVIÇO",UPPER(C922)="SERVICO"),0,N(H922)*N(E922))</f>
        <v/>
      </c>
      <c r="L922" s="107">
        <f>IF(OR(UPPER(C922)="SERVIÇO",UPPER(C922)="SERVICO"),0,N(H922)*N(G922))</f>
        <v/>
      </c>
      <c r="M922" s="107">
        <f>IF(OR(UPPER(C922)="SERVIÇO",UPPER(C922)="SERVICO"),0,L922-K922)</f>
        <v/>
      </c>
    </row>
    <row r="923" ht="15" customHeight="1">
      <c r="B923" s="105" t="n">
        <v>912</v>
      </c>
      <c r="C923" s="105" t="inlineStr">
        <is>
          <t>Produto</t>
        </is>
      </c>
      <c r="D923" s="106" t="inlineStr">
        <is>
          <t>Relógio esportivo compacto vermelho</t>
        </is>
      </c>
      <c r="E923" s="107" t="n">
        <v>1030.54</v>
      </c>
      <c r="F923" s="108" t="n">
        <v>50</v>
      </c>
      <c r="G923" s="107">
        <f>ROUND(E923*(1+IF(ABS(F923)&lt;=1,F923,F923/100)),2)</f>
        <v/>
      </c>
      <c r="H923" s="105" t="n">
        <v>15</v>
      </c>
      <c r="I923" s="105" t="n">
        <v>5</v>
      </c>
      <c r="J923" s="105">
        <f>IF(OR(UPPER(C923)="SERVIÇO",UPPER(C923)="SERVICO"),"SERVIÇO",IF(H923&lt;=0,"ZERADO",IF(H923&lt;=I923,"ESTOQUE BAIXO","NORMAL")))</f>
        <v/>
      </c>
      <c r="K923" s="107">
        <f>IF(OR(UPPER(C923)="SERVIÇO",UPPER(C923)="SERVICO"),0,N(H923)*N(E923))</f>
        <v/>
      </c>
      <c r="L923" s="107">
        <f>IF(OR(UPPER(C923)="SERVIÇO",UPPER(C923)="SERVICO"),0,N(H923)*N(G923))</f>
        <v/>
      </c>
      <c r="M923" s="107">
        <f>IF(OR(UPPER(C923)="SERVIÇO",UPPER(C923)="SERVICO"),0,L923-K923)</f>
        <v/>
      </c>
    </row>
    <row r="924" ht="15" customHeight="1">
      <c r="B924" s="105" t="n">
        <v>913</v>
      </c>
      <c r="C924" s="105" t="inlineStr">
        <is>
          <t>Produto</t>
        </is>
      </c>
      <c r="D924" s="106" t="inlineStr">
        <is>
          <t>Tapete de yoga adulto vermelho</t>
        </is>
      </c>
      <c r="E924" s="107" t="n">
        <v>37.49</v>
      </c>
      <c r="F924" s="108" t="n">
        <v>50</v>
      </c>
      <c r="G924" s="107">
        <f>ROUND(E924*(1+IF(ABS(F924)&lt;=1,F924,F924/100)),2)</f>
        <v/>
      </c>
      <c r="H924" s="105" t="n">
        <v>15</v>
      </c>
      <c r="I924" s="105" t="n">
        <v>5</v>
      </c>
      <c r="J924" s="105">
        <f>IF(OR(UPPER(C924)="SERVIÇO",UPPER(C924)="SERVICO"),"SERVIÇO",IF(H924&lt;=0,"ZERADO",IF(H924&lt;=I924,"ESTOQUE BAIXO","NORMAL")))</f>
        <v/>
      </c>
      <c r="K924" s="107">
        <f>IF(OR(UPPER(C924)="SERVIÇO",UPPER(C924)="SERVICO"),0,N(H924)*N(E924))</f>
        <v/>
      </c>
      <c r="L924" s="107">
        <f>IF(OR(UPPER(C924)="SERVIÇO",UPPER(C924)="SERVICO"),0,N(H924)*N(G924))</f>
        <v/>
      </c>
      <c r="M924" s="107">
        <f>IF(OR(UPPER(C924)="SERVIÇO",UPPER(C924)="SERVICO"),0,L924-K924)</f>
        <v/>
      </c>
    </row>
    <row r="925" ht="15" customHeight="1">
      <c r="B925" s="105" t="n">
        <v>914</v>
      </c>
      <c r="C925" s="105" t="inlineStr">
        <is>
          <t>Produto</t>
        </is>
      </c>
      <c r="D925" s="106" t="inlineStr">
        <is>
          <t>Bolsa de academia modelo avançado laranja</t>
        </is>
      </c>
      <c r="E925" s="107" t="n">
        <v>90.76000000000001</v>
      </c>
      <c r="F925" s="108" t="n">
        <v>50</v>
      </c>
      <c r="G925" s="107">
        <f>ROUND(E925*(1+IF(ABS(F925)&lt;=1,F925,F925/100)),2)</f>
        <v/>
      </c>
      <c r="H925" s="105" t="n">
        <v>15</v>
      </c>
      <c r="I925" s="105" t="n">
        <v>5</v>
      </c>
      <c r="J925" s="105">
        <f>IF(OR(UPPER(C925)="SERVIÇO",UPPER(C925)="SERVICO"),"SERVIÇO",IF(H925&lt;=0,"ZERADO",IF(H925&lt;=I925,"ESTOQUE BAIXO","NORMAL")))</f>
        <v/>
      </c>
      <c r="K925" s="107">
        <f>IF(OR(UPPER(C925)="SERVIÇO",UPPER(C925)="SERVICO"),0,N(H925)*N(E925))</f>
        <v/>
      </c>
      <c r="L925" s="107">
        <f>IF(OR(UPPER(C925)="SERVIÇO",UPPER(C925)="SERVICO"),0,N(H925)*N(G925))</f>
        <v/>
      </c>
      <c r="M925" s="107">
        <f>IF(OR(UPPER(C925)="SERVIÇO",UPPER(C925)="SERVICO"),0,L925-K925)</f>
        <v/>
      </c>
    </row>
    <row r="926" ht="15" customHeight="1">
      <c r="B926" s="105" t="n">
        <v>915</v>
      </c>
      <c r="C926" s="105" t="inlineStr">
        <is>
          <t>Produto</t>
        </is>
      </c>
      <c r="D926" s="106" t="inlineStr">
        <is>
          <t>Short esportivo adulto azul tam. M</t>
        </is>
      </c>
      <c r="E926" s="107" t="n">
        <v>67.40000000000001</v>
      </c>
      <c r="F926" s="108" t="n">
        <v>50</v>
      </c>
      <c r="G926" s="107">
        <f>ROUND(E926*(1+IF(ABS(F926)&lt;=1,F926,F926/100)),2)</f>
        <v/>
      </c>
      <c r="H926" s="105" t="n">
        <v>15</v>
      </c>
      <c r="I926" s="105" t="n">
        <v>5</v>
      </c>
      <c r="J926" s="105">
        <f>IF(OR(UPPER(C926)="SERVIÇO",UPPER(C926)="SERVICO"),"SERVIÇO",IF(H926&lt;=0,"ZERADO",IF(H926&lt;=I926,"ESTOQUE BAIXO","NORMAL")))</f>
        <v/>
      </c>
      <c r="K926" s="107">
        <f>IF(OR(UPPER(C926)="SERVIÇO",UPPER(C926)="SERVICO"),0,N(H926)*N(E926))</f>
        <v/>
      </c>
      <c r="L926" s="107">
        <f>IF(OR(UPPER(C926)="SERVIÇO",UPPER(C926)="SERVICO"),0,N(H926)*N(G926))</f>
        <v/>
      </c>
      <c r="M926" s="107">
        <f>IF(OR(UPPER(C926)="SERVIÇO",UPPER(C926)="SERVICO"),0,L926-K926)</f>
        <v/>
      </c>
    </row>
    <row r="927" ht="15" customHeight="1">
      <c r="B927" s="105" t="n">
        <v>916</v>
      </c>
      <c r="C927" s="105" t="inlineStr">
        <is>
          <t>Produto</t>
        </is>
      </c>
      <c r="D927" s="106" t="inlineStr">
        <is>
          <t>Bastão de caminhada unissex branco</t>
        </is>
      </c>
      <c r="E927" s="107" t="n">
        <v>82.06</v>
      </c>
      <c r="F927" s="108" t="n">
        <v>50</v>
      </c>
      <c r="G927" s="107">
        <f>ROUND(E927*(1+IF(ABS(F927)&lt;=1,F927,F927/100)),2)</f>
        <v/>
      </c>
      <c r="H927" s="105" t="n">
        <v>15</v>
      </c>
      <c r="I927" s="105" t="n">
        <v>5</v>
      </c>
      <c r="J927" s="105">
        <f>IF(OR(UPPER(C927)="SERVIÇO",UPPER(C927)="SERVICO"),"SERVIÇO",IF(H927&lt;=0,"ZERADO",IF(H927&lt;=I927,"ESTOQUE BAIXO","NORMAL")))</f>
        <v/>
      </c>
      <c r="K927" s="107">
        <f>IF(OR(UPPER(C927)="SERVIÇO",UPPER(C927)="SERVICO"),0,N(H927)*N(E927))</f>
        <v/>
      </c>
      <c r="L927" s="107">
        <f>IF(OR(UPPER(C927)="SERVIÇO",UPPER(C927)="SERVICO"),0,N(H927)*N(G927))</f>
        <v/>
      </c>
      <c r="M927" s="107">
        <f>IF(OR(UPPER(C927)="SERVIÇO",UPPER(C927)="SERVICO"),0,L927-K927)</f>
        <v/>
      </c>
    </row>
    <row r="928" ht="15" customHeight="1">
      <c r="B928" s="105" t="n">
        <v>917</v>
      </c>
      <c r="C928" s="105" t="inlineStr">
        <is>
          <t>Produto</t>
        </is>
      </c>
      <c r="D928" s="106" t="inlineStr">
        <is>
          <t>Bolsa de academia versão 2026 verde</t>
        </is>
      </c>
      <c r="E928" s="107" t="n">
        <v>98.15000000000001</v>
      </c>
      <c r="F928" s="108" t="n">
        <v>50</v>
      </c>
      <c r="G928" s="107">
        <f>ROUND(E928*(1+IF(ABS(F928)&lt;=1,F928,F928/100)),2)</f>
        <v/>
      </c>
      <c r="H928" s="105" t="n">
        <v>15</v>
      </c>
      <c r="I928" s="105" t="n">
        <v>5</v>
      </c>
      <c r="J928" s="105">
        <f>IF(OR(UPPER(C928)="SERVIÇO",UPPER(C928)="SERVICO"),"SERVIÇO",IF(H928&lt;=0,"ZERADO",IF(H928&lt;=I928,"ESTOQUE BAIXO","NORMAL")))</f>
        <v/>
      </c>
      <c r="K928" s="107">
        <f>IF(OR(UPPER(C928)="SERVIÇO",UPPER(C928)="SERVICO"),0,N(H928)*N(E928))</f>
        <v/>
      </c>
      <c r="L928" s="107">
        <f>IF(OR(UPPER(C928)="SERVIÇO",UPPER(C928)="SERVICO"),0,N(H928)*N(G928))</f>
        <v/>
      </c>
      <c r="M928" s="107">
        <f>IF(OR(UPPER(C928)="SERVIÇO",UPPER(C928)="SERVICO"),0,L928-K928)</f>
        <v/>
      </c>
    </row>
    <row r="929" ht="15" customHeight="1">
      <c r="B929" s="105" t="n">
        <v>918</v>
      </c>
      <c r="C929" s="105" t="inlineStr">
        <is>
          <t>Produto</t>
        </is>
      </c>
      <c r="D929" s="106" t="inlineStr">
        <is>
          <t>Elástico de resistência adulto cinza</t>
        </is>
      </c>
      <c r="E929" s="107" t="n">
        <v>16.88</v>
      </c>
      <c r="F929" s="108" t="n">
        <v>50</v>
      </c>
      <c r="G929" s="107">
        <f>ROUND(E929*(1+IF(ABS(F929)&lt;=1,F929,F929/100)),2)</f>
        <v/>
      </c>
      <c r="H929" s="105" t="n">
        <v>15</v>
      </c>
      <c r="I929" s="105" t="n">
        <v>5</v>
      </c>
      <c r="J929" s="105">
        <f>IF(OR(UPPER(C929)="SERVIÇO",UPPER(C929)="SERVICO"),"SERVIÇO",IF(H929&lt;=0,"ZERADO",IF(H929&lt;=I929,"ESTOQUE BAIXO","NORMAL")))</f>
        <v/>
      </c>
      <c r="K929" s="107">
        <f>IF(OR(UPPER(C929)="SERVIÇO",UPPER(C929)="SERVICO"),0,N(H929)*N(E929))</f>
        <v/>
      </c>
      <c r="L929" s="107">
        <f>IF(OR(UPPER(C929)="SERVIÇO",UPPER(C929)="SERVICO"),0,N(H929)*N(G929))</f>
        <v/>
      </c>
      <c r="M929" s="107">
        <f>IF(OR(UPPER(C929)="SERVIÇO",UPPER(C929)="SERVICO"),0,L929-K929)</f>
        <v/>
      </c>
    </row>
    <row r="930" ht="15" customHeight="1">
      <c r="B930" s="105" t="n">
        <v>919</v>
      </c>
      <c r="C930" s="105" t="inlineStr">
        <is>
          <t>Produto</t>
        </is>
      </c>
      <c r="D930" s="106" t="inlineStr">
        <is>
          <t>Relógio esportivo ventilado azul</t>
        </is>
      </c>
      <c r="E930" s="107" t="n">
        <v>784.51</v>
      </c>
      <c r="F930" s="108" t="n">
        <v>50</v>
      </c>
      <c r="G930" s="107">
        <f>ROUND(E930*(1+IF(ABS(F930)&lt;=1,F930,F930/100)),2)</f>
        <v/>
      </c>
      <c r="H930" s="105" t="n">
        <v>15</v>
      </c>
      <c r="I930" s="105" t="n">
        <v>5</v>
      </c>
      <c r="J930" s="105">
        <f>IF(OR(UPPER(C930)="SERVIÇO",UPPER(C930)="SERVICO"),"SERVIÇO",IF(H930&lt;=0,"ZERADO",IF(H930&lt;=I930,"ESTOQUE BAIXO","NORMAL")))</f>
        <v/>
      </c>
      <c r="K930" s="107">
        <f>IF(OR(UPPER(C930)="SERVIÇO",UPPER(C930)="SERVICO"),0,N(H930)*N(E930))</f>
        <v/>
      </c>
      <c r="L930" s="107">
        <f>IF(OR(UPPER(C930)="SERVIÇO",UPPER(C930)="SERVICO"),0,N(H930)*N(G930))</f>
        <v/>
      </c>
      <c r="M930" s="107">
        <f>IF(OR(UPPER(C930)="SERVIÇO",UPPER(C930)="SERVICO"),0,L930-K930)</f>
        <v/>
      </c>
    </row>
    <row r="931" ht="15" customHeight="1">
      <c r="B931" s="105" t="n">
        <v>920</v>
      </c>
      <c r="C931" s="105" t="inlineStr">
        <is>
          <t>Produto</t>
        </is>
      </c>
      <c r="D931" s="106" t="inlineStr">
        <is>
          <t>Kettlebell resistente cinza</t>
        </is>
      </c>
      <c r="E931" s="107" t="n">
        <v>213.92</v>
      </c>
      <c r="F931" s="108" t="n">
        <v>50</v>
      </c>
      <c r="G931" s="107">
        <f>ROUND(E931*(1+IF(ABS(F931)&lt;=1,F931,F931/100)),2)</f>
        <v/>
      </c>
      <c r="H931" s="105" t="n">
        <v>15</v>
      </c>
      <c r="I931" s="105" t="n">
        <v>5</v>
      </c>
      <c r="J931" s="105">
        <f>IF(OR(UPPER(C931)="SERVIÇO",UPPER(C931)="SERVICO"),"SERVIÇO",IF(H931&lt;=0,"ZERADO",IF(H931&lt;=I931,"ESTOQUE BAIXO","NORMAL")))</f>
        <v/>
      </c>
      <c r="K931" s="107">
        <f>IF(OR(UPPER(C931)="SERVIÇO",UPPER(C931)="SERVICO"),0,N(H931)*N(E931))</f>
        <v/>
      </c>
      <c r="L931" s="107">
        <f>IF(OR(UPPER(C931)="SERVIÇO",UPPER(C931)="SERVICO"),0,N(H931)*N(G931))</f>
        <v/>
      </c>
      <c r="M931" s="107">
        <f>IF(OR(UPPER(C931)="SERVIÇO",UPPER(C931)="SERVICO"),0,L931-K931)</f>
        <v/>
      </c>
    </row>
    <row r="932" ht="15" customHeight="1">
      <c r="B932" s="105" t="n">
        <v>921</v>
      </c>
      <c r="C932" s="105" t="inlineStr">
        <is>
          <t>Produto</t>
        </is>
      </c>
      <c r="D932" s="106" t="inlineStr">
        <is>
          <t>Protetor bucal com ajuste laranja</t>
        </is>
      </c>
      <c r="E932" s="107" t="n">
        <v>37.66</v>
      </c>
      <c r="F932" s="108" t="n">
        <v>50</v>
      </c>
      <c r="G932" s="107">
        <f>ROUND(E932*(1+IF(ABS(F932)&lt;=1,F932,F932/100)),2)</f>
        <v/>
      </c>
      <c r="H932" s="105" t="n">
        <v>15</v>
      </c>
      <c r="I932" s="105" t="n">
        <v>5</v>
      </c>
      <c r="J932" s="105">
        <f>IF(OR(UPPER(C932)="SERVIÇO",UPPER(C932)="SERVICO"),"SERVIÇO",IF(H932&lt;=0,"ZERADO",IF(H932&lt;=I932,"ESTOQUE BAIXO","NORMAL")))</f>
        <v/>
      </c>
      <c r="K932" s="107">
        <f>IF(OR(UPPER(C932)="SERVIÇO",UPPER(C932)="SERVICO"),0,N(H932)*N(E932))</f>
        <v/>
      </c>
      <c r="L932" s="107">
        <f>IF(OR(UPPER(C932)="SERVIÇO",UPPER(C932)="SERVICO"),0,N(H932)*N(G932))</f>
        <v/>
      </c>
      <c r="M932" s="107">
        <f>IF(OR(UPPER(C932)="SERVIÇO",UPPER(C932)="SERVICO"),0,L932-K932)</f>
        <v/>
      </c>
    </row>
    <row r="933" ht="15" customHeight="1">
      <c r="B933" s="105" t="n">
        <v>922</v>
      </c>
      <c r="C933" s="105" t="inlineStr">
        <is>
          <t>Produto</t>
        </is>
      </c>
      <c r="D933" s="106" t="inlineStr">
        <is>
          <t>Banco de musculação modelo básico rosa</t>
        </is>
      </c>
      <c r="E933" s="107" t="n">
        <v>1079.65</v>
      </c>
      <c r="F933" s="108" t="n">
        <v>50</v>
      </c>
      <c r="G933" s="107">
        <f>ROUND(E933*(1+IF(ABS(F933)&lt;=1,F933,F933/100)),2)</f>
        <v/>
      </c>
      <c r="H933" s="105" t="n">
        <v>15</v>
      </c>
      <c r="I933" s="105" t="n">
        <v>5</v>
      </c>
      <c r="J933" s="105">
        <f>IF(OR(UPPER(C933)="SERVIÇO",UPPER(C933)="SERVICO"),"SERVIÇO",IF(H933&lt;=0,"ZERADO",IF(H933&lt;=I933,"ESTOQUE BAIXO","NORMAL")))</f>
        <v/>
      </c>
      <c r="K933" s="107">
        <f>IF(OR(UPPER(C933)="SERVIÇO",UPPER(C933)="SERVICO"),0,N(H933)*N(E933))</f>
        <v/>
      </c>
      <c r="L933" s="107">
        <f>IF(OR(UPPER(C933)="SERVIÇO",UPPER(C933)="SERVICO"),0,N(H933)*N(G933))</f>
        <v/>
      </c>
      <c r="M933" s="107">
        <f>IF(OR(UPPER(C933)="SERVIÇO",UPPER(C933)="SERVICO"),0,L933-K933)</f>
        <v/>
      </c>
    </row>
    <row r="934" ht="15" customHeight="1">
      <c r="B934" s="105" t="n">
        <v>923</v>
      </c>
      <c r="C934" s="105" t="inlineStr">
        <is>
          <t>Produto</t>
        </is>
      </c>
      <c r="D934" s="106" t="inlineStr">
        <is>
          <t>Luva de boxe ergonômico azul tam. 34</t>
        </is>
      </c>
      <c r="E934" s="107" t="n">
        <v>59.37</v>
      </c>
      <c r="F934" s="108" t="n">
        <v>50</v>
      </c>
      <c r="G934" s="107">
        <f>ROUND(E934*(1+IF(ABS(F934)&lt;=1,F934,F934/100)),2)</f>
        <v/>
      </c>
      <c r="H934" s="105" t="n">
        <v>15</v>
      </c>
      <c r="I934" s="105" t="n">
        <v>5</v>
      </c>
      <c r="J934" s="105">
        <f>IF(OR(UPPER(C934)="SERVIÇO",UPPER(C934)="SERVICO"),"SERVIÇO",IF(H934&lt;=0,"ZERADO",IF(H934&lt;=I934,"ESTOQUE BAIXO","NORMAL")))</f>
        <v/>
      </c>
      <c r="K934" s="107">
        <f>IF(OR(UPPER(C934)="SERVIÇO",UPPER(C934)="SERVICO"),0,N(H934)*N(E934))</f>
        <v/>
      </c>
      <c r="L934" s="107">
        <f>IF(OR(UPPER(C934)="SERVIÇO",UPPER(C934)="SERVICO"),0,N(H934)*N(G934))</f>
        <v/>
      </c>
      <c r="M934" s="107">
        <f>IF(OR(UPPER(C934)="SERVIÇO",UPPER(C934)="SERVICO"),0,L934-K934)</f>
        <v/>
      </c>
    </row>
    <row r="935" ht="15" customHeight="1">
      <c r="B935" s="105" t="n">
        <v>924</v>
      </c>
      <c r="C935" s="105" t="inlineStr">
        <is>
          <t>Produto</t>
        </is>
      </c>
      <c r="D935" s="106" t="inlineStr">
        <is>
          <t>Touca de natação compacto branco tam. 38</t>
        </is>
      </c>
      <c r="E935" s="107" t="n">
        <v>57.67</v>
      </c>
      <c r="F935" s="108" t="n">
        <v>50</v>
      </c>
      <c r="G935" s="107">
        <f>ROUND(E935*(1+IF(ABS(F935)&lt;=1,F935,F935/100)),2)</f>
        <v/>
      </c>
      <c r="H935" s="105" t="n">
        <v>15</v>
      </c>
      <c r="I935" s="105" t="n">
        <v>5</v>
      </c>
      <c r="J935" s="105">
        <f>IF(OR(UPPER(C935)="SERVIÇO",UPPER(C935)="SERVICO"),"SERVIÇO",IF(H935&lt;=0,"ZERADO",IF(H935&lt;=I935,"ESTOQUE BAIXO","NORMAL")))</f>
        <v/>
      </c>
      <c r="K935" s="107">
        <f>IF(OR(UPPER(C935)="SERVIÇO",UPPER(C935)="SERVICO"),0,N(H935)*N(E935))</f>
        <v/>
      </c>
      <c r="L935" s="107">
        <f>IF(OR(UPPER(C935)="SERVIÇO",UPPER(C935)="SERVICO"),0,N(H935)*N(G935))</f>
        <v/>
      </c>
      <c r="M935" s="107">
        <f>IF(OR(UPPER(C935)="SERVIÇO",UPPER(C935)="SERVICO"),0,L935-K935)</f>
        <v/>
      </c>
    </row>
    <row r="936" ht="15" customHeight="1">
      <c r="B936" s="105" t="n">
        <v>925</v>
      </c>
      <c r="C936" s="105" t="inlineStr">
        <is>
          <t>Produto</t>
        </is>
      </c>
      <c r="D936" s="106" t="inlineStr">
        <is>
          <t>Monitor cardíaco adulto cinza</t>
        </is>
      </c>
      <c r="E936" s="107" t="n">
        <v>189.49</v>
      </c>
      <c r="F936" s="108" t="n">
        <v>50</v>
      </c>
      <c r="G936" s="107">
        <f>ROUND(E936*(1+IF(ABS(F936)&lt;=1,F936,F936/100)),2)</f>
        <v/>
      </c>
      <c r="H936" s="105" t="n">
        <v>15</v>
      </c>
      <c r="I936" s="105" t="n">
        <v>5</v>
      </c>
      <c r="J936" s="105">
        <f>IF(OR(UPPER(C936)="SERVIÇO",UPPER(C936)="SERVICO"),"SERVIÇO",IF(H936&lt;=0,"ZERADO",IF(H936&lt;=I936,"ESTOQUE BAIXO","NORMAL")))</f>
        <v/>
      </c>
      <c r="K936" s="107">
        <f>IF(OR(UPPER(C936)="SERVIÇO",UPPER(C936)="SERVICO"),0,N(H936)*N(E936))</f>
        <v/>
      </c>
      <c r="L936" s="107">
        <f>IF(OR(UPPER(C936)="SERVIÇO",UPPER(C936)="SERVICO"),0,N(H936)*N(G936))</f>
        <v/>
      </c>
      <c r="M936" s="107">
        <f>IF(OR(UPPER(C936)="SERVIÇO",UPPER(C936)="SERVICO"),0,L936-K936)</f>
        <v/>
      </c>
    </row>
    <row r="937" ht="15" customHeight="1">
      <c r="B937" s="105" t="n">
        <v>926</v>
      </c>
      <c r="C937" s="105" t="inlineStr">
        <is>
          <t>Produto</t>
        </is>
      </c>
      <c r="D937" s="106" t="inlineStr">
        <is>
          <t>Raquete de badminton modelo básico azul</t>
        </is>
      </c>
      <c r="E937" s="107" t="n">
        <v>146.39</v>
      </c>
      <c r="F937" s="108" t="n">
        <v>50</v>
      </c>
      <c r="G937" s="107">
        <f>ROUND(E937*(1+IF(ABS(F937)&lt;=1,F937,F937/100)),2)</f>
        <v/>
      </c>
      <c r="H937" s="105" t="n">
        <v>15</v>
      </c>
      <c r="I937" s="105" t="n">
        <v>5</v>
      </c>
      <c r="J937" s="105">
        <f>IF(OR(UPPER(C937)="SERVIÇO",UPPER(C937)="SERVICO"),"SERVIÇO",IF(H937&lt;=0,"ZERADO",IF(H937&lt;=I937,"ESTOQUE BAIXO","NORMAL")))</f>
        <v/>
      </c>
      <c r="K937" s="107">
        <f>IF(OR(UPPER(C937)="SERVIÇO",UPPER(C937)="SERVICO"),0,N(H937)*N(E937))</f>
        <v/>
      </c>
      <c r="L937" s="107">
        <f>IF(OR(UPPER(C937)="SERVIÇO",UPPER(C937)="SERVICO"),0,N(H937)*N(G937))</f>
        <v/>
      </c>
      <c r="M937" s="107">
        <f>IF(OR(UPPER(C937)="SERVIÇO",UPPER(C937)="SERVICO"),0,L937-K937)</f>
        <v/>
      </c>
    </row>
    <row r="938" ht="15" customHeight="1">
      <c r="B938" s="105" t="n">
        <v>927</v>
      </c>
      <c r="C938" s="105" t="inlineStr">
        <is>
          <t>Produto</t>
        </is>
      </c>
      <c r="D938" s="106" t="inlineStr">
        <is>
          <t>Regata esportiva modelo básico branco tam. GG</t>
        </is>
      </c>
      <c r="E938" s="107" t="n">
        <v>71.28</v>
      </c>
      <c r="F938" s="108" t="n">
        <v>50</v>
      </c>
      <c r="G938" s="107">
        <f>ROUND(E938*(1+IF(ABS(F938)&lt;=1,F938,F938/100)),2)</f>
        <v/>
      </c>
      <c r="H938" s="105" t="n">
        <v>15</v>
      </c>
      <c r="I938" s="105" t="n">
        <v>5</v>
      </c>
      <c r="J938" s="105">
        <f>IF(OR(UPPER(C938)="SERVIÇO",UPPER(C938)="SERVICO"),"SERVIÇO",IF(H938&lt;=0,"ZERADO",IF(H938&lt;=I938,"ESTOQUE BAIXO","NORMAL")))</f>
        <v/>
      </c>
      <c r="K938" s="107">
        <f>IF(OR(UPPER(C938)="SERVIÇO",UPPER(C938)="SERVICO"),0,N(H938)*N(E938))</f>
        <v/>
      </c>
      <c r="L938" s="107">
        <f>IF(OR(UPPER(C938)="SERVIÇO",UPPER(C938)="SERVICO"),0,N(H938)*N(G938))</f>
        <v/>
      </c>
      <c r="M938" s="107">
        <f>IF(OR(UPPER(C938)="SERVIÇO",UPPER(C938)="SERVICO"),0,L938-K938)</f>
        <v/>
      </c>
    </row>
    <row r="939" ht="15" customHeight="1">
      <c r="B939" s="105" t="n">
        <v>928</v>
      </c>
      <c r="C939" s="105" t="inlineStr">
        <is>
          <t>Produto</t>
        </is>
      </c>
      <c r="D939" s="106" t="inlineStr">
        <is>
          <t>Bolsa de academia reforçado rosa</t>
        </is>
      </c>
      <c r="E939" s="107" t="n">
        <v>140.51</v>
      </c>
      <c r="F939" s="108" t="n">
        <v>50</v>
      </c>
      <c r="G939" s="107">
        <f>ROUND(E939*(1+IF(ABS(F939)&lt;=1,F939,F939/100)),2)</f>
        <v/>
      </c>
      <c r="H939" s="105" t="n">
        <v>15</v>
      </c>
      <c r="I939" s="105" t="n">
        <v>5</v>
      </c>
      <c r="J939" s="105">
        <f>IF(OR(UPPER(C939)="SERVIÇO",UPPER(C939)="SERVICO"),"SERVIÇO",IF(H939&lt;=0,"ZERADO",IF(H939&lt;=I939,"ESTOQUE BAIXO","NORMAL")))</f>
        <v/>
      </c>
      <c r="K939" s="107">
        <f>IF(OR(UPPER(C939)="SERVIÇO",UPPER(C939)="SERVICO"),0,N(H939)*N(E939))</f>
        <v/>
      </c>
      <c r="L939" s="107">
        <f>IF(OR(UPPER(C939)="SERVIÇO",UPPER(C939)="SERVICO"),0,N(H939)*N(G939))</f>
        <v/>
      </c>
      <c r="M939" s="107">
        <f>IF(OR(UPPER(C939)="SERVIÇO",UPPER(C939)="SERVICO"),0,L939-K939)</f>
        <v/>
      </c>
    </row>
    <row r="940" ht="15" customHeight="1">
      <c r="B940" s="105" t="n">
        <v>929</v>
      </c>
      <c r="C940" s="105" t="inlineStr">
        <is>
          <t>Produto</t>
        </is>
      </c>
      <c r="D940" s="106" t="inlineStr">
        <is>
          <t>Meias esportivas premium verde tam. GG</t>
        </is>
      </c>
      <c r="E940" s="107" t="n">
        <v>13.24</v>
      </c>
      <c r="F940" s="108" t="n">
        <v>50</v>
      </c>
      <c r="G940" s="107">
        <f>ROUND(E940*(1+IF(ABS(F940)&lt;=1,F940,F940/100)),2)</f>
        <v/>
      </c>
      <c r="H940" s="105" t="n">
        <v>15</v>
      </c>
      <c r="I940" s="105" t="n">
        <v>5</v>
      </c>
      <c r="J940" s="105">
        <f>IF(OR(UPPER(C940)="SERVIÇO",UPPER(C940)="SERVICO"),"SERVIÇO",IF(H940&lt;=0,"ZERADO",IF(H940&lt;=I940,"ESTOQUE BAIXO","NORMAL")))</f>
        <v/>
      </c>
      <c r="K940" s="107">
        <f>IF(OR(UPPER(C940)="SERVIÇO",UPPER(C940)="SERVICO"),0,N(H940)*N(E940))</f>
        <v/>
      </c>
      <c r="L940" s="107">
        <f>IF(OR(UPPER(C940)="SERVIÇO",UPPER(C940)="SERVICO"),0,N(H940)*N(G940))</f>
        <v/>
      </c>
      <c r="M940" s="107">
        <f>IF(OR(UPPER(C940)="SERVIÇO",UPPER(C940)="SERVICO"),0,L940-K940)</f>
        <v/>
      </c>
    </row>
    <row r="941" ht="15" customHeight="1">
      <c r="B941" s="105" t="n">
        <v>930</v>
      </c>
      <c r="C941" s="105" t="inlineStr">
        <is>
          <t>Produto</t>
        </is>
      </c>
      <c r="D941" s="106" t="inlineStr">
        <is>
          <t>Meias esportivas modelo avançado vermelho tam. M</t>
        </is>
      </c>
      <c r="E941" s="107" t="n">
        <v>10.25</v>
      </c>
      <c r="F941" s="108" t="n">
        <v>50</v>
      </c>
      <c r="G941" s="107">
        <f>ROUND(E941*(1+IF(ABS(F941)&lt;=1,F941,F941/100)),2)</f>
        <v/>
      </c>
      <c r="H941" s="105" t="n">
        <v>15</v>
      </c>
      <c r="I941" s="105" t="n">
        <v>5</v>
      </c>
      <c r="J941" s="105">
        <f>IF(OR(UPPER(C941)="SERVIÇO",UPPER(C941)="SERVICO"),"SERVIÇO",IF(H941&lt;=0,"ZERADO",IF(H941&lt;=I941,"ESTOQUE BAIXO","NORMAL")))</f>
        <v/>
      </c>
      <c r="K941" s="107">
        <f>IF(OR(UPPER(C941)="SERVIÇO",UPPER(C941)="SERVICO"),0,N(H941)*N(E941))</f>
        <v/>
      </c>
      <c r="L941" s="107">
        <f>IF(OR(UPPER(C941)="SERVIÇO",UPPER(C941)="SERVICO"),0,N(H941)*N(G941))</f>
        <v/>
      </c>
      <c r="M941" s="107">
        <f>IF(OR(UPPER(C941)="SERVIÇO",UPPER(C941)="SERVICO"),0,L941-K941)</f>
        <v/>
      </c>
    </row>
    <row r="942" ht="15" customHeight="1">
      <c r="B942" s="105" t="n">
        <v>931</v>
      </c>
      <c r="C942" s="105" t="inlineStr">
        <is>
          <t>Produto</t>
        </is>
      </c>
      <c r="D942" s="106" t="inlineStr">
        <is>
          <t>Raquete de badminton versão 2026 preto</t>
        </is>
      </c>
      <c r="E942" s="107" t="n">
        <v>190.43</v>
      </c>
      <c r="F942" s="108" t="n">
        <v>50</v>
      </c>
      <c r="G942" s="107">
        <f>ROUND(E942*(1+IF(ABS(F942)&lt;=1,F942,F942/100)),2)</f>
        <v/>
      </c>
      <c r="H942" s="105" t="n">
        <v>15</v>
      </c>
      <c r="I942" s="105" t="n">
        <v>5</v>
      </c>
      <c r="J942" s="105">
        <f>IF(OR(UPPER(C942)="SERVIÇO",UPPER(C942)="SERVICO"),"SERVIÇO",IF(H942&lt;=0,"ZERADO",IF(H942&lt;=I942,"ESTOQUE BAIXO","NORMAL")))</f>
        <v/>
      </c>
      <c r="K942" s="107">
        <f>IF(OR(UPPER(C942)="SERVIÇO",UPPER(C942)="SERVICO"),0,N(H942)*N(E942))</f>
        <v/>
      </c>
      <c r="L942" s="107">
        <f>IF(OR(UPPER(C942)="SERVIÇO",UPPER(C942)="SERVICO"),0,N(H942)*N(G942))</f>
        <v/>
      </c>
      <c r="M942" s="107">
        <f>IF(OR(UPPER(C942)="SERVIÇO",UPPER(C942)="SERVICO"),0,L942-K942)</f>
        <v/>
      </c>
    </row>
    <row r="943" ht="15" customHeight="1">
      <c r="B943" s="105" t="n">
        <v>932</v>
      </c>
      <c r="C943" s="105" t="inlineStr">
        <is>
          <t>Produto</t>
        </is>
      </c>
      <c r="D943" s="106" t="inlineStr">
        <is>
          <t>Caneleira de futebol ergonômico branco</t>
        </is>
      </c>
      <c r="E943" s="107" t="n">
        <v>60.35</v>
      </c>
      <c r="F943" s="108" t="n">
        <v>50</v>
      </c>
      <c r="G943" s="107">
        <f>ROUND(E943*(1+IF(ABS(F943)&lt;=1,F943,F943/100)),2)</f>
        <v/>
      </c>
      <c r="H943" s="105" t="n">
        <v>15</v>
      </c>
      <c r="I943" s="105" t="n">
        <v>5</v>
      </c>
      <c r="J943" s="105">
        <f>IF(OR(UPPER(C943)="SERVIÇO",UPPER(C943)="SERVICO"),"SERVIÇO",IF(H943&lt;=0,"ZERADO",IF(H943&lt;=I943,"ESTOQUE BAIXO","NORMAL")))</f>
        <v/>
      </c>
      <c r="K943" s="107">
        <f>IF(OR(UPPER(C943)="SERVIÇO",UPPER(C943)="SERVICO"),0,N(H943)*N(E943))</f>
        <v/>
      </c>
      <c r="L943" s="107">
        <f>IF(OR(UPPER(C943)="SERVIÇO",UPPER(C943)="SERVICO"),0,N(H943)*N(G943))</f>
        <v/>
      </c>
      <c r="M943" s="107">
        <f>IF(OR(UPPER(C943)="SERVIÇO",UPPER(C943)="SERVICO"),0,L943-K943)</f>
        <v/>
      </c>
    </row>
    <row r="944" ht="15" customHeight="1">
      <c r="B944" s="105" t="n">
        <v>933</v>
      </c>
      <c r="C944" s="105" t="inlineStr">
        <is>
          <t>Produto</t>
        </is>
      </c>
      <c r="D944" s="106" t="inlineStr">
        <is>
          <t>Óculos esportivos premium rosa</t>
        </is>
      </c>
      <c r="E944" s="107" t="n">
        <v>96.36</v>
      </c>
      <c r="F944" s="108" t="n">
        <v>50</v>
      </c>
      <c r="G944" s="107">
        <f>ROUND(E944*(1+IF(ABS(F944)&lt;=1,F944,F944/100)),2)</f>
        <v/>
      </c>
      <c r="H944" s="105" t="n">
        <v>15</v>
      </c>
      <c r="I944" s="105" t="n">
        <v>5</v>
      </c>
      <c r="J944" s="105">
        <f>IF(OR(UPPER(C944)="SERVIÇO",UPPER(C944)="SERVICO"),"SERVIÇO",IF(H944&lt;=0,"ZERADO",IF(H944&lt;=I944,"ESTOQUE BAIXO","NORMAL")))</f>
        <v/>
      </c>
      <c r="K944" s="107">
        <f>IF(OR(UPPER(C944)="SERVIÇO",UPPER(C944)="SERVICO"),0,N(H944)*N(E944))</f>
        <v/>
      </c>
      <c r="L944" s="107">
        <f>IF(OR(UPPER(C944)="SERVIÇO",UPPER(C944)="SERVICO"),0,N(H944)*N(G944))</f>
        <v/>
      </c>
      <c r="M944" s="107">
        <f>IF(OR(UPPER(C944)="SERVIÇO",UPPER(C944)="SERVICO"),0,L944-K944)</f>
        <v/>
      </c>
    </row>
    <row r="945" ht="15" customHeight="1">
      <c r="B945" s="105" t="n">
        <v>934</v>
      </c>
      <c r="C945" s="105" t="inlineStr">
        <is>
          <t>Produto</t>
        </is>
      </c>
      <c r="D945" s="106" t="inlineStr">
        <is>
          <t>Step de ginástica premium laranja</t>
        </is>
      </c>
      <c r="E945" s="107" t="n">
        <v>113.24</v>
      </c>
      <c r="F945" s="108" t="n">
        <v>50</v>
      </c>
      <c r="G945" s="107">
        <f>ROUND(E945*(1+IF(ABS(F945)&lt;=1,F945,F945/100)),2)</f>
        <v/>
      </c>
      <c r="H945" s="105" t="n">
        <v>15</v>
      </c>
      <c r="I945" s="105" t="n">
        <v>5</v>
      </c>
      <c r="J945" s="105">
        <f>IF(OR(UPPER(C945)="SERVIÇO",UPPER(C945)="SERVICO"),"SERVIÇO",IF(H945&lt;=0,"ZERADO",IF(H945&lt;=I945,"ESTOQUE BAIXO","NORMAL")))</f>
        <v/>
      </c>
      <c r="K945" s="107">
        <f>IF(OR(UPPER(C945)="SERVIÇO",UPPER(C945)="SERVICO"),0,N(H945)*N(E945))</f>
        <v/>
      </c>
      <c r="L945" s="107">
        <f>IF(OR(UPPER(C945)="SERVIÇO",UPPER(C945)="SERVICO"),0,N(H945)*N(G945))</f>
        <v/>
      </c>
      <c r="M945" s="107">
        <f>IF(OR(UPPER(C945)="SERVIÇO",UPPER(C945)="SERVICO"),0,L945-K945)</f>
        <v/>
      </c>
    </row>
    <row r="946" ht="15" customHeight="1">
      <c r="B946" s="105" t="n">
        <v>935</v>
      </c>
      <c r="C946" s="105" t="inlineStr">
        <is>
          <t>Produto</t>
        </is>
      </c>
      <c r="D946" s="106" t="inlineStr">
        <is>
          <t>Protetor bucal juvenil laranja</t>
        </is>
      </c>
      <c r="E946" s="107" t="n">
        <v>33.34</v>
      </c>
      <c r="F946" s="108" t="n">
        <v>50</v>
      </c>
      <c r="G946" s="107">
        <f>ROUND(E946*(1+IF(ABS(F946)&lt;=1,F946,F946/100)),2)</f>
        <v/>
      </c>
      <c r="H946" s="105" t="n">
        <v>15</v>
      </c>
      <c r="I946" s="105" t="n">
        <v>5</v>
      </c>
      <c r="J946" s="105">
        <f>IF(OR(UPPER(C946)="SERVIÇO",UPPER(C946)="SERVICO"),"SERVIÇO",IF(H946&lt;=0,"ZERADO",IF(H946&lt;=I946,"ESTOQUE BAIXO","NORMAL")))</f>
        <v/>
      </c>
      <c r="K946" s="107">
        <f>IF(OR(UPPER(C946)="SERVIÇO",UPPER(C946)="SERVICO"),0,N(H946)*N(E946))</f>
        <v/>
      </c>
      <c r="L946" s="107">
        <f>IF(OR(UPPER(C946)="SERVIÇO",UPPER(C946)="SERVICO"),0,N(H946)*N(G946))</f>
        <v/>
      </c>
      <c r="M946" s="107">
        <f>IF(OR(UPPER(C946)="SERVIÇO",UPPER(C946)="SERVICO"),0,L946-K946)</f>
        <v/>
      </c>
    </row>
    <row r="947" ht="15" customHeight="1">
      <c r="B947" s="105" t="n">
        <v>936</v>
      </c>
      <c r="C947" s="105" t="inlineStr">
        <is>
          <t>Produto</t>
        </is>
      </c>
      <c r="D947" s="106" t="inlineStr">
        <is>
          <t>Caneleira de futebol resistente branco</t>
        </is>
      </c>
      <c r="E947" s="107" t="n">
        <v>42.65</v>
      </c>
      <c r="F947" s="108" t="n">
        <v>50</v>
      </c>
      <c r="G947" s="107">
        <f>ROUND(E947*(1+IF(ABS(F947)&lt;=1,F947,F947/100)),2)</f>
        <v/>
      </c>
      <c r="H947" s="105" t="n">
        <v>15</v>
      </c>
      <c r="I947" s="105" t="n">
        <v>5</v>
      </c>
      <c r="J947" s="105">
        <f>IF(OR(UPPER(C947)="SERVIÇO",UPPER(C947)="SERVICO"),"SERVIÇO",IF(H947&lt;=0,"ZERADO",IF(H947&lt;=I947,"ESTOQUE BAIXO","NORMAL")))</f>
        <v/>
      </c>
      <c r="K947" s="107">
        <f>IF(OR(UPPER(C947)="SERVIÇO",UPPER(C947)="SERVICO"),0,N(H947)*N(E947))</f>
        <v/>
      </c>
      <c r="L947" s="107">
        <f>IF(OR(UPPER(C947)="SERVIÇO",UPPER(C947)="SERVICO"),0,N(H947)*N(G947))</f>
        <v/>
      </c>
      <c r="M947" s="107">
        <f>IF(OR(UPPER(C947)="SERVIÇO",UPPER(C947)="SERVICO"),0,L947-K947)</f>
        <v/>
      </c>
    </row>
    <row r="948" ht="15" customHeight="1">
      <c r="B948" s="105" t="n">
        <v>937</v>
      </c>
      <c r="C948" s="105" t="inlineStr">
        <is>
          <t>Produto</t>
        </is>
      </c>
      <c r="D948" s="106" t="inlineStr">
        <is>
          <t>Nadadeira com ajuste azul</t>
        </is>
      </c>
      <c r="E948" s="107" t="n">
        <v>132.86</v>
      </c>
      <c r="F948" s="108" t="n">
        <v>50</v>
      </c>
      <c r="G948" s="107">
        <f>ROUND(E948*(1+IF(ABS(F948)&lt;=1,F948,F948/100)),2)</f>
        <v/>
      </c>
      <c r="H948" s="105" t="n">
        <v>15</v>
      </c>
      <c r="I948" s="105" t="n">
        <v>5</v>
      </c>
      <c r="J948" s="105">
        <f>IF(OR(UPPER(C948)="SERVIÇO",UPPER(C948)="SERVICO"),"SERVIÇO",IF(H948&lt;=0,"ZERADO",IF(H948&lt;=I948,"ESTOQUE BAIXO","NORMAL")))</f>
        <v/>
      </c>
      <c r="K948" s="107">
        <f>IF(OR(UPPER(C948)="SERVIÇO",UPPER(C948)="SERVICO"),0,N(H948)*N(E948))</f>
        <v/>
      </c>
      <c r="L948" s="107">
        <f>IF(OR(UPPER(C948)="SERVIÇO",UPPER(C948)="SERVICO"),0,N(H948)*N(G948))</f>
        <v/>
      </c>
      <c r="M948" s="107">
        <f>IF(OR(UPPER(C948)="SERVIÇO",UPPER(C948)="SERVICO"),0,L948-K948)</f>
        <v/>
      </c>
    </row>
    <row r="949" ht="15" customHeight="1">
      <c r="B949" s="105" t="n">
        <v>938</v>
      </c>
      <c r="C949" s="105" t="inlineStr">
        <is>
          <t>Produto</t>
        </is>
      </c>
      <c r="D949" s="106" t="inlineStr">
        <is>
          <t>Capacete de ciclismo adulto preto</t>
        </is>
      </c>
      <c r="E949" s="107" t="n">
        <v>258.26</v>
      </c>
      <c r="F949" s="108" t="n">
        <v>50</v>
      </c>
      <c r="G949" s="107">
        <f>ROUND(E949*(1+IF(ABS(F949)&lt;=1,F949,F949/100)),2)</f>
        <v/>
      </c>
      <c r="H949" s="105" t="n">
        <v>15</v>
      </c>
      <c r="I949" s="105" t="n">
        <v>5</v>
      </c>
      <c r="J949" s="105">
        <f>IF(OR(UPPER(C949)="SERVIÇO",UPPER(C949)="SERVICO"),"SERVIÇO",IF(H949&lt;=0,"ZERADO",IF(H949&lt;=I949,"ESTOQUE BAIXO","NORMAL")))</f>
        <v/>
      </c>
      <c r="K949" s="107">
        <f>IF(OR(UPPER(C949)="SERVIÇO",UPPER(C949)="SERVICO"),0,N(H949)*N(E949))</f>
        <v/>
      </c>
      <c r="L949" s="107">
        <f>IF(OR(UPPER(C949)="SERVIÇO",UPPER(C949)="SERVICO"),0,N(H949)*N(G949))</f>
        <v/>
      </c>
      <c r="M949" s="107">
        <f>IF(OR(UPPER(C949)="SERVIÇO",UPPER(C949)="SERVICO"),0,L949-K949)</f>
        <v/>
      </c>
    </row>
    <row r="950" ht="15" customHeight="1">
      <c r="B950" s="105" t="n">
        <v>939</v>
      </c>
      <c r="C950" s="105" t="inlineStr">
        <is>
          <t>Produto</t>
        </is>
      </c>
      <c r="D950" s="106" t="inlineStr">
        <is>
          <t>Bloco para yoga treino branco</t>
        </is>
      </c>
      <c r="E950" s="107" t="n">
        <v>23.04</v>
      </c>
      <c r="F950" s="108" t="n">
        <v>50</v>
      </c>
      <c r="G950" s="107">
        <f>ROUND(E950*(1+IF(ABS(F950)&lt;=1,F950,F950/100)),2)</f>
        <v/>
      </c>
      <c r="H950" s="105" t="n">
        <v>15</v>
      </c>
      <c r="I950" s="105" t="n">
        <v>5</v>
      </c>
      <c r="J950" s="105">
        <f>IF(OR(UPPER(C950)="SERVIÇO",UPPER(C950)="SERVICO"),"SERVIÇO",IF(H950&lt;=0,"ZERADO",IF(H950&lt;=I950,"ESTOQUE BAIXO","NORMAL")))</f>
        <v/>
      </c>
      <c r="K950" s="107">
        <f>IF(OR(UPPER(C950)="SERVIÇO",UPPER(C950)="SERVICO"),0,N(H950)*N(E950))</f>
        <v/>
      </c>
      <c r="L950" s="107">
        <f>IF(OR(UPPER(C950)="SERVIÇO",UPPER(C950)="SERVICO"),0,N(H950)*N(G950))</f>
        <v/>
      </c>
      <c r="M950" s="107">
        <f>IF(OR(UPPER(C950)="SERVIÇO",UPPER(C950)="SERVICO"),0,L950-K950)</f>
        <v/>
      </c>
    </row>
    <row r="951" ht="15" customHeight="1">
      <c r="B951" s="105" t="n">
        <v>940</v>
      </c>
      <c r="C951" s="105" t="inlineStr">
        <is>
          <t>Produto</t>
        </is>
      </c>
      <c r="D951" s="106" t="inlineStr">
        <is>
          <t>Mochila esportiva ventilado cinza</t>
        </is>
      </c>
      <c r="E951" s="107" t="n">
        <v>84.31999999999999</v>
      </c>
      <c r="F951" s="108" t="n">
        <v>50</v>
      </c>
      <c r="G951" s="107">
        <f>ROUND(E951*(1+IF(ABS(F951)&lt;=1,F951,F951/100)),2)</f>
        <v/>
      </c>
      <c r="H951" s="105" t="n">
        <v>15</v>
      </c>
      <c r="I951" s="105" t="n">
        <v>5</v>
      </c>
      <c r="J951" s="105">
        <f>IF(OR(UPPER(C951)="SERVIÇO",UPPER(C951)="SERVICO"),"SERVIÇO",IF(H951&lt;=0,"ZERADO",IF(H951&lt;=I951,"ESTOQUE BAIXO","NORMAL")))</f>
        <v/>
      </c>
      <c r="K951" s="107">
        <f>IF(OR(UPPER(C951)="SERVIÇO",UPPER(C951)="SERVICO"),0,N(H951)*N(E951))</f>
        <v/>
      </c>
      <c r="L951" s="107">
        <f>IF(OR(UPPER(C951)="SERVIÇO",UPPER(C951)="SERVICO"),0,N(H951)*N(G951))</f>
        <v/>
      </c>
      <c r="M951" s="107">
        <f>IF(OR(UPPER(C951)="SERVIÇO",UPPER(C951)="SERVICO"),0,L951-K951)</f>
        <v/>
      </c>
    </row>
    <row r="952" ht="15" customHeight="1">
      <c r="B952" s="105" t="n">
        <v>941</v>
      </c>
      <c r="C952" s="105" t="inlineStr">
        <is>
          <t>Produto</t>
        </is>
      </c>
      <c r="D952" s="106" t="inlineStr">
        <is>
          <t>Luva de ciclismo modelo básico branco tam. G</t>
        </is>
      </c>
      <c r="E952" s="107" t="n">
        <v>68.81</v>
      </c>
      <c r="F952" s="108" t="n">
        <v>50</v>
      </c>
      <c r="G952" s="107">
        <f>ROUND(E952*(1+IF(ABS(F952)&lt;=1,F952,F952/100)),2)</f>
        <v/>
      </c>
      <c r="H952" s="105" t="n">
        <v>15</v>
      </c>
      <c r="I952" s="105" t="n">
        <v>5</v>
      </c>
      <c r="J952" s="105">
        <f>IF(OR(UPPER(C952)="SERVIÇO",UPPER(C952)="SERVICO"),"SERVIÇO",IF(H952&lt;=0,"ZERADO",IF(H952&lt;=I952,"ESTOQUE BAIXO","NORMAL")))</f>
        <v/>
      </c>
      <c r="K952" s="107">
        <f>IF(OR(UPPER(C952)="SERVIÇO",UPPER(C952)="SERVICO"),0,N(H952)*N(E952))</f>
        <v/>
      </c>
      <c r="L952" s="107">
        <f>IF(OR(UPPER(C952)="SERVIÇO",UPPER(C952)="SERVICO"),0,N(H952)*N(G952))</f>
        <v/>
      </c>
      <c r="M952" s="107">
        <f>IF(OR(UPPER(C952)="SERVIÇO",UPPER(C952)="SERVICO"),0,L952-K952)</f>
        <v/>
      </c>
    </row>
    <row r="953" ht="15" customHeight="1">
      <c r="B953" s="105" t="n">
        <v>942</v>
      </c>
      <c r="C953" s="105" t="inlineStr">
        <is>
          <t>Produto</t>
        </is>
      </c>
      <c r="D953" s="106" t="inlineStr">
        <is>
          <t>Calça legging modelo avançado branco tam. 38</t>
        </is>
      </c>
      <c r="E953" s="107" t="n">
        <v>71.89</v>
      </c>
      <c r="F953" s="108" t="n">
        <v>50</v>
      </c>
      <c r="G953" s="107">
        <f>ROUND(E953*(1+IF(ABS(F953)&lt;=1,F953,F953/100)),2)</f>
        <v/>
      </c>
      <c r="H953" s="105" t="n">
        <v>15</v>
      </c>
      <c r="I953" s="105" t="n">
        <v>5</v>
      </c>
      <c r="J953" s="105">
        <f>IF(OR(UPPER(C953)="SERVIÇO",UPPER(C953)="SERVICO"),"SERVIÇO",IF(H953&lt;=0,"ZERADO",IF(H953&lt;=I953,"ESTOQUE BAIXO","NORMAL")))</f>
        <v/>
      </c>
      <c r="K953" s="107">
        <f>IF(OR(UPPER(C953)="SERVIÇO",UPPER(C953)="SERVICO"),0,N(H953)*N(E953))</f>
        <v/>
      </c>
      <c r="L953" s="107">
        <f>IF(OR(UPPER(C953)="SERVIÇO",UPPER(C953)="SERVICO"),0,N(H953)*N(G953))</f>
        <v/>
      </c>
      <c r="M953" s="107">
        <f>IF(OR(UPPER(C953)="SERVIÇO",UPPER(C953)="SERVICO"),0,L953-K953)</f>
        <v/>
      </c>
    </row>
    <row r="954" ht="15" customHeight="1">
      <c r="B954" s="105" t="n">
        <v>943</v>
      </c>
      <c r="C954" s="105" t="inlineStr">
        <is>
          <t>Produto</t>
        </is>
      </c>
      <c r="D954" s="106" t="inlineStr">
        <is>
          <t>Regata esportiva recreativo verde tam. M</t>
        </is>
      </c>
      <c r="E954" s="107" t="n">
        <v>60.35</v>
      </c>
      <c r="F954" s="108" t="n">
        <v>50</v>
      </c>
      <c r="G954" s="107">
        <f>ROUND(E954*(1+IF(ABS(F954)&lt;=1,F954,F954/100)),2)</f>
        <v/>
      </c>
      <c r="H954" s="105" t="n">
        <v>15</v>
      </c>
      <c r="I954" s="105" t="n">
        <v>5</v>
      </c>
      <c r="J954" s="105">
        <f>IF(OR(UPPER(C954)="SERVIÇO",UPPER(C954)="SERVICO"),"SERVIÇO",IF(H954&lt;=0,"ZERADO",IF(H954&lt;=I954,"ESTOQUE BAIXO","NORMAL")))</f>
        <v/>
      </c>
      <c r="K954" s="107">
        <f>IF(OR(UPPER(C954)="SERVIÇO",UPPER(C954)="SERVICO"),0,N(H954)*N(E954))</f>
        <v/>
      </c>
      <c r="L954" s="107">
        <f>IF(OR(UPPER(C954)="SERVIÇO",UPPER(C954)="SERVICO"),0,N(H954)*N(G954))</f>
        <v/>
      </c>
      <c r="M954" s="107">
        <f>IF(OR(UPPER(C954)="SERVIÇO",UPPER(C954)="SERVICO"),0,L954-K954)</f>
        <v/>
      </c>
    </row>
    <row r="955" ht="15" customHeight="1">
      <c r="B955" s="105" t="n">
        <v>944</v>
      </c>
      <c r="C955" s="105" t="inlineStr">
        <is>
          <t>Produto</t>
        </is>
      </c>
      <c r="D955" s="106" t="inlineStr">
        <is>
          <t>Meias esportivas alta performance laranja tam. GG</t>
        </is>
      </c>
      <c r="E955" s="107" t="n">
        <v>11.19</v>
      </c>
      <c r="F955" s="108" t="n">
        <v>50</v>
      </c>
      <c r="G955" s="107">
        <f>ROUND(E955*(1+IF(ABS(F955)&lt;=1,F955,F955/100)),2)</f>
        <v/>
      </c>
      <c r="H955" s="105" t="n">
        <v>15</v>
      </c>
      <c r="I955" s="105" t="n">
        <v>5</v>
      </c>
      <c r="J955" s="105">
        <f>IF(OR(UPPER(C955)="SERVIÇO",UPPER(C955)="SERVICO"),"SERVIÇO",IF(H955&lt;=0,"ZERADO",IF(H955&lt;=I955,"ESTOQUE BAIXO","NORMAL")))</f>
        <v/>
      </c>
      <c r="K955" s="107">
        <f>IF(OR(UPPER(C955)="SERVIÇO",UPPER(C955)="SERVICO"),0,N(H955)*N(E955))</f>
        <v/>
      </c>
      <c r="L955" s="107">
        <f>IF(OR(UPPER(C955)="SERVIÇO",UPPER(C955)="SERVICO"),0,N(H955)*N(G955))</f>
        <v/>
      </c>
      <c r="M955" s="107">
        <f>IF(OR(UPPER(C955)="SERVIÇO",UPPER(C955)="SERVICO"),0,L955-K955)</f>
        <v/>
      </c>
    </row>
    <row r="956" ht="15" customHeight="1">
      <c r="B956" s="105" t="n">
        <v>945</v>
      </c>
      <c r="C956" s="105" t="inlineStr">
        <is>
          <t>Produto</t>
        </is>
      </c>
      <c r="D956" s="106" t="inlineStr">
        <is>
          <t>Bola de pilates ergonômico preto</t>
        </is>
      </c>
      <c r="E956" s="107" t="n">
        <v>40.9</v>
      </c>
      <c r="F956" s="108" t="n">
        <v>50</v>
      </c>
      <c r="G956" s="107">
        <f>ROUND(E956*(1+IF(ABS(F956)&lt;=1,F956,F956/100)),2)</f>
        <v/>
      </c>
      <c r="H956" s="105" t="n">
        <v>15</v>
      </c>
      <c r="I956" s="105" t="n">
        <v>5</v>
      </c>
      <c r="J956" s="105">
        <f>IF(OR(UPPER(C956)="SERVIÇO",UPPER(C956)="SERVICO"),"SERVIÇO",IF(H956&lt;=0,"ZERADO",IF(H956&lt;=I956,"ESTOQUE BAIXO","NORMAL")))</f>
        <v/>
      </c>
      <c r="K956" s="107">
        <f>IF(OR(UPPER(C956)="SERVIÇO",UPPER(C956)="SERVICO"),0,N(H956)*N(E956))</f>
        <v/>
      </c>
      <c r="L956" s="107">
        <f>IF(OR(UPPER(C956)="SERVIÇO",UPPER(C956)="SERVICO"),0,N(H956)*N(G956))</f>
        <v/>
      </c>
      <c r="M956" s="107">
        <f>IF(OR(UPPER(C956)="SERVIÇO",UPPER(C956)="SERVICO"),0,L956-K956)</f>
        <v/>
      </c>
    </row>
    <row r="957" ht="15" customHeight="1">
      <c r="B957" s="105" t="n">
        <v>946</v>
      </c>
      <c r="C957" s="105" t="inlineStr">
        <is>
          <t>Produto</t>
        </is>
      </c>
      <c r="D957" s="106" t="inlineStr">
        <is>
          <t>Óculos esportivos resistente branco</t>
        </is>
      </c>
      <c r="E957" s="107" t="n">
        <v>334.93</v>
      </c>
      <c r="F957" s="108" t="n">
        <v>50</v>
      </c>
      <c r="G957" s="107">
        <f>ROUND(E957*(1+IF(ABS(F957)&lt;=1,F957,F957/100)),2)</f>
        <v/>
      </c>
      <c r="H957" s="105" t="n">
        <v>15</v>
      </c>
      <c r="I957" s="105" t="n">
        <v>5</v>
      </c>
      <c r="J957" s="105">
        <f>IF(OR(UPPER(C957)="SERVIÇO",UPPER(C957)="SERVICO"),"SERVIÇO",IF(H957&lt;=0,"ZERADO",IF(H957&lt;=I957,"ESTOQUE BAIXO","NORMAL")))</f>
        <v/>
      </c>
      <c r="K957" s="107">
        <f>IF(OR(UPPER(C957)="SERVIÇO",UPPER(C957)="SERVICO"),0,N(H957)*N(E957))</f>
        <v/>
      </c>
      <c r="L957" s="107">
        <f>IF(OR(UPPER(C957)="SERVIÇO",UPPER(C957)="SERVICO"),0,N(H957)*N(G957))</f>
        <v/>
      </c>
      <c r="M957" s="107">
        <f>IF(OR(UPPER(C957)="SERVIÇO",UPPER(C957)="SERVICO"),0,L957-K957)</f>
        <v/>
      </c>
    </row>
    <row r="958" ht="15" customHeight="1">
      <c r="B958" s="105" t="n">
        <v>947</v>
      </c>
      <c r="C958" s="105" t="inlineStr">
        <is>
          <t>Produto</t>
        </is>
      </c>
      <c r="D958" s="106" t="inlineStr">
        <is>
          <t>Coqueteleira ventilado preto</t>
        </is>
      </c>
      <c r="E958" s="107" t="n">
        <v>28.67</v>
      </c>
      <c r="F958" s="108" t="n">
        <v>50</v>
      </c>
      <c r="G958" s="107">
        <f>ROUND(E958*(1+IF(ABS(F958)&lt;=1,F958,F958/100)),2)</f>
        <v/>
      </c>
      <c r="H958" s="105" t="n">
        <v>15</v>
      </c>
      <c r="I958" s="105" t="n">
        <v>5</v>
      </c>
      <c r="J958" s="105">
        <f>IF(OR(UPPER(C958)="SERVIÇO",UPPER(C958)="SERVICO"),"SERVIÇO",IF(H958&lt;=0,"ZERADO",IF(H958&lt;=I958,"ESTOQUE BAIXO","NORMAL")))</f>
        <v/>
      </c>
      <c r="K958" s="107">
        <f>IF(OR(UPPER(C958)="SERVIÇO",UPPER(C958)="SERVICO"),0,N(H958)*N(E958))</f>
        <v/>
      </c>
      <c r="L958" s="107">
        <f>IF(OR(UPPER(C958)="SERVIÇO",UPPER(C958)="SERVICO"),0,N(H958)*N(G958))</f>
        <v/>
      </c>
      <c r="M958" s="107">
        <f>IF(OR(UPPER(C958)="SERVIÇO",UPPER(C958)="SERVICO"),0,L958-K958)</f>
        <v/>
      </c>
    </row>
    <row r="959" ht="15" customHeight="1">
      <c r="B959" s="105" t="n">
        <v>948</v>
      </c>
      <c r="C959" s="105" t="inlineStr">
        <is>
          <t>Produto</t>
        </is>
      </c>
      <c r="D959" s="106" t="inlineStr">
        <is>
          <t>Skate juvenil verde</t>
        </is>
      </c>
      <c r="E959" s="107" t="n">
        <v>504.99</v>
      </c>
      <c r="F959" s="108" t="n">
        <v>50</v>
      </c>
      <c r="G959" s="107">
        <f>ROUND(E959*(1+IF(ABS(F959)&lt;=1,F959,F959/100)),2)</f>
        <v/>
      </c>
      <c r="H959" s="105" t="n">
        <v>15</v>
      </c>
      <c r="I959" s="105" t="n">
        <v>5</v>
      </c>
      <c r="J959" s="105">
        <f>IF(OR(UPPER(C959)="SERVIÇO",UPPER(C959)="SERVICO"),"SERVIÇO",IF(H959&lt;=0,"ZERADO",IF(H959&lt;=I959,"ESTOQUE BAIXO","NORMAL")))</f>
        <v/>
      </c>
      <c r="K959" s="107">
        <f>IF(OR(UPPER(C959)="SERVIÇO",UPPER(C959)="SERVICO"),0,N(H959)*N(E959))</f>
        <v/>
      </c>
      <c r="L959" s="107">
        <f>IF(OR(UPPER(C959)="SERVIÇO",UPPER(C959)="SERVICO"),0,N(H959)*N(G959))</f>
        <v/>
      </c>
      <c r="M959" s="107">
        <f>IF(OR(UPPER(C959)="SERVIÇO",UPPER(C959)="SERVICO"),0,L959-K959)</f>
        <v/>
      </c>
    </row>
    <row r="960" ht="15" customHeight="1">
      <c r="B960" s="105" t="n">
        <v>949</v>
      </c>
      <c r="C960" s="105" t="inlineStr">
        <is>
          <t>Produto</t>
        </is>
      </c>
      <c r="D960" s="106" t="inlineStr">
        <is>
          <t>Luva de ciclismo com ajuste branco tam. 34</t>
        </is>
      </c>
      <c r="E960" s="107" t="n">
        <v>54.76</v>
      </c>
      <c r="F960" s="108" t="n">
        <v>50</v>
      </c>
      <c r="G960" s="107">
        <f>ROUND(E960*(1+IF(ABS(F960)&lt;=1,F960,F960/100)),2)</f>
        <v/>
      </c>
      <c r="H960" s="105" t="n">
        <v>15</v>
      </c>
      <c r="I960" s="105" t="n">
        <v>5</v>
      </c>
      <c r="J960" s="105">
        <f>IF(OR(UPPER(C960)="SERVIÇO",UPPER(C960)="SERVICO"),"SERVIÇO",IF(H960&lt;=0,"ZERADO",IF(H960&lt;=I960,"ESTOQUE BAIXO","NORMAL")))</f>
        <v/>
      </c>
      <c r="K960" s="107">
        <f>IF(OR(UPPER(C960)="SERVIÇO",UPPER(C960)="SERVICO"),0,N(H960)*N(E960))</f>
        <v/>
      </c>
      <c r="L960" s="107">
        <f>IF(OR(UPPER(C960)="SERVIÇO",UPPER(C960)="SERVICO"),0,N(H960)*N(G960))</f>
        <v/>
      </c>
      <c r="M960" s="107">
        <f>IF(OR(UPPER(C960)="SERVIÇO",UPPER(C960)="SERVICO"),0,L960-K960)</f>
        <v/>
      </c>
    </row>
    <row r="961" ht="15" customHeight="1">
      <c r="B961" s="105" t="n">
        <v>950</v>
      </c>
      <c r="C961" s="105" t="inlineStr">
        <is>
          <t>Produto</t>
        </is>
      </c>
      <c r="D961" s="106" t="inlineStr">
        <is>
          <t>Luva de goleiro premium branco tam. P</t>
        </is>
      </c>
      <c r="E961" s="107" t="n">
        <v>112.88</v>
      </c>
      <c r="F961" s="108" t="n">
        <v>50</v>
      </c>
      <c r="G961" s="107">
        <f>ROUND(E961*(1+IF(ABS(F961)&lt;=1,F961,F961/100)),2)</f>
        <v/>
      </c>
      <c r="H961" s="105" t="n">
        <v>15</v>
      </c>
      <c r="I961" s="105" t="n">
        <v>5</v>
      </c>
      <c r="J961" s="105">
        <f>IF(OR(UPPER(C961)="SERVIÇO",UPPER(C961)="SERVICO"),"SERVIÇO",IF(H961&lt;=0,"ZERADO",IF(H961&lt;=I961,"ESTOQUE BAIXO","NORMAL")))</f>
        <v/>
      </c>
      <c r="K961" s="107">
        <f>IF(OR(UPPER(C961)="SERVIÇO",UPPER(C961)="SERVICO"),0,N(H961)*N(E961))</f>
        <v/>
      </c>
      <c r="L961" s="107">
        <f>IF(OR(UPPER(C961)="SERVIÇO",UPPER(C961)="SERVICO"),0,N(H961)*N(G961))</f>
        <v/>
      </c>
      <c r="M961" s="107">
        <f>IF(OR(UPPER(C961)="SERVIÇO",UPPER(C961)="SERVICO"),0,L961-K961)</f>
        <v/>
      </c>
    </row>
    <row r="962" ht="15" customHeight="1">
      <c r="B962" s="105" t="n">
        <v>951</v>
      </c>
      <c r="C962" s="105" t="inlineStr">
        <is>
          <t>Produto</t>
        </is>
      </c>
      <c r="D962" s="106" t="inlineStr">
        <is>
          <t>Colchonete de exercício reforçado vermelho</t>
        </is>
      </c>
      <c r="E962" s="107" t="n">
        <v>117.96</v>
      </c>
      <c r="F962" s="108" t="n">
        <v>50</v>
      </c>
      <c r="G962" s="107">
        <f>ROUND(E962*(1+IF(ABS(F962)&lt;=1,F962,F962/100)),2)</f>
        <v/>
      </c>
      <c r="H962" s="105" t="n">
        <v>15</v>
      </c>
      <c r="I962" s="105" t="n">
        <v>5</v>
      </c>
      <c r="J962" s="105">
        <f>IF(OR(UPPER(C962)="SERVIÇO",UPPER(C962)="SERVICO"),"SERVIÇO",IF(H962&lt;=0,"ZERADO",IF(H962&lt;=I962,"ESTOQUE BAIXO","NORMAL")))</f>
        <v/>
      </c>
      <c r="K962" s="107">
        <f>IF(OR(UPPER(C962)="SERVIÇO",UPPER(C962)="SERVICO"),0,N(H962)*N(E962))</f>
        <v/>
      </c>
      <c r="L962" s="107">
        <f>IF(OR(UPPER(C962)="SERVIÇO",UPPER(C962)="SERVICO"),0,N(H962)*N(G962))</f>
        <v/>
      </c>
      <c r="M962" s="107">
        <f>IF(OR(UPPER(C962)="SERVIÇO",UPPER(C962)="SERVICO"),0,L962-K962)</f>
        <v/>
      </c>
    </row>
    <row r="963" ht="15" customHeight="1">
      <c r="B963" s="105" t="n">
        <v>952</v>
      </c>
      <c r="C963" s="105" t="inlineStr">
        <is>
          <t>Produto</t>
        </is>
      </c>
      <c r="D963" s="106" t="inlineStr">
        <is>
          <t>Garrafa squeeze modelo básico rosa</t>
        </is>
      </c>
      <c r="E963" s="107" t="n">
        <v>48.45</v>
      </c>
      <c r="F963" s="108" t="n">
        <v>50</v>
      </c>
      <c r="G963" s="107">
        <f>ROUND(E963*(1+IF(ABS(F963)&lt;=1,F963,F963/100)),2)</f>
        <v/>
      </c>
      <c r="H963" s="105" t="n">
        <v>15</v>
      </c>
      <c r="I963" s="105" t="n">
        <v>5</v>
      </c>
      <c r="J963" s="105">
        <f>IF(OR(UPPER(C963)="SERVIÇO",UPPER(C963)="SERVICO"),"SERVIÇO",IF(H963&lt;=0,"ZERADO",IF(H963&lt;=I963,"ESTOQUE BAIXO","NORMAL")))</f>
        <v/>
      </c>
      <c r="K963" s="107">
        <f>IF(OR(UPPER(C963)="SERVIÇO",UPPER(C963)="SERVICO"),0,N(H963)*N(E963))</f>
        <v/>
      </c>
      <c r="L963" s="107">
        <f>IF(OR(UPPER(C963)="SERVIÇO",UPPER(C963)="SERVICO"),0,N(H963)*N(G963))</f>
        <v/>
      </c>
      <c r="M963" s="107">
        <f>IF(OR(UPPER(C963)="SERVIÇO",UPPER(C963)="SERVICO"),0,L963-K963)</f>
        <v/>
      </c>
    </row>
    <row r="964" ht="15" customHeight="1">
      <c r="B964" s="105" t="n">
        <v>953</v>
      </c>
      <c r="C964" s="105" t="inlineStr">
        <is>
          <t>Produto</t>
        </is>
      </c>
      <c r="D964" s="106" t="inlineStr">
        <is>
          <t>Bicicleta urbana para uso diário cinza</t>
        </is>
      </c>
      <c r="E964" s="107" t="n">
        <v>2205.1</v>
      </c>
      <c r="F964" s="108" t="n">
        <v>50</v>
      </c>
      <c r="G964" s="107">
        <f>ROUND(E964*(1+IF(ABS(F964)&lt;=1,F964,F964/100)),2)</f>
        <v/>
      </c>
      <c r="H964" s="105" t="n">
        <v>15</v>
      </c>
      <c r="I964" s="105" t="n">
        <v>5</v>
      </c>
      <c r="J964" s="105">
        <f>IF(OR(UPPER(C964)="SERVIÇO",UPPER(C964)="SERVICO"),"SERVIÇO",IF(H964&lt;=0,"ZERADO",IF(H964&lt;=I964,"ESTOQUE BAIXO","NORMAL")))</f>
        <v/>
      </c>
      <c r="K964" s="107">
        <f>IF(OR(UPPER(C964)="SERVIÇO",UPPER(C964)="SERVICO"),0,N(H964)*N(E964))</f>
        <v/>
      </c>
      <c r="L964" s="107">
        <f>IF(OR(UPPER(C964)="SERVIÇO",UPPER(C964)="SERVICO"),0,N(H964)*N(G964))</f>
        <v/>
      </c>
      <c r="M964" s="107">
        <f>IF(OR(UPPER(C964)="SERVIÇO",UPPER(C964)="SERVICO"),0,L964-K964)</f>
        <v/>
      </c>
    </row>
    <row r="965" ht="15" customHeight="1">
      <c r="B965" s="105" t="n">
        <v>954</v>
      </c>
      <c r="C965" s="105" t="inlineStr">
        <is>
          <t>Produto</t>
        </is>
      </c>
      <c r="D965" s="106" t="inlineStr">
        <is>
          <t>Chuteira society modelo básico laranja tam. 44</t>
        </is>
      </c>
      <c r="E965" s="107" t="n">
        <v>265.73</v>
      </c>
      <c r="F965" s="108" t="n">
        <v>50</v>
      </c>
      <c r="G965" s="107">
        <f>ROUND(E965*(1+IF(ABS(F965)&lt;=1,F965,F965/100)),2)</f>
        <v/>
      </c>
      <c r="H965" s="105" t="n">
        <v>15</v>
      </c>
      <c r="I965" s="105" t="n">
        <v>5</v>
      </c>
      <c r="J965" s="105">
        <f>IF(OR(UPPER(C965)="SERVIÇO",UPPER(C965)="SERVICO"),"SERVIÇO",IF(H965&lt;=0,"ZERADO",IF(H965&lt;=I965,"ESTOQUE BAIXO","NORMAL")))</f>
        <v/>
      </c>
      <c r="K965" s="107">
        <f>IF(OR(UPPER(C965)="SERVIÇO",UPPER(C965)="SERVICO"),0,N(H965)*N(E965))</f>
        <v/>
      </c>
      <c r="L965" s="107">
        <f>IF(OR(UPPER(C965)="SERVIÇO",UPPER(C965)="SERVICO"),0,N(H965)*N(G965))</f>
        <v/>
      </c>
      <c r="M965" s="107">
        <f>IF(OR(UPPER(C965)="SERVIÇO",UPPER(C965)="SERVICO"),0,L965-K965)</f>
        <v/>
      </c>
    </row>
    <row r="966" ht="15" customHeight="1">
      <c r="B966" s="105" t="n">
        <v>955</v>
      </c>
      <c r="C966" s="105" t="inlineStr">
        <is>
          <t>Produto</t>
        </is>
      </c>
      <c r="D966" s="106" t="inlineStr">
        <is>
          <t>Raquete de beach tennis leve branco</t>
        </is>
      </c>
      <c r="E966" s="107" t="n">
        <v>238.15</v>
      </c>
      <c r="F966" s="108" t="n">
        <v>50</v>
      </c>
      <c r="G966" s="107">
        <f>ROUND(E966*(1+IF(ABS(F966)&lt;=1,F966,F966/100)),2)</f>
        <v/>
      </c>
      <c r="H966" s="105" t="n">
        <v>15</v>
      </c>
      <c r="I966" s="105" t="n">
        <v>5</v>
      </c>
      <c r="J966" s="105">
        <f>IF(OR(UPPER(C966)="SERVIÇO",UPPER(C966)="SERVICO"),"SERVIÇO",IF(H966&lt;=0,"ZERADO",IF(H966&lt;=I966,"ESTOQUE BAIXO","NORMAL")))</f>
        <v/>
      </c>
      <c r="K966" s="107">
        <f>IF(OR(UPPER(C966)="SERVIÇO",UPPER(C966)="SERVICO"),0,N(H966)*N(E966))</f>
        <v/>
      </c>
      <c r="L966" s="107">
        <f>IF(OR(UPPER(C966)="SERVIÇO",UPPER(C966)="SERVICO"),0,N(H966)*N(G966))</f>
        <v/>
      </c>
      <c r="M966" s="107">
        <f>IF(OR(UPPER(C966)="SERVIÇO",UPPER(C966)="SERVICO"),0,L966-K966)</f>
        <v/>
      </c>
    </row>
    <row r="967" ht="15" customHeight="1">
      <c r="B967" s="105" t="n">
        <v>956</v>
      </c>
      <c r="C967" s="105" t="inlineStr">
        <is>
          <t>Produto</t>
        </is>
      </c>
      <c r="D967" s="106" t="inlineStr">
        <is>
          <t>Halter premium laranja</t>
        </is>
      </c>
      <c r="E967" s="107" t="n">
        <v>49.37</v>
      </c>
      <c r="F967" s="108" t="n">
        <v>50</v>
      </c>
      <c r="G967" s="107">
        <f>ROUND(E967*(1+IF(ABS(F967)&lt;=1,F967,F967/100)),2)</f>
        <v/>
      </c>
      <c r="H967" s="105" t="n">
        <v>15</v>
      </c>
      <c r="I967" s="105" t="n">
        <v>5</v>
      </c>
      <c r="J967" s="105">
        <f>IF(OR(UPPER(C967)="SERVIÇO",UPPER(C967)="SERVICO"),"SERVIÇO",IF(H967&lt;=0,"ZERADO",IF(H967&lt;=I967,"ESTOQUE BAIXO","NORMAL")))</f>
        <v/>
      </c>
      <c r="K967" s="107">
        <f>IF(OR(UPPER(C967)="SERVIÇO",UPPER(C967)="SERVICO"),0,N(H967)*N(E967))</f>
        <v/>
      </c>
      <c r="L967" s="107">
        <f>IF(OR(UPPER(C967)="SERVIÇO",UPPER(C967)="SERVICO"),0,N(H967)*N(G967))</f>
        <v/>
      </c>
      <c r="M967" s="107">
        <f>IF(OR(UPPER(C967)="SERVIÇO",UPPER(C967)="SERVICO"),0,L967-K967)</f>
        <v/>
      </c>
    </row>
    <row r="968" ht="15" customHeight="1">
      <c r="B968" s="105" t="n">
        <v>957</v>
      </c>
      <c r="C968" s="105" t="inlineStr">
        <is>
          <t>Produto</t>
        </is>
      </c>
      <c r="D968" s="106" t="inlineStr">
        <is>
          <t>Bicicleta urbana unissex rosa</t>
        </is>
      </c>
      <c r="E968" s="107" t="n">
        <v>2019.98</v>
      </c>
      <c r="F968" s="108" t="n">
        <v>50</v>
      </c>
      <c r="G968" s="107">
        <f>ROUND(E968*(1+IF(ABS(F968)&lt;=1,F968,F968/100)),2)</f>
        <v/>
      </c>
      <c r="H968" s="105" t="n">
        <v>15</v>
      </c>
      <c r="I968" s="105" t="n">
        <v>5</v>
      </c>
      <c r="J968" s="105">
        <f>IF(OR(UPPER(C968)="SERVIÇO",UPPER(C968)="SERVICO"),"SERVIÇO",IF(H968&lt;=0,"ZERADO",IF(H968&lt;=I968,"ESTOQUE BAIXO","NORMAL")))</f>
        <v/>
      </c>
      <c r="K968" s="107">
        <f>IF(OR(UPPER(C968)="SERVIÇO",UPPER(C968)="SERVICO"),0,N(H968)*N(E968))</f>
        <v/>
      </c>
      <c r="L968" s="107">
        <f>IF(OR(UPPER(C968)="SERVIÇO",UPPER(C968)="SERVICO"),0,N(H968)*N(G968))</f>
        <v/>
      </c>
      <c r="M968" s="107">
        <f>IF(OR(UPPER(C968)="SERVIÇO",UPPER(C968)="SERVICO"),0,L968-K968)</f>
        <v/>
      </c>
    </row>
    <row r="969" ht="15" customHeight="1">
      <c r="B969" s="105" t="n">
        <v>958</v>
      </c>
      <c r="C969" s="105" t="inlineStr">
        <is>
          <t>Produto</t>
        </is>
      </c>
      <c r="D969" s="106" t="inlineStr">
        <is>
          <t>Regata esportiva recreativo verde tam. 34</t>
        </is>
      </c>
      <c r="E969" s="107" t="n">
        <v>74.19</v>
      </c>
      <c r="F969" s="108" t="n">
        <v>50</v>
      </c>
      <c r="G969" s="107">
        <f>ROUND(E969*(1+IF(ABS(F969)&lt;=1,F969,F969/100)),2)</f>
        <v/>
      </c>
      <c r="H969" s="105" t="n">
        <v>15</v>
      </c>
      <c r="I969" s="105" t="n">
        <v>5</v>
      </c>
      <c r="J969" s="105">
        <f>IF(OR(UPPER(C969)="SERVIÇO",UPPER(C969)="SERVICO"),"SERVIÇO",IF(H969&lt;=0,"ZERADO",IF(H969&lt;=I969,"ESTOQUE BAIXO","NORMAL")))</f>
        <v/>
      </c>
      <c r="K969" s="107">
        <f>IF(OR(UPPER(C969)="SERVIÇO",UPPER(C969)="SERVICO"),0,N(H969)*N(E969))</f>
        <v/>
      </c>
      <c r="L969" s="107">
        <f>IF(OR(UPPER(C969)="SERVIÇO",UPPER(C969)="SERVICO"),0,N(H969)*N(G969))</f>
        <v/>
      </c>
      <c r="M969" s="107">
        <f>IF(OR(UPPER(C969)="SERVIÇO",UPPER(C969)="SERVICO"),0,L969-K969)</f>
        <v/>
      </c>
    </row>
    <row r="970" ht="15" customHeight="1">
      <c r="B970" s="105" t="n">
        <v>959</v>
      </c>
      <c r="C970" s="105" t="inlineStr">
        <is>
          <t>Produto</t>
        </is>
      </c>
      <c r="D970" s="106" t="inlineStr">
        <is>
          <t>Skate reforçado vermelho</t>
        </is>
      </c>
      <c r="E970" s="107" t="n">
        <v>292.43</v>
      </c>
      <c r="F970" s="108" t="n">
        <v>50</v>
      </c>
      <c r="G970" s="107">
        <f>ROUND(E970*(1+IF(ABS(F970)&lt;=1,F970,F970/100)),2)</f>
        <v/>
      </c>
      <c r="H970" s="105" t="n">
        <v>15</v>
      </c>
      <c r="I970" s="105" t="n">
        <v>5</v>
      </c>
      <c r="J970" s="105">
        <f>IF(OR(UPPER(C970)="SERVIÇO",UPPER(C970)="SERVICO"),"SERVIÇO",IF(H970&lt;=0,"ZERADO",IF(H970&lt;=I970,"ESTOQUE BAIXO","NORMAL")))</f>
        <v/>
      </c>
      <c r="K970" s="107">
        <f>IF(OR(UPPER(C970)="SERVIÇO",UPPER(C970)="SERVICO"),0,N(H970)*N(E970))</f>
        <v/>
      </c>
      <c r="L970" s="107">
        <f>IF(OR(UPPER(C970)="SERVIÇO",UPPER(C970)="SERVICO"),0,N(H970)*N(G970))</f>
        <v/>
      </c>
      <c r="M970" s="107">
        <f>IF(OR(UPPER(C970)="SERVIÇO",UPPER(C970)="SERVICO"),0,L970-K970)</f>
        <v/>
      </c>
    </row>
    <row r="971" ht="15" customHeight="1">
      <c r="B971" s="105" t="n">
        <v>960</v>
      </c>
      <c r="C971" s="105" t="inlineStr">
        <is>
          <t>Produto</t>
        </is>
      </c>
      <c r="D971" s="106" t="inlineStr">
        <is>
          <t>Tênis de corrida ergonômico preto tam. P</t>
        </is>
      </c>
      <c r="E971" s="107" t="n">
        <v>483.11</v>
      </c>
      <c r="F971" s="108" t="n">
        <v>50</v>
      </c>
      <c r="G971" s="107">
        <f>ROUND(E971*(1+IF(ABS(F971)&lt;=1,F971,F971/100)),2)</f>
        <v/>
      </c>
      <c r="H971" s="105" t="n">
        <v>15</v>
      </c>
      <c r="I971" s="105" t="n">
        <v>5</v>
      </c>
      <c r="J971" s="105">
        <f>IF(OR(UPPER(C971)="SERVIÇO",UPPER(C971)="SERVICO"),"SERVIÇO",IF(H971&lt;=0,"ZERADO",IF(H971&lt;=I971,"ESTOQUE BAIXO","NORMAL")))</f>
        <v/>
      </c>
      <c r="K971" s="107">
        <f>IF(OR(UPPER(C971)="SERVIÇO",UPPER(C971)="SERVICO"),0,N(H971)*N(E971))</f>
        <v/>
      </c>
      <c r="L971" s="107">
        <f>IF(OR(UPPER(C971)="SERVIÇO",UPPER(C971)="SERVICO"),0,N(H971)*N(G971))</f>
        <v/>
      </c>
      <c r="M971" s="107">
        <f>IF(OR(UPPER(C971)="SERVIÇO",UPPER(C971)="SERVICO"),0,L971-K971)</f>
        <v/>
      </c>
    </row>
    <row r="972" ht="15" customHeight="1">
      <c r="B972" s="105" t="n">
        <v>961</v>
      </c>
      <c r="C972" s="105" t="inlineStr">
        <is>
          <t>Produto</t>
        </is>
      </c>
      <c r="D972" s="106" t="inlineStr">
        <is>
          <t>Monitor cardíaco treino cinza</t>
        </is>
      </c>
      <c r="E972" s="107" t="n">
        <v>391.42</v>
      </c>
      <c r="F972" s="108" t="n">
        <v>50</v>
      </c>
      <c r="G972" s="107">
        <f>ROUND(E972*(1+IF(ABS(F972)&lt;=1,F972,F972/100)),2)</f>
        <v/>
      </c>
      <c r="H972" s="105" t="n">
        <v>15</v>
      </c>
      <c r="I972" s="105" t="n">
        <v>5</v>
      </c>
      <c r="J972" s="105">
        <f>IF(OR(UPPER(C972)="SERVIÇO",UPPER(C972)="SERVICO"),"SERVIÇO",IF(H972&lt;=0,"ZERADO",IF(H972&lt;=I972,"ESTOQUE BAIXO","NORMAL")))</f>
        <v/>
      </c>
      <c r="K972" s="107">
        <f>IF(OR(UPPER(C972)="SERVIÇO",UPPER(C972)="SERVICO"),0,N(H972)*N(E972))</f>
        <v/>
      </c>
      <c r="L972" s="107">
        <f>IF(OR(UPPER(C972)="SERVIÇO",UPPER(C972)="SERVICO"),0,N(H972)*N(G972))</f>
        <v/>
      </c>
      <c r="M972" s="107">
        <f>IF(OR(UPPER(C972)="SERVIÇO",UPPER(C972)="SERVICO"),0,L972-K972)</f>
        <v/>
      </c>
    </row>
    <row r="973" ht="15" customHeight="1">
      <c r="B973" s="105" t="n">
        <v>962</v>
      </c>
      <c r="C973" s="105" t="inlineStr">
        <is>
          <t>Produto</t>
        </is>
      </c>
      <c r="D973" s="106" t="inlineStr">
        <is>
          <t>Raquete de badminton iniciante verde</t>
        </is>
      </c>
      <c r="E973" s="107" t="n">
        <v>81.89</v>
      </c>
      <c r="F973" s="108" t="n">
        <v>50</v>
      </c>
      <c r="G973" s="107">
        <f>ROUND(E973*(1+IF(ABS(F973)&lt;=1,F973,F973/100)),2)</f>
        <v/>
      </c>
      <c r="H973" s="105" t="n">
        <v>15</v>
      </c>
      <c r="I973" s="105" t="n">
        <v>5</v>
      </c>
      <c r="J973" s="105">
        <f>IF(OR(UPPER(C973)="SERVIÇO",UPPER(C973)="SERVICO"),"SERVIÇO",IF(H973&lt;=0,"ZERADO",IF(H973&lt;=I973,"ESTOQUE BAIXO","NORMAL")))</f>
        <v/>
      </c>
      <c r="K973" s="107">
        <f>IF(OR(UPPER(C973)="SERVIÇO",UPPER(C973)="SERVICO"),0,N(H973)*N(E973))</f>
        <v/>
      </c>
      <c r="L973" s="107">
        <f>IF(OR(UPPER(C973)="SERVIÇO",UPPER(C973)="SERVICO"),0,N(H973)*N(G973))</f>
        <v/>
      </c>
      <c r="M973" s="107">
        <f>IF(OR(UPPER(C973)="SERVIÇO",UPPER(C973)="SERVICO"),0,L973-K973)</f>
        <v/>
      </c>
    </row>
    <row r="974" ht="15" customHeight="1">
      <c r="B974" s="105" t="n">
        <v>963</v>
      </c>
      <c r="C974" s="105" t="inlineStr">
        <is>
          <t>Produto</t>
        </is>
      </c>
      <c r="D974" s="106" t="inlineStr">
        <is>
          <t>Garrafa squeeze recreativo vermelho</t>
        </is>
      </c>
      <c r="E974" s="107" t="n">
        <v>35.8</v>
      </c>
      <c r="F974" s="108" t="n">
        <v>50</v>
      </c>
      <c r="G974" s="107">
        <f>ROUND(E974*(1+IF(ABS(F974)&lt;=1,F974,F974/100)),2)</f>
        <v/>
      </c>
      <c r="H974" s="105" t="n">
        <v>15</v>
      </c>
      <c r="I974" s="105" t="n">
        <v>5</v>
      </c>
      <c r="J974" s="105">
        <f>IF(OR(UPPER(C974)="SERVIÇO",UPPER(C974)="SERVICO"),"SERVIÇO",IF(H974&lt;=0,"ZERADO",IF(H974&lt;=I974,"ESTOQUE BAIXO","NORMAL")))</f>
        <v/>
      </c>
      <c r="K974" s="107">
        <f>IF(OR(UPPER(C974)="SERVIÇO",UPPER(C974)="SERVICO"),0,N(H974)*N(E974))</f>
        <v/>
      </c>
      <c r="L974" s="107">
        <f>IF(OR(UPPER(C974)="SERVIÇO",UPPER(C974)="SERVICO"),0,N(H974)*N(G974))</f>
        <v/>
      </c>
      <c r="M974" s="107">
        <f>IF(OR(UPPER(C974)="SERVIÇO",UPPER(C974)="SERVICO"),0,L974-K974)</f>
        <v/>
      </c>
    </row>
    <row r="975" ht="15" customHeight="1">
      <c r="B975" s="105" t="n">
        <v>964</v>
      </c>
      <c r="C975" s="105" t="inlineStr">
        <is>
          <t>Produto</t>
        </is>
      </c>
      <c r="D975" s="106" t="inlineStr">
        <is>
          <t>Camiseta esportiva juvenil branco tam. 36</t>
        </is>
      </c>
      <c r="E975" s="107" t="n">
        <v>106.09</v>
      </c>
      <c r="F975" s="108" t="n">
        <v>50</v>
      </c>
      <c r="G975" s="107">
        <f>ROUND(E975*(1+IF(ABS(F975)&lt;=1,F975,F975/100)),2)</f>
        <v/>
      </c>
      <c r="H975" s="105" t="n">
        <v>15</v>
      </c>
      <c r="I975" s="105" t="n">
        <v>5</v>
      </c>
      <c r="J975" s="105">
        <f>IF(OR(UPPER(C975)="SERVIÇO",UPPER(C975)="SERVICO"),"SERVIÇO",IF(H975&lt;=0,"ZERADO",IF(H975&lt;=I975,"ESTOQUE BAIXO","NORMAL")))</f>
        <v/>
      </c>
      <c r="K975" s="107">
        <f>IF(OR(UPPER(C975)="SERVIÇO",UPPER(C975)="SERVICO"),0,N(H975)*N(E975))</f>
        <v/>
      </c>
      <c r="L975" s="107">
        <f>IF(OR(UPPER(C975)="SERVIÇO",UPPER(C975)="SERVICO"),0,N(H975)*N(G975))</f>
        <v/>
      </c>
      <c r="M975" s="107">
        <f>IF(OR(UPPER(C975)="SERVIÇO",UPPER(C975)="SERVICO"),0,L975-K975)</f>
        <v/>
      </c>
    </row>
    <row r="976" ht="15" customHeight="1">
      <c r="B976" s="105" t="n">
        <v>965</v>
      </c>
      <c r="C976" s="105" t="inlineStr">
        <is>
          <t>Produto</t>
        </is>
      </c>
      <c r="D976" s="106" t="inlineStr">
        <is>
          <t>Capacete de ciclismo premium rosa</t>
        </is>
      </c>
      <c r="E976" s="107" t="n">
        <v>90.09999999999999</v>
      </c>
      <c r="F976" s="108" t="n">
        <v>50</v>
      </c>
      <c r="G976" s="107">
        <f>ROUND(E976*(1+IF(ABS(F976)&lt;=1,F976,F976/100)),2)</f>
        <v/>
      </c>
      <c r="H976" s="105" t="n">
        <v>15</v>
      </c>
      <c r="I976" s="105" t="n">
        <v>5</v>
      </c>
      <c r="J976" s="105">
        <f>IF(OR(UPPER(C976)="SERVIÇO",UPPER(C976)="SERVICO"),"SERVIÇO",IF(H976&lt;=0,"ZERADO",IF(H976&lt;=I976,"ESTOQUE BAIXO","NORMAL")))</f>
        <v/>
      </c>
      <c r="K976" s="107">
        <f>IF(OR(UPPER(C976)="SERVIÇO",UPPER(C976)="SERVICO"),0,N(H976)*N(E976))</f>
        <v/>
      </c>
      <c r="L976" s="107">
        <f>IF(OR(UPPER(C976)="SERVIÇO",UPPER(C976)="SERVICO"),0,N(H976)*N(G976))</f>
        <v/>
      </c>
      <c r="M976" s="107">
        <f>IF(OR(UPPER(C976)="SERVIÇO",UPPER(C976)="SERVICO"),0,L976-K976)</f>
        <v/>
      </c>
    </row>
    <row r="977" ht="15" customHeight="1">
      <c r="B977" s="105" t="n">
        <v>966</v>
      </c>
      <c r="C977" s="105" t="inlineStr">
        <is>
          <t>Produto</t>
        </is>
      </c>
      <c r="D977" s="106" t="inlineStr">
        <is>
          <t>Skate leve rosa</t>
        </is>
      </c>
      <c r="E977" s="107" t="n">
        <v>411.77</v>
      </c>
      <c r="F977" s="108" t="n">
        <v>50</v>
      </c>
      <c r="G977" s="107">
        <f>ROUND(E977*(1+IF(ABS(F977)&lt;=1,F977,F977/100)),2)</f>
        <v/>
      </c>
      <c r="H977" s="105" t="n">
        <v>15</v>
      </c>
      <c r="I977" s="105" t="n">
        <v>5</v>
      </c>
      <c r="J977" s="105">
        <f>IF(OR(UPPER(C977)="SERVIÇO",UPPER(C977)="SERVICO"),"SERVIÇO",IF(H977&lt;=0,"ZERADO",IF(H977&lt;=I977,"ESTOQUE BAIXO","NORMAL")))</f>
        <v/>
      </c>
      <c r="K977" s="107">
        <f>IF(OR(UPPER(C977)="SERVIÇO",UPPER(C977)="SERVICO"),0,N(H977)*N(E977))</f>
        <v/>
      </c>
      <c r="L977" s="107">
        <f>IF(OR(UPPER(C977)="SERVIÇO",UPPER(C977)="SERVICO"),0,N(H977)*N(G977))</f>
        <v/>
      </c>
      <c r="M977" s="107">
        <f>IF(OR(UPPER(C977)="SERVIÇO",UPPER(C977)="SERVICO"),0,L977-K977)</f>
        <v/>
      </c>
    </row>
    <row r="978" ht="15" customHeight="1">
      <c r="B978" s="105" t="n">
        <v>967</v>
      </c>
      <c r="C978" s="105" t="inlineStr">
        <is>
          <t>Produto</t>
        </is>
      </c>
      <c r="D978" s="106" t="inlineStr">
        <is>
          <t>Touca de natação alta performance cinza tam. 36</t>
        </is>
      </c>
      <c r="E978" s="107" t="n">
        <v>33.5</v>
      </c>
      <c r="F978" s="108" t="n">
        <v>50</v>
      </c>
      <c r="G978" s="107">
        <f>ROUND(E978*(1+IF(ABS(F978)&lt;=1,F978,F978/100)),2)</f>
        <v/>
      </c>
      <c r="H978" s="105" t="n">
        <v>15</v>
      </c>
      <c r="I978" s="105" t="n">
        <v>5</v>
      </c>
      <c r="J978" s="105">
        <f>IF(OR(UPPER(C978)="SERVIÇO",UPPER(C978)="SERVICO"),"SERVIÇO",IF(H978&lt;=0,"ZERADO",IF(H978&lt;=I978,"ESTOQUE BAIXO","NORMAL")))</f>
        <v/>
      </c>
      <c r="K978" s="107">
        <f>IF(OR(UPPER(C978)="SERVIÇO",UPPER(C978)="SERVICO"),0,N(H978)*N(E978))</f>
        <v/>
      </c>
      <c r="L978" s="107">
        <f>IF(OR(UPPER(C978)="SERVIÇO",UPPER(C978)="SERVICO"),0,N(H978)*N(G978))</f>
        <v/>
      </c>
      <c r="M978" s="107">
        <f>IF(OR(UPPER(C978)="SERVIÇO",UPPER(C978)="SERVICO"),0,L978-K978)</f>
        <v/>
      </c>
    </row>
    <row r="979" ht="15" customHeight="1">
      <c r="B979" s="105" t="n">
        <v>968</v>
      </c>
      <c r="C979" s="105" t="inlineStr">
        <is>
          <t>Produto</t>
        </is>
      </c>
      <c r="D979" s="106" t="inlineStr">
        <is>
          <t>Jaqueta esportiva com ajuste cinza tam. 36</t>
        </is>
      </c>
      <c r="E979" s="107" t="n">
        <v>155.34</v>
      </c>
      <c r="F979" s="108" t="n">
        <v>50</v>
      </c>
      <c r="G979" s="107">
        <f>ROUND(E979*(1+IF(ABS(F979)&lt;=1,F979,F979/100)),2)</f>
        <v/>
      </c>
      <c r="H979" s="105" t="n">
        <v>15</v>
      </c>
      <c r="I979" s="105" t="n">
        <v>5</v>
      </c>
      <c r="J979" s="105">
        <f>IF(OR(UPPER(C979)="SERVIÇO",UPPER(C979)="SERVICO"),"SERVIÇO",IF(H979&lt;=0,"ZERADO",IF(H979&lt;=I979,"ESTOQUE BAIXO","NORMAL")))</f>
        <v/>
      </c>
      <c r="K979" s="107">
        <f>IF(OR(UPPER(C979)="SERVIÇO",UPPER(C979)="SERVICO"),0,N(H979)*N(E979))</f>
        <v/>
      </c>
      <c r="L979" s="107">
        <f>IF(OR(UPPER(C979)="SERVIÇO",UPPER(C979)="SERVICO"),0,N(H979)*N(G979))</f>
        <v/>
      </c>
      <c r="M979" s="107">
        <f>IF(OR(UPPER(C979)="SERVIÇO",UPPER(C979)="SERVICO"),0,L979-K979)</f>
        <v/>
      </c>
    </row>
    <row r="980" ht="15" customHeight="1">
      <c r="B980" s="105" t="n">
        <v>969</v>
      </c>
      <c r="C980" s="105" t="inlineStr">
        <is>
          <t>Produto</t>
        </is>
      </c>
      <c r="D980" s="106" t="inlineStr">
        <is>
          <t>Chuteira society adulto preto tam. 42</t>
        </is>
      </c>
      <c r="E980" s="107" t="n">
        <v>353.48</v>
      </c>
      <c r="F980" s="108" t="n">
        <v>50</v>
      </c>
      <c r="G980" s="107">
        <f>ROUND(E980*(1+IF(ABS(F980)&lt;=1,F980,F980/100)),2)</f>
        <v/>
      </c>
      <c r="H980" s="105" t="n">
        <v>15</v>
      </c>
      <c r="I980" s="105" t="n">
        <v>5</v>
      </c>
      <c r="J980" s="105">
        <f>IF(OR(UPPER(C980)="SERVIÇO",UPPER(C980)="SERVICO"),"SERVIÇO",IF(H980&lt;=0,"ZERADO",IF(H980&lt;=I980,"ESTOQUE BAIXO","NORMAL")))</f>
        <v/>
      </c>
      <c r="K980" s="107">
        <f>IF(OR(UPPER(C980)="SERVIÇO",UPPER(C980)="SERVICO"),0,N(H980)*N(E980))</f>
        <v/>
      </c>
      <c r="L980" s="107">
        <f>IF(OR(UPPER(C980)="SERVIÇO",UPPER(C980)="SERVICO"),0,N(H980)*N(G980))</f>
        <v/>
      </c>
      <c r="M980" s="107">
        <f>IF(OR(UPPER(C980)="SERVIÇO",UPPER(C980)="SERVICO"),0,L980-K980)</f>
        <v/>
      </c>
    </row>
    <row r="981" ht="15" customHeight="1">
      <c r="B981" s="105" t="n">
        <v>970</v>
      </c>
      <c r="C981" s="105" t="inlineStr">
        <is>
          <t>Produto</t>
        </is>
      </c>
      <c r="D981" s="106" t="inlineStr">
        <is>
          <t>Chuteira de campo iniciante rosa tam. 42</t>
        </is>
      </c>
      <c r="E981" s="107" t="n">
        <v>75.83</v>
      </c>
      <c r="F981" s="108" t="n">
        <v>50</v>
      </c>
      <c r="G981" s="107">
        <f>ROUND(E981*(1+IF(ABS(F981)&lt;=1,F981,F981/100)),2)</f>
        <v/>
      </c>
      <c r="H981" s="105" t="n">
        <v>15</v>
      </c>
      <c r="I981" s="105" t="n">
        <v>5</v>
      </c>
      <c r="J981" s="105">
        <f>IF(OR(UPPER(C981)="SERVIÇO",UPPER(C981)="SERVICO"),"SERVIÇO",IF(H981&lt;=0,"ZERADO",IF(H981&lt;=I981,"ESTOQUE BAIXO","NORMAL")))</f>
        <v/>
      </c>
      <c r="K981" s="107">
        <f>IF(OR(UPPER(C981)="SERVIÇO",UPPER(C981)="SERVICO"),0,N(H981)*N(E981))</f>
        <v/>
      </c>
      <c r="L981" s="107">
        <f>IF(OR(UPPER(C981)="SERVIÇO",UPPER(C981)="SERVICO"),0,N(H981)*N(G981))</f>
        <v/>
      </c>
      <c r="M981" s="107">
        <f>IF(OR(UPPER(C981)="SERVIÇO",UPPER(C981)="SERVICO"),0,L981-K981)</f>
        <v/>
      </c>
    </row>
    <row r="982" ht="15" customHeight="1">
      <c r="B982" s="105" t="n">
        <v>971</v>
      </c>
      <c r="C982" s="105" t="inlineStr">
        <is>
          <t>Produto</t>
        </is>
      </c>
      <c r="D982" s="106" t="inlineStr">
        <is>
          <t>Óculos esportivos iniciante preto</t>
        </is>
      </c>
      <c r="E982" s="107" t="n">
        <v>327.22</v>
      </c>
      <c r="F982" s="108" t="n">
        <v>50</v>
      </c>
      <c r="G982" s="107">
        <f>ROUND(E982*(1+IF(ABS(F982)&lt;=1,F982,F982/100)),2)</f>
        <v/>
      </c>
      <c r="H982" s="105" t="n">
        <v>15</v>
      </c>
      <c r="I982" s="105" t="n">
        <v>5</v>
      </c>
      <c r="J982" s="105">
        <f>IF(OR(UPPER(C982)="SERVIÇO",UPPER(C982)="SERVICO"),"SERVIÇO",IF(H982&lt;=0,"ZERADO",IF(H982&lt;=I982,"ESTOQUE BAIXO","NORMAL")))</f>
        <v/>
      </c>
      <c r="K982" s="107">
        <f>IF(OR(UPPER(C982)="SERVIÇO",UPPER(C982)="SERVICO"),0,N(H982)*N(E982))</f>
        <v/>
      </c>
      <c r="L982" s="107">
        <f>IF(OR(UPPER(C982)="SERVIÇO",UPPER(C982)="SERVICO"),0,N(H982)*N(G982))</f>
        <v/>
      </c>
      <c r="M982" s="107">
        <f>IF(OR(UPPER(C982)="SERVIÇO",UPPER(C982)="SERVICO"),0,L982-K982)</f>
        <v/>
      </c>
    </row>
    <row r="983" ht="15" customHeight="1">
      <c r="B983" s="105" t="n">
        <v>972</v>
      </c>
      <c r="C983" s="105" t="inlineStr">
        <is>
          <t>Produto</t>
        </is>
      </c>
      <c r="D983" s="106" t="inlineStr">
        <is>
          <t>Garrafa squeeze compacto preto</t>
        </is>
      </c>
      <c r="E983" s="107" t="n">
        <v>36.9</v>
      </c>
      <c r="F983" s="108" t="n">
        <v>50</v>
      </c>
      <c r="G983" s="107">
        <f>ROUND(E983*(1+IF(ABS(F983)&lt;=1,F983,F983/100)),2)</f>
        <v/>
      </c>
      <c r="H983" s="105" t="n">
        <v>15</v>
      </c>
      <c r="I983" s="105" t="n">
        <v>5</v>
      </c>
      <c r="J983" s="105">
        <f>IF(OR(UPPER(C983)="SERVIÇO",UPPER(C983)="SERVICO"),"SERVIÇO",IF(H983&lt;=0,"ZERADO",IF(H983&lt;=I983,"ESTOQUE BAIXO","NORMAL")))</f>
        <v/>
      </c>
      <c r="K983" s="107">
        <f>IF(OR(UPPER(C983)="SERVIÇO",UPPER(C983)="SERVICO"),0,N(H983)*N(E983))</f>
        <v/>
      </c>
      <c r="L983" s="107">
        <f>IF(OR(UPPER(C983)="SERVIÇO",UPPER(C983)="SERVICO"),0,N(H983)*N(G983))</f>
        <v/>
      </c>
      <c r="M983" s="107">
        <f>IF(OR(UPPER(C983)="SERVIÇO",UPPER(C983)="SERVICO"),0,L983-K983)</f>
        <v/>
      </c>
    </row>
    <row r="984" ht="15" customHeight="1">
      <c r="B984" s="105" t="n">
        <v>973</v>
      </c>
      <c r="C984" s="105" t="inlineStr">
        <is>
          <t>Produto</t>
        </is>
      </c>
      <c r="D984" s="106" t="inlineStr">
        <is>
          <t>Short esportivo ventilado laranja tam. 38</t>
        </is>
      </c>
      <c r="E984" s="107" t="n">
        <v>40.43</v>
      </c>
      <c r="F984" s="108" t="n">
        <v>50</v>
      </c>
      <c r="G984" s="107">
        <f>ROUND(E984*(1+IF(ABS(F984)&lt;=1,F984,F984/100)),2)</f>
        <v/>
      </c>
      <c r="H984" s="105" t="n">
        <v>15</v>
      </c>
      <c r="I984" s="105" t="n">
        <v>5</v>
      </c>
      <c r="J984" s="105">
        <f>IF(OR(UPPER(C984)="SERVIÇO",UPPER(C984)="SERVICO"),"SERVIÇO",IF(H984&lt;=0,"ZERADO",IF(H984&lt;=I984,"ESTOQUE BAIXO","NORMAL")))</f>
        <v/>
      </c>
      <c r="K984" s="107">
        <f>IF(OR(UPPER(C984)="SERVIÇO",UPPER(C984)="SERVICO"),0,N(H984)*N(E984))</f>
        <v/>
      </c>
      <c r="L984" s="107">
        <f>IF(OR(UPPER(C984)="SERVIÇO",UPPER(C984)="SERVICO"),0,N(H984)*N(G984))</f>
        <v/>
      </c>
      <c r="M984" s="107">
        <f>IF(OR(UPPER(C984)="SERVIÇO",UPPER(C984)="SERVICO"),0,L984-K984)</f>
        <v/>
      </c>
    </row>
    <row r="985" ht="15" customHeight="1">
      <c r="B985" s="105" t="n">
        <v>974</v>
      </c>
      <c r="C985" s="105" t="inlineStr">
        <is>
          <t>Produto</t>
        </is>
      </c>
      <c r="D985" s="106" t="inlineStr">
        <is>
          <t>Patins para uso diário verde</t>
        </is>
      </c>
      <c r="E985" s="107" t="n">
        <v>293.51</v>
      </c>
      <c r="F985" s="108" t="n">
        <v>50</v>
      </c>
      <c r="G985" s="107">
        <f>ROUND(E985*(1+IF(ABS(F985)&lt;=1,F985,F985/100)),2)</f>
        <v/>
      </c>
      <c r="H985" s="105" t="n">
        <v>15</v>
      </c>
      <c r="I985" s="105" t="n">
        <v>5</v>
      </c>
      <c r="J985" s="105">
        <f>IF(OR(UPPER(C985)="SERVIÇO",UPPER(C985)="SERVICO"),"SERVIÇO",IF(H985&lt;=0,"ZERADO",IF(H985&lt;=I985,"ESTOQUE BAIXO","NORMAL")))</f>
        <v/>
      </c>
      <c r="K985" s="107">
        <f>IF(OR(UPPER(C985)="SERVIÇO",UPPER(C985)="SERVICO"),0,N(H985)*N(E985))</f>
        <v/>
      </c>
      <c r="L985" s="107">
        <f>IF(OR(UPPER(C985)="SERVIÇO",UPPER(C985)="SERVICO"),0,N(H985)*N(G985))</f>
        <v/>
      </c>
      <c r="M985" s="107">
        <f>IF(OR(UPPER(C985)="SERVIÇO",UPPER(C985)="SERVICO"),0,L985-K985)</f>
        <v/>
      </c>
    </row>
    <row r="986" ht="15" customHeight="1">
      <c r="B986" s="105" t="n">
        <v>975</v>
      </c>
      <c r="C986" s="105" t="inlineStr">
        <is>
          <t>Produto</t>
        </is>
      </c>
      <c r="D986" s="106" t="inlineStr">
        <is>
          <t>Bicicleta ergométrica resistente cinza</t>
        </is>
      </c>
      <c r="E986" s="107" t="n">
        <v>1111.49</v>
      </c>
      <c r="F986" s="108" t="n">
        <v>50</v>
      </c>
      <c r="G986" s="107">
        <f>ROUND(E986*(1+IF(ABS(F986)&lt;=1,F986,F986/100)),2)</f>
        <v/>
      </c>
      <c r="H986" s="105" t="n">
        <v>15</v>
      </c>
      <c r="I986" s="105" t="n">
        <v>5</v>
      </c>
      <c r="J986" s="105">
        <f>IF(OR(UPPER(C986)="SERVIÇO",UPPER(C986)="SERVICO"),"SERVIÇO",IF(H986&lt;=0,"ZERADO",IF(H986&lt;=I986,"ESTOQUE BAIXO","NORMAL")))</f>
        <v/>
      </c>
      <c r="K986" s="107">
        <f>IF(OR(UPPER(C986)="SERVIÇO",UPPER(C986)="SERVICO"),0,N(H986)*N(E986))</f>
        <v/>
      </c>
      <c r="L986" s="107">
        <f>IF(OR(UPPER(C986)="SERVIÇO",UPPER(C986)="SERVICO"),0,N(H986)*N(G986))</f>
        <v/>
      </c>
      <c r="M986" s="107">
        <f>IF(OR(UPPER(C986)="SERVIÇO",UPPER(C986)="SERVICO"),0,L986-K986)</f>
        <v/>
      </c>
    </row>
    <row r="987" ht="15" customHeight="1">
      <c r="B987" s="105" t="n">
        <v>976</v>
      </c>
      <c r="C987" s="105" t="inlineStr">
        <is>
          <t>Produto</t>
        </is>
      </c>
      <c r="D987" s="106" t="inlineStr">
        <is>
          <t>Bola de pilates premium laranja</t>
        </is>
      </c>
      <c r="E987" s="107" t="n">
        <v>41.99</v>
      </c>
      <c r="F987" s="108" t="n">
        <v>50</v>
      </c>
      <c r="G987" s="107">
        <f>ROUND(E987*(1+IF(ABS(F987)&lt;=1,F987,F987/100)),2)</f>
        <v/>
      </c>
      <c r="H987" s="105" t="n">
        <v>15</v>
      </c>
      <c r="I987" s="105" t="n">
        <v>5</v>
      </c>
      <c r="J987" s="105">
        <f>IF(OR(UPPER(C987)="SERVIÇO",UPPER(C987)="SERVICO"),"SERVIÇO",IF(H987&lt;=0,"ZERADO",IF(H987&lt;=I987,"ESTOQUE BAIXO","NORMAL")))</f>
        <v/>
      </c>
      <c r="K987" s="107">
        <f>IF(OR(UPPER(C987)="SERVIÇO",UPPER(C987)="SERVICO"),0,N(H987)*N(E987))</f>
        <v/>
      </c>
      <c r="L987" s="107">
        <f>IF(OR(UPPER(C987)="SERVIÇO",UPPER(C987)="SERVICO"),0,N(H987)*N(G987))</f>
        <v/>
      </c>
      <c r="M987" s="107">
        <f>IF(OR(UPPER(C987)="SERVIÇO",UPPER(C987)="SERVICO"),0,L987-K987)</f>
        <v/>
      </c>
    </row>
    <row r="988" ht="15" customHeight="1">
      <c r="B988" s="105" t="n">
        <v>977</v>
      </c>
      <c r="C988" s="105" t="inlineStr">
        <is>
          <t>Produto</t>
        </is>
      </c>
      <c r="D988" s="106" t="inlineStr">
        <is>
          <t>Raquete de beach tennis recreativo cinza</t>
        </is>
      </c>
      <c r="E988" s="107" t="n">
        <v>155.41</v>
      </c>
      <c r="F988" s="108" t="n">
        <v>50</v>
      </c>
      <c r="G988" s="107">
        <f>ROUND(E988*(1+IF(ABS(F988)&lt;=1,F988,F988/100)),2)</f>
        <v/>
      </c>
      <c r="H988" s="105" t="n">
        <v>15</v>
      </c>
      <c r="I988" s="105" t="n">
        <v>5</v>
      </c>
      <c r="J988" s="105">
        <f>IF(OR(UPPER(C988)="SERVIÇO",UPPER(C988)="SERVICO"),"SERVIÇO",IF(H988&lt;=0,"ZERADO",IF(H988&lt;=I988,"ESTOQUE BAIXO","NORMAL")))</f>
        <v/>
      </c>
      <c r="K988" s="107">
        <f>IF(OR(UPPER(C988)="SERVIÇO",UPPER(C988)="SERVICO"),0,N(H988)*N(E988))</f>
        <v/>
      </c>
      <c r="L988" s="107">
        <f>IF(OR(UPPER(C988)="SERVIÇO",UPPER(C988)="SERVICO"),0,N(H988)*N(G988))</f>
        <v/>
      </c>
      <c r="M988" s="107">
        <f>IF(OR(UPPER(C988)="SERVIÇO",UPPER(C988)="SERVICO"),0,L988-K988)</f>
        <v/>
      </c>
    </row>
    <row r="989" ht="15" customHeight="1">
      <c r="B989" s="105" t="n">
        <v>978</v>
      </c>
      <c r="C989" s="105" t="inlineStr">
        <is>
          <t>Produto</t>
        </is>
      </c>
      <c r="D989" s="106" t="inlineStr">
        <is>
          <t>Capacete de ciclismo com ajuste cinza</t>
        </is>
      </c>
      <c r="E989" s="107" t="n">
        <v>266.49</v>
      </c>
      <c r="F989" s="108" t="n">
        <v>50</v>
      </c>
      <c r="G989" s="107">
        <f>ROUND(E989*(1+IF(ABS(F989)&lt;=1,F989,F989/100)),2)</f>
        <v/>
      </c>
      <c r="H989" s="105" t="n">
        <v>15</v>
      </c>
      <c r="I989" s="105" t="n">
        <v>5</v>
      </c>
      <c r="J989" s="105">
        <f>IF(OR(UPPER(C989)="SERVIÇO",UPPER(C989)="SERVICO"),"SERVIÇO",IF(H989&lt;=0,"ZERADO",IF(H989&lt;=I989,"ESTOQUE BAIXO","NORMAL")))</f>
        <v/>
      </c>
      <c r="K989" s="107">
        <f>IF(OR(UPPER(C989)="SERVIÇO",UPPER(C989)="SERVICO"),0,N(H989)*N(E989))</f>
        <v/>
      </c>
      <c r="L989" s="107">
        <f>IF(OR(UPPER(C989)="SERVIÇO",UPPER(C989)="SERVICO"),0,N(H989)*N(G989))</f>
        <v/>
      </c>
      <c r="M989" s="107">
        <f>IF(OR(UPPER(C989)="SERVIÇO",UPPER(C989)="SERVICO"),0,L989-K989)</f>
        <v/>
      </c>
    </row>
    <row r="990" ht="15" customHeight="1">
      <c r="B990" s="105" t="n">
        <v>979</v>
      </c>
      <c r="C990" s="105" t="inlineStr">
        <is>
          <t>Produto</t>
        </is>
      </c>
      <c r="D990" s="106" t="inlineStr">
        <is>
          <t>Óculos esportivos modelo básico preto</t>
        </is>
      </c>
      <c r="E990" s="107" t="n">
        <v>84.19</v>
      </c>
      <c r="F990" s="108" t="n">
        <v>50</v>
      </c>
      <c r="G990" s="107">
        <f>ROUND(E990*(1+IF(ABS(F990)&lt;=1,F990,F990/100)),2)</f>
        <v/>
      </c>
      <c r="H990" s="105" t="n">
        <v>15</v>
      </c>
      <c r="I990" s="105" t="n">
        <v>5</v>
      </c>
      <c r="J990" s="105">
        <f>IF(OR(UPPER(C990)="SERVIÇO",UPPER(C990)="SERVICO"),"SERVIÇO",IF(H990&lt;=0,"ZERADO",IF(H990&lt;=I990,"ESTOQUE BAIXO","NORMAL")))</f>
        <v/>
      </c>
      <c r="K990" s="107">
        <f>IF(OR(UPPER(C990)="SERVIÇO",UPPER(C990)="SERVICO"),0,N(H990)*N(E990))</f>
        <v/>
      </c>
      <c r="L990" s="107">
        <f>IF(OR(UPPER(C990)="SERVIÇO",UPPER(C990)="SERVICO"),0,N(H990)*N(G990))</f>
        <v/>
      </c>
      <c r="M990" s="107">
        <f>IF(OR(UPPER(C990)="SERVIÇO",UPPER(C990)="SERVICO"),0,L990-K990)</f>
        <v/>
      </c>
    </row>
    <row r="991" ht="15" customHeight="1">
      <c r="B991" s="105" t="n">
        <v>980</v>
      </c>
      <c r="C991" s="105" t="inlineStr">
        <is>
          <t>Produto</t>
        </is>
      </c>
      <c r="D991" s="106" t="inlineStr">
        <is>
          <t>Caneleira de futebol leve azul</t>
        </is>
      </c>
      <c r="E991" s="107" t="n">
        <v>33.94</v>
      </c>
      <c r="F991" s="108" t="n">
        <v>50</v>
      </c>
      <c r="G991" s="107">
        <f>ROUND(E991*(1+IF(ABS(F991)&lt;=1,F991,F991/100)),2)</f>
        <v/>
      </c>
      <c r="H991" s="105" t="n">
        <v>15</v>
      </c>
      <c r="I991" s="105" t="n">
        <v>5</v>
      </c>
      <c r="J991" s="105">
        <f>IF(OR(UPPER(C991)="SERVIÇO",UPPER(C991)="SERVICO"),"SERVIÇO",IF(H991&lt;=0,"ZERADO",IF(H991&lt;=I991,"ESTOQUE BAIXO","NORMAL")))</f>
        <v/>
      </c>
      <c r="K991" s="107">
        <f>IF(OR(UPPER(C991)="SERVIÇO",UPPER(C991)="SERVICO"),0,N(H991)*N(E991))</f>
        <v/>
      </c>
      <c r="L991" s="107">
        <f>IF(OR(UPPER(C991)="SERVIÇO",UPPER(C991)="SERVICO"),0,N(H991)*N(G991))</f>
        <v/>
      </c>
      <c r="M991" s="107">
        <f>IF(OR(UPPER(C991)="SERVIÇO",UPPER(C991)="SERVICO"),0,L991-K991)</f>
        <v/>
      </c>
    </row>
    <row r="992" ht="15" customHeight="1">
      <c r="B992" s="105" t="n">
        <v>981</v>
      </c>
      <c r="C992" s="105" t="inlineStr">
        <is>
          <t>Produto</t>
        </is>
      </c>
      <c r="D992" s="106" t="inlineStr">
        <is>
          <t>Chuteira de campo adulto verde tam. M</t>
        </is>
      </c>
      <c r="E992" s="107" t="n">
        <v>142.46</v>
      </c>
      <c r="F992" s="108" t="n">
        <v>50</v>
      </c>
      <c r="G992" s="107">
        <f>ROUND(E992*(1+IF(ABS(F992)&lt;=1,F992,F992/100)),2)</f>
        <v/>
      </c>
      <c r="H992" s="105" t="n">
        <v>15</v>
      </c>
      <c r="I992" s="105" t="n">
        <v>5</v>
      </c>
      <c r="J992" s="105">
        <f>IF(OR(UPPER(C992)="SERVIÇO",UPPER(C992)="SERVICO"),"SERVIÇO",IF(H992&lt;=0,"ZERADO",IF(H992&lt;=I992,"ESTOQUE BAIXO","NORMAL")))</f>
        <v/>
      </c>
      <c r="K992" s="107">
        <f>IF(OR(UPPER(C992)="SERVIÇO",UPPER(C992)="SERVICO"),0,N(H992)*N(E992))</f>
        <v/>
      </c>
      <c r="L992" s="107">
        <f>IF(OR(UPPER(C992)="SERVIÇO",UPPER(C992)="SERVICO"),0,N(H992)*N(G992))</f>
        <v/>
      </c>
      <c r="M992" s="107">
        <f>IF(OR(UPPER(C992)="SERVIÇO",UPPER(C992)="SERVICO"),0,L992-K992)</f>
        <v/>
      </c>
    </row>
    <row r="993" ht="15" customHeight="1">
      <c r="B993" s="105" t="n">
        <v>982</v>
      </c>
      <c r="C993" s="105" t="inlineStr">
        <is>
          <t>Produto</t>
        </is>
      </c>
      <c r="D993" s="106" t="inlineStr">
        <is>
          <t>Óculos esportivos modelo básico laranja</t>
        </is>
      </c>
      <c r="E993" s="107" t="n">
        <v>147.32</v>
      </c>
      <c r="F993" s="108" t="n">
        <v>50</v>
      </c>
      <c r="G993" s="107">
        <f>ROUND(E993*(1+IF(ABS(F993)&lt;=1,F993,F993/100)),2)</f>
        <v/>
      </c>
      <c r="H993" s="105" t="n">
        <v>15</v>
      </c>
      <c r="I993" s="105" t="n">
        <v>5</v>
      </c>
      <c r="J993" s="105">
        <f>IF(OR(UPPER(C993)="SERVIÇO",UPPER(C993)="SERVICO"),"SERVIÇO",IF(H993&lt;=0,"ZERADO",IF(H993&lt;=I993,"ESTOQUE BAIXO","NORMAL")))</f>
        <v/>
      </c>
      <c r="K993" s="107">
        <f>IF(OR(UPPER(C993)="SERVIÇO",UPPER(C993)="SERVICO"),0,N(H993)*N(E993))</f>
        <v/>
      </c>
      <c r="L993" s="107">
        <f>IF(OR(UPPER(C993)="SERVIÇO",UPPER(C993)="SERVICO"),0,N(H993)*N(G993))</f>
        <v/>
      </c>
      <c r="M993" s="107">
        <f>IF(OR(UPPER(C993)="SERVIÇO",UPPER(C993)="SERVICO"),0,L993-K993)</f>
        <v/>
      </c>
    </row>
    <row r="994" ht="15" customHeight="1">
      <c r="B994" s="105" t="n">
        <v>983</v>
      </c>
      <c r="C994" s="105" t="inlineStr">
        <is>
          <t>Produto</t>
        </is>
      </c>
      <c r="D994" s="106" t="inlineStr">
        <is>
          <t>Óculos esportivos com ajuste preto</t>
        </is>
      </c>
      <c r="E994" s="107" t="n">
        <v>154.72</v>
      </c>
      <c r="F994" s="108" t="n">
        <v>50</v>
      </c>
      <c r="G994" s="107">
        <f>ROUND(E994*(1+IF(ABS(F994)&lt;=1,F994,F994/100)),2)</f>
        <v/>
      </c>
      <c r="H994" s="105" t="n">
        <v>15</v>
      </c>
      <c r="I994" s="105" t="n">
        <v>5</v>
      </c>
      <c r="J994" s="105">
        <f>IF(OR(UPPER(C994)="SERVIÇO",UPPER(C994)="SERVICO"),"SERVIÇO",IF(H994&lt;=0,"ZERADO",IF(H994&lt;=I994,"ESTOQUE BAIXO","NORMAL")))</f>
        <v/>
      </c>
      <c r="K994" s="107">
        <f>IF(OR(UPPER(C994)="SERVIÇO",UPPER(C994)="SERVICO"),0,N(H994)*N(E994))</f>
        <v/>
      </c>
      <c r="L994" s="107">
        <f>IF(OR(UPPER(C994)="SERVIÇO",UPPER(C994)="SERVICO"),0,N(H994)*N(G994))</f>
        <v/>
      </c>
      <c r="M994" s="107">
        <f>IF(OR(UPPER(C994)="SERVIÇO",UPPER(C994)="SERVICO"),0,L994-K994)</f>
        <v/>
      </c>
    </row>
    <row r="995" ht="15" customHeight="1">
      <c r="B995" s="105" t="n">
        <v>984</v>
      </c>
      <c r="C995" s="105" t="inlineStr">
        <is>
          <t>Produto</t>
        </is>
      </c>
      <c r="D995" s="106" t="inlineStr">
        <is>
          <t>Step de ginástica juvenil cinza</t>
        </is>
      </c>
      <c r="E995" s="107" t="n">
        <v>246.1</v>
      </c>
      <c r="F995" s="108" t="n">
        <v>50</v>
      </c>
      <c r="G995" s="107">
        <f>ROUND(E995*(1+IF(ABS(F995)&lt;=1,F995,F995/100)),2)</f>
        <v/>
      </c>
      <c r="H995" s="105" t="n">
        <v>15</v>
      </c>
      <c r="I995" s="105" t="n">
        <v>5</v>
      </c>
      <c r="J995" s="105">
        <f>IF(OR(UPPER(C995)="SERVIÇO",UPPER(C995)="SERVICO"),"SERVIÇO",IF(H995&lt;=0,"ZERADO",IF(H995&lt;=I995,"ESTOQUE BAIXO","NORMAL")))</f>
        <v/>
      </c>
      <c r="K995" s="107">
        <f>IF(OR(UPPER(C995)="SERVIÇO",UPPER(C995)="SERVICO"),0,N(H995)*N(E995))</f>
        <v/>
      </c>
      <c r="L995" s="107">
        <f>IF(OR(UPPER(C995)="SERVIÇO",UPPER(C995)="SERVICO"),0,N(H995)*N(G995))</f>
        <v/>
      </c>
      <c r="M995" s="107">
        <f>IF(OR(UPPER(C995)="SERVIÇO",UPPER(C995)="SERVICO"),0,L995-K995)</f>
        <v/>
      </c>
    </row>
    <row r="996" ht="15" customHeight="1">
      <c r="B996" s="105" t="n">
        <v>985</v>
      </c>
      <c r="C996" s="105" t="inlineStr">
        <is>
          <t>Produto</t>
        </is>
      </c>
      <c r="D996" s="106" t="inlineStr">
        <is>
          <t>Raquete de beach tennis ergonômico vermelho</t>
        </is>
      </c>
      <c r="E996" s="107" t="n">
        <v>212.86</v>
      </c>
      <c r="F996" s="108" t="n">
        <v>50</v>
      </c>
      <c r="G996" s="107">
        <f>ROUND(E996*(1+IF(ABS(F996)&lt;=1,F996,F996/100)),2)</f>
        <v/>
      </c>
      <c r="H996" s="105" t="n">
        <v>15</v>
      </c>
      <c r="I996" s="105" t="n">
        <v>5</v>
      </c>
      <c r="J996" s="105">
        <f>IF(OR(UPPER(C996)="SERVIÇO",UPPER(C996)="SERVICO"),"SERVIÇO",IF(H996&lt;=0,"ZERADO",IF(H996&lt;=I996,"ESTOQUE BAIXO","NORMAL")))</f>
        <v/>
      </c>
      <c r="K996" s="107">
        <f>IF(OR(UPPER(C996)="SERVIÇO",UPPER(C996)="SERVICO"),0,N(H996)*N(E996))</f>
        <v/>
      </c>
      <c r="L996" s="107">
        <f>IF(OR(UPPER(C996)="SERVIÇO",UPPER(C996)="SERVICO"),0,N(H996)*N(G996))</f>
        <v/>
      </c>
      <c r="M996" s="107">
        <f>IF(OR(UPPER(C996)="SERVIÇO",UPPER(C996)="SERVICO"),0,L996-K996)</f>
        <v/>
      </c>
    </row>
    <row r="997" ht="15" customHeight="1">
      <c r="B997" s="105" t="n">
        <v>986</v>
      </c>
      <c r="C997" s="105" t="inlineStr">
        <is>
          <t>Produto</t>
        </is>
      </c>
      <c r="D997" s="106" t="inlineStr">
        <is>
          <t>Mochila esportiva adulto azul</t>
        </is>
      </c>
      <c r="E997" s="107" t="n">
        <v>234.76</v>
      </c>
      <c r="F997" s="108" t="n">
        <v>50</v>
      </c>
      <c r="G997" s="107">
        <f>ROUND(E997*(1+IF(ABS(F997)&lt;=1,F997,F997/100)),2)</f>
        <v/>
      </c>
      <c r="H997" s="105" t="n">
        <v>15</v>
      </c>
      <c r="I997" s="105" t="n">
        <v>5</v>
      </c>
      <c r="J997" s="105">
        <f>IF(OR(UPPER(C997)="SERVIÇO",UPPER(C997)="SERVICO"),"SERVIÇO",IF(H997&lt;=0,"ZERADO",IF(H997&lt;=I997,"ESTOQUE BAIXO","NORMAL")))</f>
        <v/>
      </c>
      <c r="K997" s="107">
        <f>IF(OR(UPPER(C997)="SERVIÇO",UPPER(C997)="SERVICO"),0,N(H997)*N(E997))</f>
        <v/>
      </c>
      <c r="L997" s="107">
        <f>IF(OR(UPPER(C997)="SERVIÇO",UPPER(C997)="SERVICO"),0,N(H997)*N(G997))</f>
        <v/>
      </c>
      <c r="M997" s="107">
        <f>IF(OR(UPPER(C997)="SERVIÇO",UPPER(C997)="SERVICO"),0,L997-K997)</f>
        <v/>
      </c>
    </row>
    <row r="998" ht="15" customHeight="1">
      <c r="B998" s="105" t="n">
        <v>987</v>
      </c>
      <c r="C998" s="105" t="inlineStr">
        <is>
          <t>Produto</t>
        </is>
      </c>
      <c r="D998" s="106" t="inlineStr">
        <is>
          <t>Patins para uso diário rosa</t>
        </is>
      </c>
      <c r="E998" s="107" t="n">
        <v>283.07</v>
      </c>
      <c r="F998" s="108" t="n">
        <v>50</v>
      </c>
      <c r="G998" s="107">
        <f>ROUND(E998*(1+IF(ABS(F998)&lt;=1,F998,F998/100)),2)</f>
        <v/>
      </c>
      <c r="H998" s="105" t="n">
        <v>15</v>
      </c>
      <c r="I998" s="105" t="n">
        <v>5</v>
      </c>
      <c r="J998" s="105">
        <f>IF(OR(UPPER(C998)="SERVIÇO",UPPER(C998)="SERVICO"),"SERVIÇO",IF(H998&lt;=0,"ZERADO",IF(H998&lt;=I998,"ESTOQUE BAIXO","NORMAL")))</f>
        <v/>
      </c>
      <c r="K998" s="107">
        <f>IF(OR(UPPER(C998)="SERVIÇO",UPPER(C998)="SERVICO"),0,N(H998)*N(E998))</f>
        <v/>
      </c>
      <c r="L998" s="107">
        <f>IF(OR(UPPER(C998)="SERVIÇO",UPPER(C998)="SERVICO"),0,N(H998)*N(G998))</f>
        <v/>
      </c>
      <c r="M998" s="107">
        <f>IF(OR(UPPER(C998)="SERVIÇO",UPPER(C998)="SERVICO"),0,L998-K998)</f>
        <v/>
      </c>
    </row>
    <row r="999" ht="15" customHeight="1">
      <c r="B999" s="105" t="n">
        <v>988</v>
      </c>
      <c r="C999" s="105" t="inlineStr">
        <is>
          <t>Produto</t>
        </is>
      </c>
      <c r="D999" s="106" t="inlineStr">
        <is>
          <t>Bola de vôlei com ajuste azul</t>
        </is>
      </c>
      <c r="E999" s="107" t="n">
        <v>67.72</v>
      </c>
      <c r="F999" s="108" t="n">
        <v>50</v>
      </c>
      <c r="G999" s="107">
        <f>ROUND(E999*(1+IF(ABS(F999)&lt;=1,F999,F999/100)),2)</f>
        <v/>
      </c>
      <c r="H999" s="105" t="n">
        <v>15</v>
      </c>
      <c r="I999" s="105" t="n">
        <v>5</v>
      </c>
      <c r="J999" s="105">
        <f>IF(OR(UPPER(C999)="SERVIÇO",UPPER(C999)="SERVICO"),"SERVIÇO",IF(H999&lt;=0,"ZERADO",IF(H999&lt;=I999,"ESTOQUE BAIXO","NORMAL")))</f>
        <v/>
      </c>
      <c r="K999" s="107">
        <f>IF(OR(UPPER(C999)="SERVIÇO",UPPER(C999)="SERVICO"),0,N(H999)*N(E999))</f>
        <v/>
      </c>
      <c r="L999" s="107">
        <f>IF(OR(UPPER(C999)="SERVIÇO",UPPER(C999)="SERVICO"),0,N(H999)*N(G999))</f>
        <v/>
      </c>
      <c r="M999" s="107">
        <f>IF(OR(UPPER(C999)="SERVIÇO",UPPER(C999)="SERVICO"),0,L999-K999)</f>
        <v/>
      </c>
    </row>
    <row r="1000" ht="15" customHeight="1">
      <c r="B1000" s="105" t="n">
        <v>989</v>
      </c>
      <c r="C1000" s="105" t="inlineStr">
        <is>
          <t>Produto</t>
        </is>
      </c>
      <c r="D1000" s="106" t="inlineStr">
        <is>
          <t>Calça legging para uso diário cinza tam. 36</t>
        </is>
      </c>
      <c r="E1000" s="107" t="n">
        <v>53.73</v>
      </c>
      <c r="F1000" s="108" t="n">
        <v>50</v>
      </c>
      <c r="G1000" s="107">
        <f>ROUND(E1000*(1+IF(ABS(F1000)&lt;=1,F1000,F1000/100)),2)</f>
        <v/>
      </c>
      <c r="H1000" s="105" t="n">
        <v>15</v>
      </c>
      <c r="I1000" s="105" t="n">
        <v>5</v>
      </c>
      <c r="J1000" s="105">
        <f>IF(OR(UPPER(C1000)="SERVIÇO",UPPER(C1000)="SERVICO"),"SERVIÇO",IF(H1000&lt;=0,"ZERADO",IF(H1000&lt;=I1000,"ESTOQUE BAIXO","NORMAL")))</f>
        <v/>
      </c>
      <c r="K1000" s="107">
        <f>IF(OR(UPPER(C1000)="SERVIÇO",UPPER(C1000)="SERVICO"),0,N(H1000)*N(E1000))</f>
        <v/>
      </c>
      <c r="L1000" s="107">
        <f>IF(OR(UPPER(C1000)="SERVIÇO",UPPER(C1000)="SERVICO"),0,N(H1000)*N(G1000))</f>
        <v/>
      </c>
      <c r="M1000" s="107">
        <f>IF(OR(UPPER(C1000)="SERVIÇO",UPPER(C1000)="SERVICO"),0,L1000-K1000)</f>
        <v/>
      </c>
    </row>
    <row r="1001" ht="15" customHeight="1">
      <c r="B1001" s="105" t="n">
        <v>990</v>
      </c>
      <c r="C1001" s="105" t="inlineStr">
        <is>
          <t>Produto</t>
        </is>
      </c>
      <c r="D1001" s="106" t="inlineStr">
        <is>
          <t>Bastão de caminhada ventilado azul</t>
        </is>
      </c>
      <c r="E1001" s="107" t="n">
        <v>67.94</v>
      </c>
      <c r="F1001" s="108" t="n">
        <v>50</v>
      </c>
      <c r="G1001" s="107">
        <f>ROUND(E1001*(1+IF(ABS(F1001)&lt;=1,F1001,F1001/100)),2)</f>
        <v/>
      </c>
      <c r="H1001" s="105" t="n">
        <v>15</v>
      </c>
      <c r="I1001" s="105" t="n">
        <v>5</v>
      </c>
      <c r="J1001" s="105">
        <f>IF(OR(UPPER(C1001)="SERVIÇO",UPPER(C1001)="SERVICO"),"SERVIÇO",IF(H1001&lt;=0,"ZERADO",IF(H1001&lt;=I1001,"ESTOQUE BAIXO","NORMAL")))</f>
        <v/>
      </c>
      <c r="K1001" s="107">
        <f>IF(OR(UPPER(C1001)="SERVIÇO",UPPER(C1001)="SERVICO"),0,N(H1001)*N(E1001))</f>
        <v/>
      </c>
      <c r="L1001" s="107">
        <f>IF(OR(UPPER(C1001)="SERVIÇO",UPPER(C1001)="SERVICO"),0,N(H1001)*N(G1001))</f>
        <v/>
      </c>
      <c r="M1001" s="107">
        <f>IF(OR(UPPER(C1001)="SERVIÇO",UPPER(C1001)="SERVICO"),0,L1001-K1001)</f>
        <v/>
      </c>
    </row>
    <row r="1002" ht="15" customHeight="1">
      <c r="B1002" s="105" t="n">
        <v>991</v>
      </c>
      <c r="C1002" s="105" t="inlineStr">
        <is>
          <t>Produto</t>
        </is>
      </c>
      <c r="D1002" s="106" t="inlineStr">
        <is>
          <t>Touca de natação reforçado branco tam. P</t>
        </is>
      </c>
      <c r="E1002" s="107" t="n">
        <v>52.99</v>
      </c>
      <c r="F1002" s="108" t="n">
        <v>50</v>
      </c>
      <c r="G1002" s="107">
        <f>ROUND(E1002*(1+IF(ABS(F1002)&lt;=1,F1002,F1002/100)),2)</f>
        <v/>
      </c>
      <c r="H1002" s="105" t="n">
        <v>15</v>
      </c>
      <c r="I1002" s="105" t="n">
        <v>5</v>
      </c>
      <c r="J1002" s="105">
        <f>IF(OR(UPPER(C1002)="SERVIÇO",UPPER(C1002)="SERVICO"),"SERVIÇO",IF(H1002&lt;=0,"ZERADO",IF(H1002&lt;=I1002,"ESTOQUE BAIXO","NORMAL")))</f>
        <v/>
      </c>
      <c r="K1002" s="107">
        <f>IF(OR(UPPER(C1002)="SERVIÇO",UPPER(C1002)="SERVICO"),0,N(H1002)*N(E1002))</f>
        <v/>
      </c>
      <c r="L1002" s="107">
        <f>IF(OR(UPPER(C1002)="SERVIÇO",UPPER(C1002)="SERVICO"),0,N(H1002)*N(G1002))</f>
        <v/>
      </c>
      <c r="M1002" s="107">
        <f>IF(OR(UPPER(C1002)="SERVIÇO",UPPER(C1002)="SERVICO"),0,L1002-K1002)</f>
        <v/>
      </c>
    </row>
    <row r="1003" ht="15" customHeight="1">
      <c r="B1003" s="105" t="n">
        <v>992</v>
      </c>
      <c r="C1003" s="105" t="inlineStr">
        <is>
          <t>Produto</t>
        </is>
      </c>
      <c r="D1003" s="106" t="inlineStr">
        <is>
          <t>Calça legging compacto laranja tam. 36</t>
        </is>
      </c>
      <c r="E1003" s="107" t="n">
        <v>32.2</v>
      </c>
      <c r="F1003" s="108" t="n">
        <v>50</v>
      </c>
      <c r="G1003" s="107">
        <f>ROUND(E1003*(1+IF(ABS(F1003)&lt;=1,F1003,F1003/100)),2)</f>
        <v/>
      </c>
      <c r="H1003" s="105" t="n">
        <v>15</v>
      </c>
      <c r="I1003" s="105" t="n">
        <v>5</v>
      </c>
      <c r="J1003" s="105">
        <f>IF(OR(UPPER(C1003)="SERVIÇO",UPPER(C1003)="SERVICO"),"SERVIÇO",IF(H1003&lt;=0,"ZERADO",IF(H1003&lt;=I1003,"ESTOQUE BAIXO","NORMAL")))</f>
        <v/>
      </c>
      <c r="K1003" s="107">
        <f>IF(OR(UPPER(C1003)="SERVIÇO",UPPER(C1003)="SERVICO"),0,N(H1003)*N(E1003))</f>
        <v/>
      </c>
      <c r="L1003" s="107">
        <f>IF(OR(UPPER(C1003)="SERVIÇO",UPPER(C1003)="SERVICO"),0,N(H1003)*N(G1003))</f>
        <v/>
      </c>
      <c r="M1003" s="107">
        <f>IF(OR(UPPER(C1003)="SERVIÇO",UPPER(C1003)="SERVICO"),0,L1003-K1003)</f>
        <v/>
      </c>
    </row>
    <row r="1004" ht="15" customHeight="1">
      <c r="B1004" s="105" t="n">
        <v>993</v>
      </c>
      <c r="C1004" s="105" t="inlineStr">
        <is>
          <t>Produto</t>
        </is>
      </c>
      <c r="D1004" s="106" t="inlineStr">
        <is>
          <t>Bolsa de academia treino laranja</t>
        </is>
      </c>
      <c r="E1004" s="107" t="n">
        <v>148.31</v>
      </c>
      <c r="F1004" s="108" t="n">
        <v>50</v>
      </c>
      <c r="G1004" s="107">
        <f>ROUND(E1004*(1+IF(ABS(F1004)&lt;=1,F1004,F1004/100)),2)</f>
        <v/>
      </c>
      <c r="H1004" s="105" t="n">
        <v>15</v>
      </c>
      <c r="I1004" s="105" t="n">
        <v>5</v>
      </c>
      <c r="J1004" s="105">
        <f>IF(OR(UPPER(C1004)="SERVIÇO",UPPER(C1004)="SERVICO"),"SERVIÇO",IF(H1004&lt;=0,"ZERADO",IF(H1004&lt;=I1004,"ESTOQUE BAIXO","NORMAL")))</f>
        <v/>
      </c>
      <c r="K1004" s="107">
        <f>IF(OR(UPPER(C1004)="SERVIÇO",UPPER(C1004)="SERVICO"),0,N(H1004)*N(E1004))</f>
        <v/>
      </c>
      <c r="L1004" s="107">
        <f>IF(OR(UPPER(C1004)="SERVIÇO",UPPER(C1004)="SERVICO"),0,N(H1004)*N(G1004))</f>
        <v/>
      </c>
      <c r="M1004" s="107">
        <f>IF(OR(UPPER(C1004)="SERVIÇO",UPPER(C1004)="SERVICO"),0,L1004-K1004)</f>
        <v/>
      </c>
    </row>
    <row r="1005" ht="15" customHeight="1">
      <c r="B1005" s="105" t="n">
        <v>994</v>
      </c>
      <c r="C1005" s="105" t="inlineStr">
        <is>
          <t>Produto</t>
        </is>
      </c>
      <c r="D1005" s="106" t="inlineStr">
        <is>
          <t>Bola de futebol unissex rosa</t>
        </is>
      </c>
      <c r="E1005" s="107" t="n">
        <v>133.2</v>
      </c>
      <c r="F1005" s="108" t="n">
        <v>50</v>
      </c>
      <c r="G1005" s="107">
        <f>ROUND(E1005*(1+IF(ABS(F1005)&lt;=1,F1005,F1005/100)),2)</f>
        <v/>
      </c>
      <c r="H1005" s="105" t="n">
        <v>15</v>
      </c>
      <c r="I1005" s="105" t="n">
        <v>5</v>
      </c>
      <c r="J1005" s="105">
        <f>IF(OR(UPPER(C1005)="SERVIÇO",UPPER(C1005)="SERVICO"),"SERVIÇO",IF(H1005&lt;=0,"ZERADO",IF(H1005&lt;=I1005,"ESTOQUE BAIXO","NORMAL")))</f>
        <v/>
      </c>
      <c r="K1005" s="107">
        <f>IF(OR(UPPER(C1005)="SERVIÇO",UPPER(C1005)="SERVICO"),0,N(H1005)*N(E1005))</f>
        <v/>
      </c>
      <c r="L1005" s="107">
        <f>IF(OR(UPPER(C1005)="SERVIÇO",UPPER(C1005)="SERVICO"),0,N(H1005)*N(G1005))</f>
        <v/>
      </c>
      <c r="M1005" s="107">
        <f>IF(OR(UPPER(C1005)="SERVIÇO",UPPER(C1005)="SERVICO"),0,L1005-K1005)</f>
        <v/>
      </c>
    </row>
    <row r="1006" ht="15" customHeight="1">
      <c r="B1006" s="105" t="n">
        <v>995</v>
      </c>
      <c r="C1006" s="105" t="inlineStr">
        <is>
          <t>Produto</t>
        </is>
      </c>
      <c r="D1006" s="106" t="inlineStr">
        <is>
          <t>Chuteira society profissional verde tam. G</t>
        </is>
      </c>
      <c r="E1006" s="107" t="n">
        <v>239.91</v>
      </c>
      <c r="F1006" s="108" t="n">
        <v>50</v>
      </c>
      <c r="G1006" s="107">
        <f>ROUND(E1006*(1+IF(ABS(F1006)&lt;=1,F1006,F1006/100)),2)</f>
        <v/>
      </c>
      <c r="H1006" s="105" t="n">
        <v>15</v>
      </c>
      <c r="I1006" s="105" t="n">
        <v>5</v>
      </c>
      <c r="J1006" s="105">
        <f>IF(OR(UPPER(C1006)="SERVIÇO",UPPER(C1006)="SERVICO"),"SERVIÇO",IF(H1006&lt;=0,"ZERADO",IF(H1006&lt;=I1006,"ESTOQUE BAIXO","NORMAL")))</f>
        <v/>
      </c>
      <c r="K1006" s="107">
        <f>IF(OR(UPPER(C1006)="SERVIÇO",UPPER(C1006)="SERVICO"),0,N(H1006)*N(E1006))</f>
        <v/>
      </c>
      <c r="L1006" s="107">
        <f>IF(OR(UPPER(C1006)="SERVIÇO",UPPER(C1006)="SERVICO"),0,N(H1006)*N(G1006))</f>
        <v/>
      </c>
      <c r="M1006" s="107">
        <f>IF(OR(UPPER(C1006)="SERVIÇO",UPPER(C1006)="SERVICO"),0,L1006-K1006)</f>
        <v/>
      </c>
    </row>
    <row r="1007" ht="15" customHeight="1">
      <c r="B1007" s="105" t="n">
        <v>996</v>
      </c>
      <c r="C1007" s="105" t="inlineStr">
        <is>
          <t>Produto</t>
        </is>
      </c>
      <c r="D1007" s="106" t="inlineStr">
        <is>
          <t>Nadadeira modelo básico preto</t>
        </is>
      </c>
      <c r="E1007" s="107" t="n">
        <v>33.26</v>
      </c>
      <c r="F1007" s="108" t="n">
        <v>50</v>
      </c>
      <c r="G1007" s="107">
        <f>ROUND(E1007*(1+IF(ABS(F1007)&lt;=1,F1007,F1007/100)),2)</f>
        <v/>
      </c>
      <c r="H1007" s="105" t="n">
        <v>0</v>
      </c>
      <c r="I1007" s="105" t="n">
        <v>5</v>
      </c>
      <c r="J1007" s="105">
        <f>IF(OR(UPPER(C1007)="SERVIÇO",UPPER(C1007)="SERVICO"),"SERVIÇO",IF(H1007&lt;=0,"ZERADO",IF(H1007&lt;=I1007,"ESTOQUE BAIXO","NORMAL")))</f>
        <v/>
      </c>
      <c r="K1007" s="107">
        <f>IF(OR(UPPER(C1007)="SERVIÇO",UPPER(C1007)="SERVICO"),0,N(H1007)*N(E1007))</f>
        <v/>
      </c>
      <c r="L1007" s="107">
        <f>IF(OR(UPPER(C1007)="SERVIÇO",UPPER(C1007)="SERVICO"),0,N(H1007)*N(G1007))</f>
        <v/>
      </c>
      <c r="M1007" s="107">
        <f>IF(OR(UPPER(C1007)="SERVIÇO",UPPER(C1007)="SERVICO"),0,L1007-K1007)</f>
        <v/>
      </c>
    </row>
    <row r="1008" ht="15" customHeight="1">
      <c r="B1008" s="105" t="n">
        <v>997</v>
      </c>
      <c r="C1008" s="105" t="inlineStr">
        <is>
          <t>Produto</t>
        </is>
      </c>
      <c r="D1008" s="106" t="inlineStr">
        <is>
          <t>Óculos de natação ventilado azul</t>
        </is>
      </c>
      <c r="E1008" s="107" t="n">
        <v>29.3</v>
      </c>
      <c r="F1008" s="108" t="n">
        <v>50</v>
      </c>
      <c r="G1008" s="107">
        <f>ROUND(E1008*(1+IF(ABS(F1008)&lt;=1,F1008,F1008/100)),2)</f>
        <v/>
      </c>
      <c r="H1008" s="105" t="n">
        <v>15</v>
      </c>
      <c r="I1008" s="105" t="n">
        <v>5</v>
      </c>
      <c r="J1008" s="105">
        <f>IF(OR(UPPER(C1008)="SERVIÇO",UPPER(C1008)="SERVICO"),"SERVIÇO",IF(H1008&lt;=0,"ZERADO",IF(H1008&lt;=I1008,"ESTOQUE BAIXO","NORMAL")))</f>
        <v/>
      </c>
      <c r="K1008" s="107">
        <f>IF(OR(UPPER(C1008)="SERVIÇO",UPPER(C1008)="SERVICO"),0,N(H1008)*N(E1008))</f>
        <v/>
      </c>
      <c r="L1008" s="107">
        <f>IF(OR(UPPER(C1008)="SERVIÇO",UPPER(C1008)="SERVICO"),0,N(H1008)*N(G1008))</f>
        <v/>
      </c>
      <c r="M1008" s="107">
        <f>IF(OR(UPPER(C1008)="SERVIÇO",UPPER(C1008)="SERVICO"),0,L1008-K1008)</f>
        <v/>
      </c>
    </row>
    <row r="1009" ht="15" customHeight="1">
      <c r="B1009" s="105" t="n">
        <v>998</v>
      </c>
      <c r="C1009" s="105" t="inlineStr">
        <is>
          <t>Produto</t>
        </is>
      </c>
      <c r="D1009" s="106" t="inlineStr">
        <is>
          <t>Jaqueta esportiva ventilado branco tam. 40</t>
        </is>
      </c>
      <c r="E1009" s="107" t="n">
        <v>234.31</v>
      </c>
      <c r="F1009" s="108" t="n">
        <v>50</v>
      </c>
      <c r="G1009" s="107">
        <f>ROUND(E1009*(1+IF(ABS(F1009)&lt;=1,F1009,F1009/100)),2)</f>
        <v/>
      </c>
      <c r="H1009" s="105" t="n">
        <v>15</v>
      </c>
      <c r="I1009" s="105" t="n">
        <v>5</v>
      </c>
      <c r="J1009" s="105">
        <f>IF(OR(UPPER(C1009)="SERVIÇO",UPPER(C1009)="SERVICO"),"SERVIÇO",IF(H1009&lt;=0,"ZERADO",IF(H1009&lt;=I1009,"ESTOQUE BAIXO","NORMAL")))</f>
        <v/>
      </c>
      <c r="K1009" s="107">
        <f>IF(OR(UPPER(C1009)="SERVIÇO",UPPER(C1009)="SERVICO"),0,N(H1009)*N(E1009))</f>
        <v/>
      </c>
      <c r="L1009" s="107">
        <f>IF(OR(UPPER(C1009)="SERVIÇO",UPPER(C1009)="SERVICO"),0,N(H1009)*N(G1009))</f>
        <v/>
      </c>
      <c r="M1009" s="107">
        <f>IF(OR(UPPER(C1009)="SERVIÇO",UPPER(C1009)="SERVICO"),0,L1009-K1009)</f>
        <v/>
      </c>
    </row>
    <row r="1010" ht="15" customHeight="1">
      <c r="B1010" s="105" t="n">
        <v>999</v>
      </c>
      <c r="C1010" s="105" t="inlineStr">
        <is>
          <t>Produto</t>
        </is>
      </c>
      <c r="D1010" s="106" t="inlineStr">
        <is>
          <t>Bola de basquete modelo avançado vermelho</t>
        </is>
      </c>
      <c r="E1010" s="107" t="n">
        <v>64.52</v>
      </c>
      <c r="F1010" s="108" t="n">
        <v>50</v>
      </c>
      <c r="G1010" s="107">
        <f>ROUND(E1010*(1+IF(ABS(F1010)&lt;=1,F1010,F1010/100)),2)</f>
        <v/>
      </c>
      <c r="H1010" s="105" t="n">
        <v>15</v>
      </c>
      <c r="I1010" s="105" t="n">
        <v>5</v>
      </c>
      <c r="J1010" s="105">
        <f>IF(OR(UPPER(C1010)="SERVIÇO",UPPER(C1010)="SERVICO"),"SERVIÇO",IF(H1010&lt;=0,"ZERADO",IF(H1010&lt;=I1010,"ESTOQUE BAIXO","NORMAL")))</f>
        <v/>
      </c>
      <c r="K1010" s="107">
        <f>IF(OR(UPPER(C1010)="SERVIÇO",UPPER(C1010)="SERVICO"),0,N(H1010)*N(E1010))</f>
        <v/>
      </c>
      <c r="L1010" s="107">
        <f>IF(OR(UPPER(C1010)="SERVIÇO",UPPER(C1010)="SERVICO"),0,N(H1010)*N(G1010))</f>
        <v/>
      </c>
      <c r="M1010" s="107">
        <f>IF(OR(UPPER(C1010)="SERVIÇO",UPPER(C1010)="SERVICO"),0,L1010-K1010)</f>
        <v/>
      </c>
    </row>
    <row r="1011"/>
    <row r="1012"/>
    <row r="1013"/>
    <row r="1014"/>
    <row r="1015"/>
    <row r="1016">
      <c r="E1016" s="109" t="n"/>
      <c r="F1016" s="110" t="n"/>
      <c r="G1016" s="109" t="n"/>
      <c r="K1016" s="109" t="n"/>
      <c r="L1016" s="109" t="n"/>
      <c r="M1016" s="109" t="n"/>
    </row>
    <row r="1017">
      <c r="E1017" s="109" t="n"/>
      <c r="F1017" s="110" t="n"/>
      <c r="G1017" s="109" t="n"/>
      <c r="K1017" s="109" t="n"/>
      <c r="L1017" s="109" t="n"/>
      <c r="M1017" s="109" t="n"/>
    </row>
    <row r="1018">
      <c r="E1018" s="109" t="n"/>
      <c r="F1018" s="110" t="n"/>
      <c r="G1018" s="109" t="n"/>
      <c r="K1018" s="109" t="n"/>
      <c r="L1018" s="109" t="n"/>
      <c r="M1018" s="109" t="n"/>
    </row>
    <row r="1019">
      <c r="E1019" s="109" t="n"/>
      <c r="F1019" s="110" t="n"/>
      <c r="G1019" s="109" t="n"/>
      <c r="K1019" s="109" t="n"/>
      <c r="L1019" s="109" t="n"/>
      <c r="M1019" s="109" t="n"/>
    </row>
    <row r="1020">
      <c r="E1020" s="109" t="n"/>
      <c r="F1020" s="110" t="n"/>
      <c r="G1020" s="109" t="n"/>
      <c r="K1020" s="109" t="n"/>
      <c r="L1020" s="109" t="n"/>
      <c r="M1020" s="109" t="n"/>
    </row>
    <row r="1021">
      <c r="E1021" s="109" t="n"/>
      <c r="F1021" s="110" t="n"/>
      <c r="G1021" s="109" t="n"/>
      <c r="K1021" s="109" t="n"/>
      <c r="L1021" s="109" t="n"/>
      <c r="M1021" s="109" t="n"/>
    </row>
    <row r="1022">
      <c r="E1022" s="109" t="n"/>
      <c r="F1022" s="110" t="n"/>
      <c r="G1022" s="109" t="n"/>
      <c r="K1022" s="109" t="n"/>
      <c r="L1022" s="109" t="n"/>
      <c r="M1022" s="109" t="n"/>
    </row>
    <row r="1023">
      <c r="E1023" s="109" t="n"/>
      <c r="F1023" s="110" t="n"/>
      <c r="G1023" s="109" t="n"/>
      <c r="K1023" s="109" t="n"/>
      <c r="L1023" s="109" t="n"/>
      <c r="M1023" s="109" t="n"/>
    </row>
    <row r="1024">
      <c r="E1024" s="109" t="n"/>
      <c r="F1024" s="110" t="n"/>
      <c r="G1024" s="109" t="n"/>
      <c r="K1024" s="109" t="n"/>
      <c r="L1024" s="109" t="n"/>
      <c r="M1024" s="109" t="n"/>
    </row>
    <row r="1025">
      <c r="E1025" s="109" t="n"/>
      <c r="F1025" s="110" t="n"/>
      <c r="G1025" s="109" t="n"/>
      <c r="K1025" s="109" t="n"/>
      <c r="L1025" s="109" t="n"/>
      <c r="M1025" s="109" t="n"/>
    </row>
    <row r="1026">
      <c r="E1026" s="109" t="n"/>
      <c r="F1026" s="110" t="n"/>
      <c r="G1026" s="109" t="n"/>
      <c r="K1026" s="109" t="n"/>
      <c r="L1026" s="109" t="n"/>
      <c r="M1026" s="109" t="n"/>
    </row>
    <row r="1027">
      <c r="E1027" s="109" t="n"/>
      <c r="F1027" s="110" t="n"/>
      <c r="G1027" s="109" t="n"/>
      <c r="K1027" s="109" t="n"/>
      <c r="L1027" s="109" t="n"/>
      <c r="M1027" s="109" t="n"/>
    </row>
    <row r="1028">
      <c r="E1028" s="109" t="n"/>
      <c r="F1028" s="110" t="n"/>
      <c r="G1028" s="109" t="n"/>
      <c r="K1028" s="109" t="n"/>
      <c r="L1028" s="109" t="n"/>
      <c r="M1028" s="109" t="n"/>
    </row>
    <row r="1029">
      <c r="E1029" s="109" t="n"/>
      <c r="F1029" s="110" t="n"/>
      <c r="G1029" s="109" t="n"/>
      <c r="K1029" s="109" t="n"/>
      <c r="L1029" s="109" t="n"/>
      <c r="M1029" s="109" t="n"/>
    </row>
    <row r="1030">
      <c r="E1030" s="109" t="n"/>
      <c r="F1030" s="110" t="n"/>
      <c r="G1030" s="109" t="n"/>
      <c r="K1030" s="109" t="n"/>
      <c r="L1030" s="109" t="n"/>
      <c r="M1030" s="109" t="n"/>
    </row>
    <row r="1031">
      <c r="E1031" s="109" t="n"/>
      <c r="F1031" s="110" t="n"/>
      <c r="G1031" s="109" t="n"/>
      <c r="K1031" s="109" t="n"/>
      <c r="L1031" s="109" t="n"/>
      <c r="M1031" s="109" t="n"/>
    </row>
    <row r="1032">
      <c r="E1032" s="109" t="n"/>
      <c r="F1032" s="110" t="n"/>
      <c r="G1032" s="109" t="n"/>
      <c r="K1032" s="109" t="n"/>
      <c r="L1032" s="109" t="n"/>
      <c r="M1032" s="109" t="n"/>
    </row>
    <row r="1033">
      <c r="E1033" s="109" t="n"/>
      <c r="F1033" s="110" t="n"/>
      <c r="G1033" s="109" t="n"/>
      <c r="K1033" s="109" t="n"/>
      <c r="L1033" s="109" t="n"/>
      <c r="M1033" s="109" t="n"/>
    </row>
    <row r="1034">
      <c r="E1034" s="109" t="n"/>
      <c r="F1034" s="110" t="n"/>
      <c r="G1034" s="109" t="n"/>
      <c r="K1034" s="109" t="n"/>
      <c r="L1034" s="109" t="n"/>
      <c r="M1034" s="109" t="n"/>
    </row>
    <row r="1035">
      <c r="E1035" s="109" t="n"/>
      <c r="F1035" s="110" t="n"/>
      <c r="G1035" s="109" t="n"/>
      <c r="K1035" s="109" t="n"/>
      <c r="L1035" s="109" t="n"/>
      <c r="M1035" s="109" t="n"/>
    </row>
    <row r="1036">
      <c r="E1036" s="109" t="n"/>
      <c r="F1036" s="110" t="n"/>
      <c r="G1036" s="109" t="n"/>
      <c r="K1036" s="109" t="n"/>
      <c r="L1036" s="109" t="n"/>
      <c r="M1036" s="109" t="n"/>
    </row>
    <row r="1037">
      <c r="E1037" s="109" t="n"/>
      <c r="F1037" s="110" t="n"/>
      <c r="G1037" s="109" t="n"/>
      <c r="K1037" s="109" t="n"/>
      <c r="L1037" s="109" t="n"/>
      <c r="M1037" s="109" t="n"/>
    </row>
    <row r="1038">
      <c r="E1038" s="109" t="n"/>
      <c r="F1038" s="110" t="n"/>
      <c r="G1038" s="109" t="n"/>
      <c r="K1038" s="109" t="n"/>
      <c r="L1038" s="109" t="n"/>
      <c r="M1038" s="109" t="n"/>
    </row>
    <row r="1039">
      <c r="E1039" s="109" t="n"/>
      <c r="F1039" s="110" t="n"/>
      <c r="G1039" s="109" t="n"/>
      <c r="K1039" s="109" t="n"/>
      <c r="L1039" s="109" t="n"/>
      <c r="M1039" s="109" t="n"/>
    </row>
    <row r="1040">
      <c r="E1040" s="109" t="n"/>
      <c r="F1040" s="110" t="n"/>
      <c r="G1040" s="109" t="n"/>
      <c r="K1040" s="109" t="n"/>
      <c r="L1040" s="109" t="n"/>
      <c r="M1040" s="109" t="n"/>
    </row>
    <row r="1041">
      <c r="E1041" s="109" t="n"/>
      <c r="F1041" s="110" t="n"/>
      <c r="G1041" s="109" t="n"/>
      <c r="K1041" s="109" t="n"/>
      <c r="L1041" s="109" t="n"/>
      <c r="M1041" s="109" t="n"/>
    </row>
    <row r="1042">
      <c r="E1042" s="109" t="n"/>
      <c r="F1042" s="110" t="n"/>
      <c r="G1042" s="109" t="n"/>
      <c r="K1042" s="109" t="n"/>
      <c r="L1042" s="109" t="n"/>
      <c r="M1042" s="109" t="n"/>
    </row>
    <row r="1043">
      <c r="E1043" s="109" t="n"/>
      <c r="F1043" s="110" t="n"/>
      <c r="G1043" s="109" t="n"/>
      <c r="K1043" s="109" t="n"/>
      <c r="L1043" s="109" t="n"/>
      <c r="M1043" s="109" t="n"/>
    </row>
    <row r="1044">
      <c r="E1044" s="109" t="n"/>
      <c r="F1044" s="110" t="n"/>
      <c r="G1044" s="109" t="n"/>
      <c r="K1044" s="109" t="n"/>
      <c r="L1044" s="109" t="n"/>
      <c r="M1044" s="109" t="n"/>
    </row>
    <row r="1045">
      <c r="E1045" s="109" t="n"/>
      <c r="F1045" s="110" t="n"/>
      <c r="G1045" s="109" t="n"/>
      <c r="K1045" s="109" t="n"/>
      <c r="L1045" s="109" t="n"/>
      <c r="M1045" s="109" t="n"/>
    </row>
    <row r="1046">
      <c r="E1046" s="109" t="n"/>
      <c r="F1046" s="110" t="n"/>
      <c r="G1046" s="109" t="n"/>
      <c r="K1046" s="109" t="n"/>
      <c r="L1046" s="109" t="n"/>
      <c r="M1046" s="109" t="n"/>
    </row>
    <row r="1047">
      <c r="E1047" s="109" t="n"/>
      <c r="F1047" s="110" t="n"/>
      <c r="G1047" s="109" t="n"/>
      <c r="K1047" s="109" t="n"/>
      <c r="L1047" s="109" t="n"/>
      <c r="M1047" s="109" t="n"/>
    </row>
    <row r="1048">
      <c r="E1048" s="109" t="n"/>
      <c r="F1048" s="110" t="n"/>
      <c r="G1048" s="109" t="n"/>
      <c r="K1048" s="109" t="n"/>
      <c r="L1048" s="109" t="n"/>
      <c r="M1048" s="109" t="n"/>
    </row>
    <row r="1049">
      <c r="E1049" s="109" t="n"/>
      <c r="F1049" s="110" t="n"/>
      <c r="G1049" s="109" t="n"/>
      <c r="K1049" s="109" t="n"/>
      <c r="L1049" s="109" t="n"/>
      <c r="M1049" s="109" t="n"/>
    </row>
    <row r="1050">
      <c r="E1050" s="109" t="n"/>
      <c r="F1050" s="110" t="n"/>
      <c r="G1050" s="109" t="n"/>
      <c r="K1050" s="109" t="n"/>
      <c r="L1050" s="109" t="n"/>
      <c r="M1050" s="109" t="n"/>
    </row>
  </sheetData>
  <mergeCells count="11">
    <mergeCell ref="J5:K5"/>
    <mergeCell ref="H6:I7"/>
    <mergeCell ref="B5:C5"/>
    <mergeCell ref="J6:K7"/>
    <mergeCell ref="F5:G5"/>
    <mergeCell ref="D5:E5"/>
    <mergeCell ref="D6:E7"/>
    <mergeCell ref="B6:C7"/>
    <mergeCell ref="H5:I5"/>
    <mergeCell ref="F6:G7"/>
    <mergeCell ref="B2: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1" workbookViewId="0">
      <selection activeCell="A1" sqref="A1"/>
    </sheetView>
  </sheetViews>
  <sheetFormatPr baseColWidth="8" defaultRowHeight="15"/>
  <cols>
    <col width="9.53125" customWidth="1" min="1" max="1"/>
    <col width="12.53125" customWidth="1" min="2" max="2"/>
    <col width="10.3984375" customWidth="1" min="3" max="3"/>
    <col width="18" customWidth="1" min="4" max="4"/>
    <col width="13.265625" customWidth="1" min="5" max="5"/>
    <col width="10.265625" customWidth="1" min="6" max="6"/>
    <col width="14.6640625" customWidth="1" min="7" max="7"/>
    <col width="14.06640625" customWidth="1" min="8" max="8"/>
    <col width="8.73046875" customWidth="1" min="9" max="9"/>
    <col width="9.59765625" customWidth="1" min="10" max="10"/>
    <col width="13.59765625" customWidth="1" min="11" max="11"/>
    <col width="23.265625" customWidth="1" min="12" max="12"/>
    <col width="18.59765625" customWidth="1" min="13" max="13"/>
  </cols>
  <sheetData>
    <row r="1" ht="16.5" customHeight="1">
      <c r="A1" s="111" t="inlineStr">
        <is>
          <t>ID_VENDA</t>
        </is>
      </c>
      <c r="B1" s="111" t="inlineStr">
        <is>
          <t>DATA_VENDA</t>
        </is>
      </c>
      <c r="C1" s="111" t="inlineStr">
        <is>
          <t>ID_CLIENTE</t>
        </is>
      </c>
      <c r="D1" s="111" t="inlineStr">
        <is>
          <t>NOME_CLIENTE</t>
        </is>
      </c>
      <c r="E1" s="112" t="inlineStr">
        <is>
          <t>TOTAL_BRUTO</t>
        </is>
      </c>
      <c r="F1" s="112" t="inlineStr">
        <is>
          <t>DESCONTO</t>
        </is>
      </c>
      <c r="G1" s="112" t="inlineStr">
        <is>
          <t>TOTAL_LIQUIDO</t>
        </is>
      </c>
      <c r="H1" s="111" t="inlineStr">
        <is>
          <t>FORMA_PAGTO</t>
        </is>
      </c>
      <c r="I1" s="111" t="inlineStr">
        <is>
          <t>STATUS</t>
        </is>
      </c>
      <c r="J1" s="111" t="inlineStr">
        <is>
          <t>PARCELAS</t>
        </is>
      </c>
      <c r="K1" s="113" t="inlineStr">
        <is>
          <t>TAXA_CARTAO</t>
        </is>
      </c>
      <c r="L1" s="112" t="inlineStr">
        <is>
          <t>VALOR_LIQUIDO_RECEBER</t>
        </is>
      </c>
      <c r="M1" s="114" t="inlineStr">
        <is>
          <t>OPERADOR</t>
        </is>
      </c>
    </row>
    <row r="2">
      <c r="A2" t="n">
        <v>1</v>
      </c>
      <c r="B2" s="115" t="n">
        <v>46310</v>
      </c>
      <c r="C2" t="n">
        <v>4</v>
      </c>
      <c r="D2" t="inlineStr">
        <is>
          <t>Beatriz Souza Almeida</t>
        </is>
      </c>
      <c r="E2" s="109" t="n">
        <v>206.83</v>
      </c>
      <c r="F2" s="109" t="n">
        <v>0</v>
      </c>
      <c r="G2" s="109" t="n">
        <v>206.83</v>
      </c>
      <c r="H2" t="inlineStr">
        <is>
          <t>PIX</t>
        </is>
      </c>
      <c r="I2" t="inlineStr">
        <is>
          <t>Concluída</t>
        </is>
      </c>
      <c r="J2" t="inlineStr">
        <is>
          <t>1x</t>
        </is>
      </c>
      <c r="K2" s="110" t="n">
        <v>0</v>
      </c>
      <c r="L2" s="109" t="n">
        <v>206.83</v>
      </c>
      <c r="M2" t="inlineStr">
        <is>
          <t>Vitória Karollyne</t>
        </is>
      </c>
    </row>
    <row r="3">
      <c r="A3" t="n">
        <v>2</v>
      </c>
      <c r="B3" s="116" t="n">
        <v>46305.125</v>
      </c>
      <c r="C3" t="n">
        <v>1</v>
      </c>
      <c r="D3" t="inlineStr">
        <is>
          <t>Carlos Alberto da Silva</t>
        </is>
      </c>
      <c r="E3" s="109" t="n">
        <v>550</v>
      </c>
      <c r="F3" s="109" t="n">
        <v>50</v>
      </c>
      <c r="G3" s="109" t="n">
        <v>500</v>
      </c>
      <c r="H3" t="inlineStr">
        <is>
          <t>Cartão de Crédito</t>
        </is>
      </c>
      <c r="I3" t="inlineStr">
        <is>
          <t>Concluída</t>
        </is>
      </c>
      <c r="J3" t="inlineStr">
        <is>
          <t>3x</t>
        </is>
      </c>
      <c r="K3" s="110" t="n">
        <v>0.035</v>
      </c>
      <c r="L3" s="109" t="n">
        <v>482.5</v>
      </c>
      <c r="M3" t="inlineStr">
        <is>
          <t>Vitória Karollyne</t>
        </is>
      </c>
    </row>
    <row r="4">
      <c r="A4" t="n">
        <v>3</v>
      </c>
      <c r="B4" s="116" t="n">
        <v>46307.125</v>
      </c>
      <c r="C4" t="n">
        <v>2</v>
      </c>
      <c r="D4" t="inlineStr">
        <is>
          <t>Mariana Oliveira Santos</t>
        </is>
      </c>
      <c r="E4" s="109" t="n">
        <v>320</v>
      </c>
      <c r="F4" s="109" t="n">
        <v>0</v>
      </c>
      <c r="G4" s="109" t="n">
        <v>320</v>
      </c>
      <c r="H4" t="inlineStr">
        <is>
          <t>PIX</t>
        </is>
      </c>
      <c r="I4" t="inlineStr">
        <is>
          <t>Concluída</t>
        </is>
      </c>
      <c r="J4" t="inlineStr">
        <is>
          <t>1x</t>
        </is>
      </c>
      <c r="K4" s="110" t="n">
        <v>0</v>
      </c>
      <c r="L4" s="109" t="n">
        <v>320</v>
      </c>
      <c r="M4" t="inlineStr">
        <is>
          <t>Geovana</t>
        </is>
      </c>
    </row>
    <row r="5">
      <c r="A5" t="n">
        <v>4</v>
      </c>
      <c r="B5" s="116" t="n">
        <v>46308.125</v>
      </c>
      <c r="C5" t="n">
        <v>3</v>
      </c>
      <c r="D5" t="inlineStr">
        <is>
          <t>Ricardo Fernandes Souza</t>
        </is>
      </c>
      <c r="E5" s="109" t="n">
        <v>1200</v>
      </c>
      <c r="F5" s="109" t="n">
        <v>100</v>
      </c>
      <c r="G5" s="109" t="n">
        <v>1100</v>
      </c>
      <c r="H5" t="inlineStr">
        <is>
          <t>Cartão de Crédito</t>
        </is>
      </c>
      <c r="I5" t="inlineStr">
        <is>
          <t>Concluída</t>
        </is>
      </c>
      <c r="J5" t="inlineStr">
        <is>
          <t>6x</t>
        </is>
      </c>
      <c r="K5" s="110" t="n">
        <v>0.045</v>
      </c>
      <c r="L5" s="109" t="n">
        <v>1050.5</v>
      </c>
      <c r="M5" t="inlineStr">
        <is>
          <t>Geovana</t>
        </is>
      </c>
    </row>
    <row r="6">
      <c r="A6" t="n">
        <v>5</v>
      </c>
      <c r="B6" s="116" t="n">
        <v>46309.125</v>
      </c>
      <c r="C6" t="n">
        <v>5</v>
      </c>
      <c r="D6" t="inlineStr">
        <is>
          <t>Lucas Martins Pereira</t>
        </is>
      </c>
      <c r="E6" s="109" t="n">
        <v>180</v>
      </c>
      <c r="F6" s="109" t="n">
        <v>0</v>
      </c>
      <c r="G6" s="109" t="n">
        <v>180</v>
      </c>
      <c r="H6" t="inlineStr">
        <is>
          <t>Cartão de Débito</t>
        </is>
      </c>
      <c r="I6" t="inlineStr">
        <is>
          <t>Concluída</t>
        </is>
      </c>
      <c r="J6" t="inlineStr">
        <is>
          <t>1x</t>
        </is>
      </c>
      <c r="K6" s="110" t="n">
        <v>0.015</v>
      </c>
      <c r="L6" s="109" t="n">
        <v>177.3</v>
      </c>
      <c r="M6" t="inlineStr">
        <is>
          <t>Administrador</t>
        </is>
      </c>
    </row>
    <row r="7">
      <c r="A7" t="n">
        <v>6</v>
      </c>
      <c r="B7" s="116" t="n">
        <v>46310.125</v>
      </c>
      <c r="C7" t="n">
        <v>1</v>
      </c>
      <c r="D7" t="inlineStr">
        <is>
          <t>Carlos Alberto da Silva</t>
        </is>
      </c>
      <c r="E7" s="109" t="n">
        <v>450</v>
      </c>
      <c r="F7" s="109" t="n">
        <v>0</v>
      </c>
      <c r="G7" s="109" t="n">
        <v>450</v>
      </c>
      <c r="H7" t="inlineStr">
        <is>
          <t>Dinheiro</t>
        </is>
      </c>
      <c r="I7" t="inlineStr">
        <is>
          <t>Cancelada</t>
        </is>
      </c>
      <c r="J7" t="inlineStr">
        <is>
          <t>1x</t>
        </is>
      </c>
      <c r="K7" s="110" t="n">
        <v>0</v>
      </c>
      <c r="L7" s="109" t="n">
        <v>450</v>
      </c>
      <c r="M7" t="inlineStr">
        <is>
          <t>Ana Silva</t>
        </is>
      </c>
    </row>
    <row r="8">
      <c r="A8" t="n">
        <v>7</v>
      </c>
      <c r="B8" s="115" t="n">
        <v>46311</v>
      </c>
      <c r="C8" t="n">
        <v>6</v>
      </c>
      <c r="D8" t="inlineStr">
        <is>
          <t>vivaben</t>
        </is>
      </c>
      <c r="E8" s="109" t="n">
        <v>241.49</v>
      </c>
      <c r="F8" s="109" t="n">
        <v>0</v>
      </c>
      <c r="G8" s="109" t="n">
        <v>241.49</v>
      </c>
      <c r="H8" t="inlineStr">
        <is>
          <t>Cartão de Crédito</t>
        </is>
      </c>
      <c r="I8" t="inlineStr">
        <is>
          <t>Cancelada</t>
        </is>
      </c>
      <c r="J8" t="inlineStr">
        <is>
          <t>1x</t>
        </is>
      </c>
      <c r="K8" s="110" t="n">
        <v>0.0089</v>
      </c>
      <c r="L8" s="109" t="n">
        <v>239.34</v>
      </c>
      <c r="M8" t="inlineStr">
        <is>
          <t>Vitória Karollyne Bezerra da Fonseca</t>
        </is>
      </c>
    </row>
    <row r="9">
      <c r="A9" t="n">
        <v>8</v>
      </c>
      <c r="B9" s="115" t="n">
        <v>46311</v>
      </c>
      <c r="C9" t="n">
        <v>4</v>
      </c>
      <c r="D9" t="inlineStr">
        <is>
          <t>Beatriz Souza Almeida</t>
        </is>
      </c>
      <c r="E9" s="109" t="n">
        <v>542.5</v>
      </c>
      <c r="F9" s="109" t="n">
        <v>0</v>
      </c>
      <c r="G9" s="109" t="n">
        <v>542.5</v>
      </c>
      <c r="H9" t="inlineStr">
        <is>
          <t>Dinheiro</t>
        </is>
      </c>
      <c r="I9" t="inlineStr">
        <is>
          <t>Concluida</t>
        </is>
      </c>
      <c r="J9" t="inlineStr">
        <is>
          <t>1x</t>
        </is>
      </c>
      <c r="K9" s="110" t="n">
        <v>0</v>
      </c>
      <c r="L9" s="109" t="n">
        <v>542.5</v>
      </c>
      <c r="M9" t="inlineStr">
        <is>
          <t>Administrador</t>
        </is>
      </c>
    </row>
    <row r="10">
      <c r="A10" t="n">
        <v>9</v>
      </c>
      <c r="B10" s="115" t="n">
        <v>46314</v>
      </c>
      <c r="C10" t="n">
        <v>1</v>
      </c>
      <c r="D10" t="inlineStr">
        <is>
          <t>Carlos Alberto da Silva</t>
        </is>
      </c>
      <c r="E10" s="109" t="n">
        <v>2385.47</v>
      </c>
      <c r="F10" s="109" t="n">
        <v>200</v>
      </c>
      <c r="G10" s="109" t="n">
        <v>2185.47</v>
      </c>
      <c r="H10" t="inlineStr">
        <is>
          <t>Cartão de Crédito</t>
        </is>
      </c>
      <c r="I10" t="inlineStr">
        <is>
          <t>Concluida</t>
        </is>
      </c>
      <c r="J10" t="inlineStr">
        <is>
          <t>1x</t>
        </is>
      </c>
      <c r="K10" s="110" t="n">
        <v>0.035</v>
      </c>
      <c r="L10" s="117" t="n">
        <v>2108.98</v>
      </c>
      <c r="M10" t="inlineStr">
        <is>
          <t>Administrador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7.73046875" customWidth="1" min="1" max="1"/>
    <col width="9.53125" customWidth="1" min="2" max="2"/>
    <col width="12.1328125" customWidth="1" min="3" max="3"/>
    <col width="20.265625" customWidth="1" min="4" max="4"/>
    <col width="11.59765625" customWidth="1" min="5" max="5"/>
    <col width="12.59765625" customWidth="1" min="6" max="6"/>
    <col width="11.265625" customWidth="1" min="7" max="7"/>
  </cols>
  <sheetData>
    <row r="1" ht="15.4" customHeight="1">
      <c r="A1" s="111" t="inlineStr">
        <is>
          <t>ID_ITEM</t>
        </is>
      </c>
      <c r="B1" s="111" t="inlineStr">
        <is>
          <t>ID_VENDA</t>
        </is>
      </c>
      <c r="C1" s="111" t="inlineStr">
        <is>
          <t>ID_PRODUTO</t>
        </is>
      </c>
      <c r="D1" s="111" t="inlineStr">
        <is>
          <t>DESCRICAO_PRODUTO</t>
        </is>
      </c>
      <c r="E1" s="112" t="inlineStr">
        <is>
          <t>PRECO_UNIT</t>
        </is>
      </c>
      <c r="F1" s="111" t="inlineStr">
        <is>
          <t>QUANTIDADE</t>
        </is>
      </c>
      <c r="G1" s="112" t="inlineStr">
        <is>
          <t>SUBTOTAL</t>
        </is>
      </c>
    </row>
    <row r="2">
      <c r="A2" t="n">
        <v>1</v>
      </c>
      <c r="B2" t="n">
        <v>1</v>
      </c>
      <c r="C2" t="n">
        <v>2</v>
      </c>
      <c r="D2" t="inlineStr">
        <is>
          <t>Bola de pilates ventilado azul</t>
        </is>
      </c>
      <c r="E2" s="109" t="n">
        <v>134.38</v>
      </c>
      <c r="F2" t="n">
        <v>1</v>
      </c>
      <c r="G2" s="109" t="n">
        <v>134.38</v>
      </c>
    </row>
    <row r="3">
      <c r="A3" t="n">
        <v>2</v>
      </c>
      <c r="B3" t="n">
        <v>1</v>
      </c>
      <c r="C3" t="n">
        <v>3</v>
      </c>
      <c r="D3" t="inlineStr">
        <is>
          <t>Bola de vôlei profissional verde</t>
        </is>
      </c>
      <c r="E3" s="109" t="n">
        <v>72.45</v>
      </c>
      <c r="F3" t="n">
        <v>1</v>
      </c>
      <c r="G3" s="109" t="n">
        <v>72.45</v>
      </c>
    </row>
    <row r="4">
      <c r="A4" t="n">
        <v>2</v>
      </c>
      <c r="B4" t="n">
        <v>2</v>
      </c>
      <c r="C4" t="n">
        <v>1</v>
      </c>
      <c r="D4" t="inlineStr">
        <is>
          <t>Mouse Gamer RGB</t>
        </is>
      </c>
      <c r="E4" s="109" t="n">
        <v>150</v>
      </c>
      <c r="F4" t="n">
        <v>1</v>
      </c>
      <c r="G4" s="109" t="n">
        <v>150</v>
      </c>
    </row>
    <row r="5">
      <c r="A5" t="n">
        <v>3</v>
      </c>
      <c r="B5" t="n">
        <v>2</v>
      </c>
      <c r="C5" t="n">
        <v>2</v>
      </c>
      <c r="D5" t="inlineStr">
        <is>
          <t>Teclado Mecânico ABNT2</t>
        </is>
      </c>
      <c r="E5" s="109" t="n">
        <v>350</v>
      </c>
      <c r="F5" t="n">
        <v>1</v>
      </c>
      <c r="G5" s="109" t="n">
        <v>350</v>
      </c>
    </row>
    <row r="6">
      <c r="A6" t="n">
        <v>4</v>
      </c>
      <c r="B6" t="n">
        <v>3</v>
      </c>
      <c r="C6" t="n">
        <v>3</v>
      </c>
      <c r="D6" t="inlineStr">
        <is>
          <t>Headset Surround 7.1</t>
        </is>
      </c>
      <c r="E6" s="109" t="n">
        <v>320</v>
      </c>
      <c r="F6" t="n">
        <v>1</v>
      </c>
      <c r="G6" s="109" t="n">
        <v>320</v>
      </c>
    </row>
    <row r="7">
      <c r="A7" t="n">
        <v>5</v>
      </c>
      <c r="B7" t="n">
        <v>4</v>
      </c>
      <c r="C7" t="n">
        <v>4</v>
      </c>
      <c r="D7" t="inlineStr">
        <is>
          <t>Monitor 24 Pol IPS 144Hz</t>
        </is>
      </c>
      <c r="E7" s="109" t="n">
        <v>1100</v>
      </c>
      <c r="F7" t="n">
        <v>1</v>
      </c>
      <c r="G7" s="109" t="n">
        <v>1100</v>
      </c>
    </row>
    <row r="8">
      <c r="A8" t="n">
        <v>6</v>
      </c>
      <c r="B8" t="n">
        <v>5</v>
      </c>
      <c r="C8" t="n">
        <v>1</v>
      </c>
      <c r="D8" t="inlineStr">
        <is>
          <t>Mouse Gamer RGB</t>
        </is>
      </c>
      <c r="E8" s="109" t="n">
        <v>180</v>
      </c>
      <c r="F8" t="n">
        <v>1</v>
      </c>
      <c r="G8" s="109" t="n">
        <v>180</v>
      </c>
    </row>
    <row r="9">
      <c r="A9" t="n">
        <v>8</v>
      </c>
      <c r="B9" t="n">
        <v>7</v>
      </c>
      <c r="C9" t="n">
        <v>3</v>
      </c>
      <c r="D9" t="inlineStr">
        <is>
          <t>Bola de vôlei profissional verde</t>
        </is>
      </c>
      <c r="E9" s="109" t="n">
        <v>72.45</v>
      </c>
      <c r="F9" t="n">
        <v>1</v>
      </c>
      <c r="G9" s="109" t="n">
        <v>72.45</v>
      </c>
    </row>
    <row r="10">
      <c r="A10" t="n">
        <v>9</v>
      </c>
      <c r="B10" t="n">
        <v>7</v>
      </c>
      <c r="C10" t="n">
        <v>8</v>
      </c>
      <c r="D10" t="inlineStr">
        <is>
          <t>Colchonete de exercício versão 2026 cinza</t>
        </is>
      </c>
      <c r="E10" s="109" t="n">
        <v>169.04</v>
      </c>
      <c r="F10" t="n">
        <v>1</v>
      </c>
      <c r="G10" s="109" t="n">
        <v>169.04</v>
      </c>
    </row>
    <row r="11">
      <c r="A11" t="n">
        <v>10</v>
      </c>
      <c r="B11" t="n">
        <v>8</v>
      </c>
      <c r="C11" t="n">
        <v>1</v>
      </c>
      <c r="D11" t="inlineStr">
        <is>
          <t>Touca de natação adulto cinza tam. GG</t>
        </is>
      </c>
      <c r="E11" s="109" t="n">
        <v>54.25</v>
      </c>
      <c r="F11" t="n">
        <v>10</v>
      </c>
      <c r="G11" s="109" t="n">
        <v>542.5</v>
      </c>
    </row>
    <row r="12">
      <c r="A12" t="n">
        <v>11</v>
      </c>
      <c r="B12" t="n">
        <v>9</v>
      </c>
      <c r="C12" t="n">
        <v>996</v>
      </c>
      <c r="D12" t="inlineStr">
        <is>
          <t>Nadadeira modelo básico preto</t>
        </is>
      </c>
      <c r="E12" s="117" t="n">
        <v>49.89</v>
      </c>
      <c r="F12" t="n">
        <v>30</v>
      </c>
      <c r="G12" s="117" t="n">
        <v>1496.7</v>
      </c>
    </row>
    <row r="13">
      <c r="A13" t="n">
        <v>12</v>
      </c>
      <c r="B13" t="n">
        <v>9</v>
      </c>
      <c r="C13" t="n">
        <v>4</v>
      </c>
      <c r="D13" t="inlineStr">
        <is>
          <t>Saco de pancadas ventilado verde</t>
        </is>
      </c>
      <c r="E13" s="117" t="n">
        <v>888.77</v>
      </c>
      <c r="F13" t="n">
        <v>1</v>
      </c>
      <c r="G13" s="117" t="n">
        <v>888.77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00"/>
  <sheetViews>
    <sheetView showGridLines="1" workbookViewId="0">
      <selection activeCell="A1" sqref="A1"/>
    </sheetView>
  </sheetViews>
  <sheetFormatPr baseColWidth="8" defaultRowHeight="15"/>
  <cols>
    <col width="3.73046875" customWidth="1" min="1" max="1"/>
    <col width="6.9296875" customWidth="1" min="2" max="2"/>
    <col width="43" customWidth="1" min="3" max="3"/>
    <col width="12.86328125" customWidth="1" min="4" max="4"/>
    <col width="14.53125" customWidth="1" min="5" max="5"/>
    <col width="12.86328125" customWidth="1" min="6" max="6"/>
    <col width="14.33203125" customWidth="1" min="7" max="7"/>
    <col width="15.6640625" customWidth="1" min="8" max="8"/>
  </cols>
  <sheetData>
    <row r="1">
      <c r="A1" s="118" t="inlineStr">
        <is>
          <t>ID</t>
        </is>
      </c>
      <c r="B1" s="118" t="inlineStr">
        <is>
          <t>TIPO</t>
        </is>
      </c>
      <c r="C1" s="118" t="inlineStr">
        <is>
          <t>DESCRICAO</t>
        </is>
      </c>
      <c r="D1" s="119" t="inlineStr">
        <is>
          <t>PRECO_CUSTO</t>
        </is>
      </c>
      <c r="E1" s="120" t="inlineStr">
        <is>
          <t>MARGEM_LUCRO</t>
        </is>
      </c>
      <c r="F1" s="119" t="inlineStr">
        <is>
          <t>PRECO_VENDA</t>
        </is>
      </c>
      <c r="G1" s="118" t="inlineStr">
        <is>
          <t>ESTOQUE_ATUAL</t>
        </is>
      </c>
      <c r="H1" s="118" t="inlineStr">
        <is>
          <t>ESTOQUE_MINIMO</t>
        </is>
      </c>
    </row>
    <row r="2">
      <c r="A2" t="n">
        <v>1</v>
      </c>
      <c r="B2" t="inlineStr">
        <is>
          <t>Produto</t>
        </is>
      </c>
      <c r="C2" s="121" t="inlineStr">
        <is>
          <t>Touca de natação adulto cinza tam. GG</t>
        </is>
      </c>
      <c r="D2" s="109" t="n">
        <v>20.32</v>
      </c>
      <c r="E2" s="122" t="n">
        <v>50</v>
      </c>
      <c r="F2" s="109">
        <f>ROUND(D2*(1+(E2/100)),2)</f>
        <v/>
      </c>
      <c r="G2" t="n">
        <v>5</v>
      </c>
      <c r="H2" t="n">
        <v>5</v>
      </c>
    </row>
    <row r="3">
      <c r="A3" t="n">
        <v>2</v>
      </c>
      <c r="B3" t="inlineStr">
        <is>
          <t>Produto</t>
        </is>
      </c>
      <c r="C3" s="121" t="inlineStr">
        <is>
          <t>Bola de pilates ventilado azul</t>
        </is>
      </c>
      <c r="D3" s="109" t="n">
        <v>80.63</v>
      </c>
      <c r="E3" s="122" t="n">
        <v>200</v>
      </c>
      <c r="F3" s="109">
        <f>ROUND(D3*(1+(E3/100)),2)</f>
        <v/>
      </c>
      <c r="G3" t="n">
        <v>15</v>
      </c>
      <c r="H3" t="n">
        <v>5</v>
      </c>
    </row>
    <row r="4">
      <c r="A4" t="n">
        <v>3</v>
      </c>
      <c r="B4" t="inlineStr">
        <is>
          <t>Produto</t>
        </is>
      </c>
      <c r="C4" s="121" t="inlineStr">
        <is>
          <t>Bola de vôlei profissional verde</t>
        </is>
      </c>
      <c r="D4" s="109" t="n">
        <v>43.47</v>
      </c>
      <c r="E4" s="123" t="n">
        <v>50</v>
      </c>
      <c r="F4" s="109">
        <f>ROUND(D4*(1+(E4/100)),2)</f>
        <v/>
      </c>
      <c r="G4" t="n">
        <v>14</v>
      </c>
      <c r="H4" t="n">
        <v>5</v>
      </c>
    </row>
    <row r="5">
      <c r="A5" t="n">
        <v>4</v>
      </c>
      <c r="B5" t="inlineStr">
        <is>
          <t>Produto</t>
        </is>
      </c>
      <c r="C5" s="121" t="inlineStr">
        <is>
          <t>Saco de pancadas ventilado verde</t>
        </is>
      </c>
      <c r="D5" s="109" t="n">
        <v>592.51</v>
      </c>
      <c r="E5" s="123" t="n">
        <v>50</v>
      </c>
      <c r="F5" s="109">
        <f>ROUND(D5*(1+(E5/100)),2)</f>
        <v/>
      </c>
      <c r="G5" t="n">
        <v>14</v>
      </c>
      <c r="H5" t="n">
        <v>5</v>
      </c>
    </row>
    <row r="6">
      <c r="A6" t="n">
        <v>5</v>
      </c>
      <c r="B6" t="inlineStr">
        <is>
          <t>Produto</t>
        </is>
      </c>
      <c r="C6" s="121" t="inlineStr">
        <is>
          <t>Skate alta performance verde</t>
        </is>
      </c>
      <c r="D6" s="109" t="n">
        <v>319.04</v>
      </c>
      <c r="E6" s="123" t="n">
        <v>50</v>
      </c>
      <c r="F6" s="109">
        <f>ROUND(D6*(1+(E6/100)),2)</f>
        <v/>
      </c>
      <c r="G6" t="n">
        <v>15</v>
      </c>
      <c r="H6" t="n">
        <v>5</v>
      </c>
    </row>
    <row r="7">
      <c r="A7" t="n">
        <v>6</v>
      </c>
      <c r="B7" t="inlineStr">
        <is>
          <t>Produto</t>
        </is>
      </c>
      <c r="C7" s="121" t="inlineStr">
        <is>
          <t>Bolsa de academia leve laranja</t>
        </is>
      </c>
      <c r="D7" s="109" t="n">
        <v>80.98</v>
      </c>
      <c r="E7" s="123" t="n">
        <v>50</v>
      </c>
      <c r="F7" s="109">
        <f>ROUND(D7*(1+(E7/100)),2)</f>
        <v/>
      </c>
      <c r="G7" t="n">
        <v>15</v>
      </c>
      <c r="H7" t="n">
        <v>5</v>
      </c>
    </row>
    <row r="8">
      <c r="A8" t="n">
        <v>7</v>
      </c>
      <c r="B8" t="inlineStr">
        <is>
          <t>Produto</t>
        </is>
      </c>
      <c r="C8" s="121" t="inlineStr">
        <is>
          <t>Chuteira society modelo básico azul tam. M</t>
        </is>
      </c>
      <c r="D8" s="109" t="n">
        <v>196.72</v>
      </c>
      <c r="E8" s="123" t="n">
        <v>50</v>
      </c>
      <c r="F8" s="109">
        <f>ROUND(D8*(1+(E8/100)),2)</f>
        <v/>
      </c>
      <c r="G8" t="n">
        <v>15</v>
      </c>
      <c r="H8" t="n">
        <v>5</v>
      </c>
    </row>
    <row r="9">
      <c r="A9" t="n">
        <v>8</v>
      </c>
      <c r="B9" t="inlineStr">
        <is>
          <t>Produto</t>
        </is>
      </c>
      <c r="C9" s="121" t="inlineStr">
        <is>
          <t>Colchonete de exercício versão 2026 cinza</t>
        </is>
      </c>
      <c r="D9" s="109" t="n">
        <v>101.42</v>
      </c>
      <c r="E9" s="123" t="n">
        <v>50</v>
      </c>
      <c r="F9" s="109">
        <f>ROUND(D9*(1+(E9/100)),2)</f>
        <v/>
      </c>
      <c r="G9" t="n">
        <v>14</v>
      </c>
      <c r="H9" t="n">
        <v>5</v>
      </c>
    </row>
    <row r="10">
      <c r="A10" t="n">
        <v>9</v>
      </c>
      <c r="B10" t="inlineStr">
        <is>
          <t>Produto</t>
        </is>
      </c>
      <c r="C10" s="121" t="inlineStr">
        <is>
          <t>Bastão de caminhada ventilado azul</t>
        </is>
      </c>
      <c r="D10" s="109" t="n">
        <v>175.91</v>
      </c>
      <c r="E10" s="123" t="n">
        <v>50</v>
      </c>
      <c r="F10" s="109">
        <f>ROUND(D10*(1+(E10/100)),2)</f>
        <v/>
      </c>
      <c r="G10" t="n">
        <v>15</v>
      </c>
      <c r="H10" t="n">
        <v>5</v>
      </c>
    </row>
    <row r="11">
      <c r="A11" t="n">
        <v>10</v>
      </c>
      <c r="B11" t="inlineStr">
        <is>
          <t>Produto</t>
        </is>
      </c>
      <c r="C11" s="121" t="inlineStr">
        <is>
          <t>Bloco para yoga ventilado cinza</t>
        </is>
      </c>
      <c r="D11" s="109" t="n">
        <v>41.29</v>
      </c>
      <c r="E11" s="123" t="n">
        <v>50</v>
      </c>
      <c r="F11" s="109">
        <f>ROUND(D11*(1+(E11/100)),2)</f>
        <v/>
      </c>
      <c r="G11" t="n">
        <v>15</v>
      </c>
      <c r="H11" t="n">
        <v>5</v>
      </c>
    </row>
    <row r="12">
      <c r="A12" t="n">
        <v>11</v>
      </c>
      <c r="B12" t="inlineStr">
        <is>
          <t>Produto</t>
        </is>
      </c>
      <c r="C12" s="121" t="inlineStr">
        <is>
          <t>Kimono de judô unissex verde tam. M</t>
        </is>
      </c>
      <c r="D12" s="109" t="n">
        <v>73.69</v>
      </c>
      <c r="E12" s="123" t="n">
        <v>50</v>
      </c>
      <c r="F12" s="109">
        <f>ROUND(D12*(1+(E12/100)),2)</f>
        <v/>
      </c>
      <c r="G12" t="n">
        <v>15</v>
      </c>
      <c r="H12" t="n">
        <v>5</v>
      </c>
    </row>
    <row r="13">
      <c r="A13" t="n">
        <v>12</v>
      </c>
      <c r="B13" t="inlineStr">
        <is>
          <t>Produto</t>
        </is>
      </c>
      <c r="C13" s="121" t="inlineStr">
        <is>
          <t>Jaqueta esportiva profissional verde tam. M</t>
        </is>
      </c>
      <c r="D13" s="109" t="n">
        <v>147.45</v>
      </c>
      <c r="E13" s="123" t="n">
        <v>50</v>
      </c>
      <c r="F13" s="109">
        <f>ROUND(D13*(1+(E13/100)),2)</f>
        <v/>
      </c>
      <c r="G13" t="n">
        <v>15</v>
      </c>
      <c r="H13" t="n">
        <v>5</v>
      </c>
    </row>
    <row r="14">
      <c r="A14" t="n">
        <v>13</v>
      </c>
      <c r="B14" t="inlineStr">
        <is>
          <t>Produto</t>
        </is>
      </c>
      <c r="C14" s="121" t="inlineStr">
        <is>
          <t>Capacete de ciclismo leve branco</t>
        </is>
      </c>
      <c r="D14" s="109" t="n">
        <v>158.78</v>
      </c>
      <c r="E14" s="123" t="n">
        <v>50</v>
      </c>
      <c r="F14" s="109">
        <f>ROUND(D14*(1+(E14/100)),2)</f>
        <v/>
      </c>
      <c r="G14" t="n">
        <v>15</v>
      </c>
      <c r="H14" t="n">
        <v>5</v>
      </c>
    </row>
    <row r="15">
      <c r="A15" t="n">
        <v>14</v>
      </c>
      <c r="B15" t="inlineStr">
        <is>
          <t>Produto</t>
        </is>
      </c>
      <c r="C15" s="121" t="inlineStr">
        <is>
          <t>Prancha de natação profissional vermelho</t>
        </is>
      </c>
      <c r="D15" s="109" t="n">
        <v>66.01000000000001</v>
      </c>
      <c r="E15" s="123" t="n">
        <v>50</v>
      </c>
      <c r="F15" s="109">
        <f>ROUND(D15*(1+(E15/100)),2)</f>
        <v/>
      </c>
      <c r="G15" t="n">
        <v>15</v>
      </c>
      <c r="H15" t="n">
        <v>5</v>
      </c>
    </row>
    <row r="16">
      <c r="A16" t="n">
        <v>15</v>
      </c>
      <c r="B16" t="inlineStr">
        <is>
          <t>Produto</t>
        </is>
      </c>
      <c r="C16" s="121" t="inlineStr">
        <is>
          <t>Meias esportivas com ajuste laranja tam. 34</t>
        </is>
      </c>
      <c r="D16" s="109" t="n">
        <v>41.56</v>
      </c>
      <c r="E16" s="123" t="n">
        <v>50</v>
      </c>
      <c r="F16" s="109">
        <f>ROUND(D16*(1+(E16/100)),2)</f>
        <v/>
      </c>
      <c r="G16" t="n">
        <v>15</v>
      </c>
      <c r="H16" t="n">
        <v>5</v>
      </c>
    </row>
    <row r="17">
      <c r="A17" t="n">
        <v>16</v>
      </c>
      <c r="B17" t="inlineStr">
        <is>
          <t>Produto</t>
        </is>
      </c>
      <c r="C17" s="121" t="inlineStr">
        <is>
          <t>Touca de natação compacto branco tam. P</t>
        </is>
      </c>
      <c r="D17" s="109" t="n">
        <v>20.62</v>
      </c>
      <c r="E17" s="123" t="n">
        <v>50</v>
      </c>
      <c r="F17" s="109">
        <f>ROUND(D17*(1+(E17/100)),2)</f>
        <v/>
      </c>
      <c r="G17" t="n">
        <v>15</v>
      </c>
      <c r="H17" t="n">
        <v>5</v>
      </c>
    </row>
    <row r="18">
      <c r="A18" t="n">
        <v>17</v>
      </c>
      <c r="B18" t="inlineStr">
        <is>
          <t>Produto</t>
        </is>
      </c>
      <c r="C18" s="121" t="inlineStr">
        <is>
          <t>Bola de vôlei para uso diário cinza</t>
        </is>
      </c>
      <c r="D18" s="109" t="n">
        <v>29.5</v>
      </c>
      <c r="E18" s="123" t="n">
        <v>50</v>
      </c>
      <c r="F18" s="109">
        <f>ROUND(D18*(1+(E18/100)),2)</f>
        <v/>
      </c>
      <c r="G18" t="n">
        <v>15</v>
      </c>
      <c r="H18" t="n">
        <v>5</v>
      </c>
    </row>
    <row r="19">
      <c r="A19" t="n">
        <v>18</v>
      </c>
      <c r="B19" t="inlineStr">
        <is>
          <t>Produto</t>
        </is>
      </c>
      <c r="C19" s="121" t="inlineStr">
        <is>
          <t>Protetor bucal reforçado rosa</t>
        </is>
      </c>
      <c r="D19" s="109" t="n">
        <v>29.12</v>
      </c>
      <c r="E19" s="123" t="n">
        <v>50</v>
      </c>
      <c r="F19" s="109">
        <f>ROUND(D19*(1+(E19/100)),2)</f>
        <v/>
      </c>
      <c r="G19" t="n">
        <v>15</v>
      </c>
      <c r="H19" t="n">
        <v>5</v>
      </c>
    </row>
    <row r="20">
      <c r="A20" t="n">
        <v>19</v>
      </c>
      <c r="B20" t="inlineStr">
        <is>
          <t>Produto</t>
        </is>
      </c>
      <c r="C20" s="121" t="inlineStr">
        <is>
          <t>Óculos de natação recreativo cinza</t>
        </is>
      </c>
      <c r="D20" s="109" t="n">
        <v>31.21</v>
      </c>
      <c r="E20" s="123" t="n">
        <v>50</v>
      </c>
      <c r="F20" s="109">
        <f>ROUND(D20*(1+(E20/100)),2)</f>
        <v/>
      </c>
      <c r="G20" t="n">
        <v>15</v>
      </c>
      <c r="H20" t="n">
        <v>5</v>
      </c>
    </row>
    <row r="21">
      <c r="A21" t="n">
        <v>20</v>
      </c>
      <c r="B21" t="inlineStr">
        <is>
          <t>Produto</t>
        </is>
      </c>
      <c r="C21" s="121" t="inlineStr">
        <is>
          <t>Bola de pilates ventilado cinza</t>
        </is>
      </c>
      <c r="D21" s="109" t="n">
        <v>95.65000000000001</v>
      </c>
      <c r="E21" s="123" t="n">
        <v>50</v>
      </c>
      <c r="F21" s="109">
        <f>ROUND(D21*(1+(E21/100)),2)</f>
        <v/>
      </c>
      <c r="G21" t="n">
        <v>15</v>
      </c>
      <c r="H21" t="n">
        <v>5</v>
      </c>
    </row>
    <row r="22">
      <c r="A22" t="n">
        <v>21</v>
      </c>
      <c r="B22" t="inlineStr">
        <is>
          <t>Produto</t>
        </is>
      </c>
      <c r="C22" s="121" t="inlineStr">
        <is>
          <t>Bicicleta ergométrica para uso diário branco</t>
        </is>
      </c>
      <c r="D22" s="109" t="n">
        <v>938.95</v>
      </c>
      <c r="E22" s="123" t="n">
        <v>50</v>
      </c>
      <c r="F22" s="109">
        <f>ROUND(D22*(1+(E22/100)),2)</f>
        <v/>
      </c>
      <c r="G22" t="n">
        <v>15</v>
      </c>
      <c r="H22" t="n">
        <v>5</v>
      </c>
    </row>
    <row r="23">
      <c r="A23" t="n">
        <v>22</v>
      </c>
      <c r="B23" t="inlineStr">
        <is>
          <t>Produto</t>
        </is>
      </c>
      <c r="C23" s="121" t="inlineStr">
        <is>
          <t>Chuteira de campo ergonômico azul tam. P</t>
        </is>
      </c>
      <c r="D23" s="109" t="n">
        <v>474.94</v>
      </c>
      <c r="E23" s="123" t="n">
        <v>50</v>
      </c>
      <c r="F23" s="109">
        <f>ROUND(D23*(1+(E23/100)),2)</f>
        <v/>
      </c>
      <c r="G23" t="n">
        <v>15</v>
      </c>
      <c r="H23" t="n">
        <v>5</v>
      </c>
    </row>
    <row r="24">
      <c r="A24" t="n">
        <v>23</v>
      </c>
      <c r="B24" t="inlineStr">
        <is>
          <t>Produto</t>
        </is>
      </c>
      <c r="C24" s="121" t="inlineStr">
        <is>
          <t>Chuteira society alta performance azul tam. 38</t>
        </is>
      </c>
      <c r="D24" s="109" t="n">
        <v>197.32</v>
      </c>
      <c r="E24" s="123" t="n">
        <v>50</v>
      </c>
      <c r="F24" s="109">
        <f>ROUND(D24*(1+(E24/100)),2)</f>
        <v/>
      </c>
      <c r="G24" t="n">
        <v>15</v>
      </c>
      <c r="H24" t="n">
        <v>5</v>
      </c>
    </row>
    <row r="25">
      <c r="A25" t="n">
        <v>24</v>
      </c>
      <c r="B25" t="inlineStr">
        <is>
          <t>Produto</t>
        </is>
      </c>
      <c r="C25" s="121" t="inlineStr">
        <is>
          <t>Capacete de ciclismo premium preto</t>
        </is>
      </c>
      <c r="D25" s="109" t="n">
        <v>260.19</v>
      </c>
      <c r="E25" s="123" t="n">
        <v>50</v>
      </c>
      <c r="F25" s="109">
        <f>ROUND(D25*(1+(E25/100)),2)</f>
        <v/>
      </c>
      <c r="G25" t="n">
        <v>15</v>
      </c>
      <c r="H25" t="n">
        <v>5</v>
      </c>
    </row>
    <row r="26">
      <c r="A26" t="n">
        <v>25</v>
      </c>
      <c r="B26" t="inlineStr">
        <is>
          <t>Produto</t>
        </is>
      </c>
      <c r="C26" s="121" t="inlineStr">
        <is>
          <t>Tênis para quadra premium branco tam. M</t>
        </is>
      </c>
      <c r="D26" s="109" t="n">
        <v>195.93</v>
      </c>
      <c r="E26" s="123" t="n">
        <v>50</v>
      </c>
      <c r="F26" s="109">
        <f>ROUND(D26*(1+(E26/100)),2)</f>
        <v/>
      </c>
      <c r="G26" t="n">
        <v>15</v>
      </c>
      <c r="H26" t="n">
        <v>5</v>
      </c>
    </row>
    <row r="27">
      <c r="A27" t="n">
        <v>26</v>
      </c>
      <c r="B27" t="inlineStr">
        <is>
          <t>Produto</t>
        </is>
      </c>
      <c r="C27" s="121" t="inlineStr">
        <is>
          <t>Camiseta esportiva adulto cinza tam. 42</t>
        </is>
      </c>
      <c r="D27" s="109" t="n">
        <v>95.66</v>
      </c>
      <c r="E27" s="123" t="n">
        <v>50</v>
      </c>
      <c r="F27" s="109">
        <f>ROUND(D27*(1+(E27/100)),2)</f>
        <v/>
      </c>
      <c r="G27" t="n">
        <v>15</v>
      </c>
      <c r="H27" t="n">
        <v>5</v>
      </c>
    </row>
    <row r="28">
      <c r="A28" t="n">
        <v>27</v>
      </c>
      <c r="B28" t="inlineStr">
        <is>
          <t>Produto</t>
        </is>
      </c>
      <c r="C28" s="121" t="inlineStr">
        <is>
          <t>Relógio esportivo iniciante verde</t>
        </is>
      </c>
      <c r="D28" s="109" t="n">
        <v>280.03</v>
      </c>
      <c r="E28" s="123" t="n">
        <v>50</v>
      </c>
      <c r="F28" s="109">
        <f>ROUND(D28*(1+(E28/100)),2)</f>
        <v/>
      </c>
      <c r="G28" t="n">
        <v>15</v>
      </c>
      <c r="H28" t="n">
        <v>5</v>
      </c>
    </row>
    <row r="29">
      <c r="A29" t="n">
        <v>28</v>
      </c>
      <c r="B29" t="inlineStr">
        <is>
          <t>Produto</t>
        </is>
      </c>
      <c r="C29" s="121" t="inlineStr">
        <is>
          <t>Step de ginástica ventilado preto</t>
        </is>
      </c>
      <c r="D29" s="109" t="n">
        <v>203.69</v>
      </c>
      <c r="E29" s="123" t="n">
        <v>50</v>
      </c>
      <c r="F29" s="109">
        <f>ROUND(D29*(1+(E29/100)),2)</f>
        <v/>
      </c>
      <c r="G29" t="n">
        <v>15</v>
      </c>
      <c r="H29" t="n">
        <v>5</v>
      </c>
    </row>
    <row r="30">
      <c r="A30" t="n">
        <v>29</v>
      </c>
      <c r="B30" t="inlineStr">
        <is>
          <t>Produto</t>
        </is>
      </c>
      <c r="C30" s="121" t="inlineStr">
        <is>
          <t>Óculos esportivos treino branco</t>
        </is>
      </c>
      <c r="D30" s="109" t="n">
        <v>371.92</v>
      </c>
      <c r="E30" s="123" t="n">
        <v>50</v>
      </c>
      <c r="F30" s="109">
        <f>ROUND(D30*(1+(E30/100)),2)</f>
        <v/>
      </c>
      <c r="G30" t="n">
        <v>15</v>
      </c>
      <c r="H30" t="n">
        <v>5</v>
      </c>
    </row>
    <row r="31">
      <c r="A31" t="n">
        <v>30</v>
      </c>
      <c r="B31" t="inlineStr">
        <is>
          <t>Produto</t>
        </is>
      </c>
      <c r="C31" s="121" t="inlineStr">
        <is>
          <t>Coqueteleira juvenil verde</t>
        </is>
      </c>
      <c r="D31" s="109" t="n">
        <v>48.82</v>
      </c>
      <c r="E31" s="123" t="n">
        <v>50</v>
      </c>
      <c r="F31" s="109">
        <f>ROUND(D31*(1+(E31/100)),2)</f>
        <v/>
      </c>
      <c r="G31" t="n">
        <v>15</v>
      </c>
      <c r="H31" t="n">
        <v>5</v>
      </c>
    </row>
    <row r="32">
      <c r="A32" t="n">
        <v>31</v>
      </c>
      <c r="B32" t="inlineStr">
        <is>
          <t>Produto</t>
        </is>
      </c>
      <c r="C32" s="121" t="inlineStr">
        <is>
          <t>Raquete de badminton ergonômico azul</t>
        </is>
      </c>
      <c r="D32" s="109" t="n">
        <v>235.31</v>
      </c>
      <c r="E32" s="123" t="n">
        <v>50</v>
      </c>
      <c r="F32" s="109">
        <f>ROUND(D32*(1+(E32/100)),2)</f>
        <v/>
      </c>
      <c r="G32" t="n">
        <v>15</v>
      </c>
      <c r="H32" t="n">
        <v>5</v>
      </c>
    </row>
    <row r="33">
      <c r="A33" t="n">
        <v>32</v>
      </c>
      <c r="B33" t="inlineStr">
        <is>
          <t>Produto</t>
        </is>
      </c>
      <c r="C33" s="121" t="inlineStr">
        <is>
          <t>Caneleira de futebol recreativo rosa</t>
        </is>
      </c>
      <c r="D33" s="109" t="n">
        <v>85.79000000000001</v>
      </c>
      <c r="E33" s="123" t="n">
        <v>50</v>
      </c>
      <c r="F33" s="109">
        <f>ROUND(D33*(1+(E33/100)),2)</f>
        <v/>
      </c>
      <c r="G33" t="n">
        <v>15</v>
      </c>
      <c r="H33" t="n">
        <v>5</v>
      </c>
    </row>
    <row r="34">
      <c r="A34" t="n">
        <v>33</v>
      </c>
      <c r="B34" t="inlineStr">
        <is>
          <t>Produto</t>
        </is>
      </c>
      <c r="C34" s="121" t="inlineStr">
        <is>
          <t>Camiseta esportiva resistente laranja tam. GG</t>
        </is>
      </c>
      <c r="D34" s="109" t="n">
        <v>112.69</v>
      </c>
      <c r="E34" s="123" t="n">
        <v>50</v>
      </c>
      <c r="F34" s="109">
        <f>ROUND(D34*(1+(E34/100)),2)</f>
        <v/>
      </c>
      <c r="G34" t="n">
        <v>15</v>
      </c>
      <c r="H34" t="n">
        <v>5</v>
      </c>
    </row>
    <row r="35">
      <c r="A35" t="n">
        <v>34</v>
      </c>
      <c r="B35" t="inlineStr">
        <is>
          <t>Produto</t>
        </is>
      </c>
      <c r="C35" s="121" t="inlineStr">
        <is>
          <t>Step de ginástica iniciante laranja</t>
        </is>
      </c>
      <c r="D35" s="109" t="n">
        <v>298.78</v>
      </c>
      <c r="E35" s="123" t="n">
        <v>50</v>
      </c>
      <c r="F35" s="109">
        <f>ROUND(D35*(1+(E35/100)),2)</f>
        <v/>
      </c>
      <c r="G35" t="n">
        <v>15</v>
      </c>
      <c r="H35" t="n">
        <v>5</v>
      </c>
    </row>
    <row r="36">
      <c r="A36" t="n">
        <v>35</v>
      </c>
      <c r="B36" t="inlineStr">
        <is>
          <t>Produto</t>
        </is>
      </c>
      <c r="C36" s="121" t="inlineStr">
        <is>
          <t>Óculos de natação com ajuste rosa</t>
        </is>
      </c>
      <c r="D36" s="109" t="n">
        <v>28.64</v>
      </c>
      <c r="E36" s="123" t="n">
        <v>50</v>
      </c>
      <c r="F36" s="109">
        <f>ROUND(D36*(1+(E36/100)),2)</f>
        <v/>
      </c>
      <c r="G36" t="n">
        <v>15</v>
      </c>
      <c r="H36" t="n">
        <v>5</v>
      </c>
    </row>
    <row r="37">
      <c r="A37" t="n">
        <v>36</v>
      </c>
      <c r="B37" t="inlineStr">
        <is>
          <t>Produto</t>
        </is>
      </c>
      <c r="C37" s="121" t="inlineStr">
        <is>
          <t>Jaqueta esportiva modelo básico preto tam. 44</t>
        </is>
      </c>
      <c r="D37" s="109" t="n">
        <v>190.21</v>
      </c>
      <c r="E37" s="123" t="n">
        <v>50</v>
      </c>
      <c r="F37" s="109">
        <f>ROUND(D37*(1+(E37/100)),2)</f>
        <v/>
      </c>
      <c r="G37" t="n">
        <v>15</v>
      </c>
      <c r="H37" t="n">
        <v>5</v>
      </c>
    </row>
    <row r="38">
      <c r="A38" t="n">
        <v>37</v>
      </c>
      <c r="B38" t="inlineStr">
        <is>
          <t>Produto</t>
        </is>
      </c>
      <c r="C38" s="121" t="inlineStr">
        <is>
          <t>Luva de boxe adulto azul tam. P</t>
        </is>
      </c>
      <c r="D38" s="109" t="n">
        <v>101</v>
      </c>
      <c r="E38" s="123" t="n">
        <v>50</v>
      </c>
      <c r="F38" s="109">
        <f>ROUND(D38*(1+(E38/100)),2)</f>
        <v/>
      </c>
      <c r="G38" t="n">
        <v>15</v>
      </c>
      <c r="H38" t="n">
        <v>5</v>
      </c>
    </row>
    <row r="39">
      <c r="A39" t="n">
        <v>38</v>
      </c>
      <c r="B39" t="inlineStr">
        <is>
          <t>Produto</t>
        </is>
      </c>
      <c r="C39" s="121" t="inlineStr">
        <is>
          <t>Bola de vôlei profissional verde</t>
        </is>
      </c>
      <c r="D39" s="109" t="n">
        <v>47.33</v>
      </c>
      <c r="E39" s="123" t="n">
        <v>50</v>
      </c>
      <c r="F39" s="109">
        <f>ROUND(D39*(1+(E39/100)),2)</f>
        <v/>
      </c>
      <c r="G39" t="n">
        <v>15</v>
      </c>
      <c r="H39" t="n">
        <v>5</v>
      </c>
    </row>
    <row r="40">
      <c r="A40" t="n">
        <v>39</v>
      </c>
      <c r="B40" t="inlineStr">
        <is>
          <t>Produto</t>
        </is>
      </c>
      <c r="C40" s="121" t="inlineStr">
        <is>
          <t>Óculos esportivos ventilado vermelho</t>
        </is>
      </c>
      <c r="D40" s="109" t="n">
        <v>310.39</v>
      </c>
      <c r="E40" s="123" t="n">
        <v>50</v>
      </c>
      <c r="F40" s="109">
        <f>ROUND(D40*(1+(E40/100)),2)</f>
        <v/>
      </c>
      <c r="G40" t="n">
        <v>15</v>
      </c>
      <c r="H40" t="n">
        <v>5</v>
      </c>
    </row>
    <row r="41">
      <c r="A41" t="n">
        <v>40</v>
      </c>
      <c r="B41" t="inlineStr">
        <is>
          <t>Produto</t>
        </is>
      </c>
      <c r="C41" s="121" t="inlineStr">
        <is>
          <t>Protetor bucal ergonômico verde</t>
        </is>
      </c>
      <c r="D41" s="109" t="n">
        <v>48.95</v>
      </c>
      <c r="E41" s="123" t="n">
        <v>50</v>
      </c>
      <c r="F41" s="109">
        <f>ROUND(D41*(1+(E41/100)),2)</f>
        <v/>
      </c>
      <c r="G41" t="n">
        <v>15</v>
      </c>
      <c r="H41" t="n">
        <v>5</v>
      </c>
    </row>
    <row r="42">
      <c r="A42" t="n">
        <v>41</v>
      </c>
      <c r="B42" t="inlineStr">
        <is>
          <t>Produto</t>
        </is>
      </c>
      <c r="C42" s="121" t="inlineStr">
        <is>
          <t>Corda de pular treino azul</t>
        </is>
      </c>
      <c r="D42" s="109" t="n">
        <v>62.32</v>
      </c>
      <c r="E42" s="123" t="n">
        <v>50</v>
      </c>
      <c r="F42" s="109">
        <f>ROUND(D42*(1+(E42/100)),2)</f>
        <v/>
      </c>
      <c r="G42" t="n">
        <v>15</v>
      </c>
      <c r="H42" t="n">
        <v>5</v>
      </c>
    </row>
    <row r="43">
      <c r="A43" t="n">
        <v>42</v>
      </c>
      <c r="B43" t="inlineStr">
        <is>
          <t>Produto</t>
        </is>
      </c>
      <c r="C43" s="121" t="inlineStr">
        <is>
          <t>Colchonete de exercício alta performance rosa</t>
        </is>
      </c>
      <c r="D43" s="109" t="n">
        <v>106.87</v>
      </c>
      <c r="E43" s="123" t="n">
        <v>50</v>
      </c>
      <c r="F43" s="109">
        <f>ROUND(D43*(1+(E43/100)),2)</f>
        <v/>
      </c>
      <c r="G43" t="n">
        <v>15</v>
      </c>
      <c r="H43" t="n">
        <v>5</v>
      </c>
    </row>
    <row r="44">
      <c r="A44" t="n">
        <v>43</v>
      </c>
      <c r="B44" t="inlineStr">
        <is>
          <t>Produto</t>
        </is>
      </c>
      <c r="C44" s="121" t="inlineStr">
        <is>
          <t>Raquete de tênis juvenil laranja tam. 36</t>
        </is>
      </c>
      <c r="D44" s="109" t="n">
        <v>443.03</v>
      </c>
      <c r="E44" s="123" t="n">
        <v>50</v>
      </c>
      <c r="F44" s="109">
        <f>ROUND(D44*(1+(E44/100)),2)</f>
        <v/>
      </c>
      <c r="G44" t="n">
        <v>15</v>
      </c>
      <c r="H44" t="n">
        <v>5</v>
      </c>
    </row>
    <row r="45">
      <c r="A45" t="n">
        <v>44</v>
      </c>
      <c r="B45" t="inlineStr">
        <is>
          <t>Produto</t>
        </is>
      </c>
      <c r="C45" s="121" t="inlineStr">
        <is>
          <t>Tênis de corrida reforçado verde tam. 42</t>
        </is>
      </c>
      <c r="D45" s="109" t="n">
        <v>318.73</v>
      </c>
      <c r="E45" s="123" t="n">
        <v>50</v>
      </c>
      <c r="F45" s="109">
        <f>ROUND(D45*(1+(E45/100)),2)</f>
        <v/>
      </c>
      <c r="G45" t="n">
        <v>15</v>
      </c>
      <c r="H45" t="n">
        <v>5</v>
      </c>
    </row>
    <row r="46">
      <c r="A46" t="n">
        <v>45</v>
      </c>
      <c r="B46" t="inlineStr">
        <is>
          <t>Produto</t>
        </is>
      </c>
      <c r="C46" s="121" t="inlineStr">
        <is>
          <t>Bicicleta ergométrica premium rosa</t>
        </is>
      </c>
      <c r="D46" s="109" t="n">
        <v>1019.43</v>
      </c>
      <c r="E46" s="123" t="n">
        <v>50</v>
      </c>
      <c r="F46" s="109">
        <f>ROUND(D46*(1+(E46/100)),2)</f>
        <v/>
      </c>
      <c r="G46" t="n">
        <v>15</v>
      </c>
      <c r="H46" t="n">
        <v>5</v>
      </c>
    </row>
    <row r="47">
      <c r="A47" t="n">
        <v>46</v>
      </c>
      <c r="B47" t="inlineStr">
        <is>
          <t>Produto</t>
        </is>
      </c>
      <c r="C47" s="121" t="inlineStr">
        <is>
          <t>Raquete de beach tennis ventilado azul</t>
        </is>
      </c>
      <c r="D47" s="109" t="n">
        <v>113.45</v>
      </c>
      <c r="E47" s="123" t="n">
        <v>50</v>
      </c>
      <c r="F47" s="109">
        <f>ROUND(D47*(1+(E47/100)),2)</f>
        <v/>
      </c>
      <c r="G47" t="n">
        <v>15</v>
      </c>
      <c r="H47" t="n">
        <v>5</v>
      </c>
    </row>
    <row r="48">
      <c r="A48" t="n">
        <v>47</v>
      </c>
      <c r="B48" t="inlineStr">
        <is>
          <t>Produto</t>
        </is>
      </c>
      <c r="C48" s="121" t="inlineStr">
        <is>
          <t>Caneleira de futebol profissional verde</t>
        </is>
      </c>
      <c r="D48" s="109" t="n">
        <v>24.91</v>
      </c>
      <c r="E48" s="123" t="n">
        <v>50</v>
      </c>
      <c r="F48" s="109">
        <f>ROUND(D48*(1+(E48/100)),2)</f>
        <v/>
      </c>
      <c r="G48" t="n">
        <v>15</v>
      </c>
      <c r="H48" t="n">
        <v>5</v>
      </c>
    </row>
    <row r="49">
      <c r="A49" t="n">
        <v>48</v>
      </c>
      <c r="B49" t="inlineStr">
        <is>
          <t>Produto</t>
        </is>
      </c>
      <c r="C49" s="121" t="inlineStr">
        <is>
          <t>Óculos esportivos reforçado laranja</t>
        </is>
      </c>
      <c r="D49" s="109" t="n">
        <v>381.31</v>
      </c>
      <c r="E49" s="123" t="n">
        <v>50</v>
      </c>
      <c r="F49" s="109">
        <f>ROUND(D49*(1+(E49/100)),2)</f>
        <v/>
      </c>
      <c r="G49" t="n">
        <v>15</v>
      </c>
      <c r="H49" t="n">
        <v>5</v>
      </c>
    </row>
    <row r="50">
      <c r="A50" t="n">
        <v>49</v>
      </c>
      <c r="B50" t="inlineStr">
        <is>
          <t>Produto</t>
        </is>
      </c>
      <c r="C50" s="121" t="inlineStr">
        <is>
          <t>Camiseta esportiva adulto laranja tam. 34</t>
        </is>
      </c>
      <c r="D50" s="109" t="n">
        <v>112.45</v>
      </c>
      <c r="E50" s="123" t="n">
        <v>50</v>
      </c>
      <c r="F50" s="109">
        <f>ROUND(D50*(1+(E50/100)),2)</f>
        <v/>
      </c>
      <c r="G50" t="n">
        <v>15</v>
      </c>
      <c r="H50" t="n">
        <v>5</v>
      </c>
    </row>
    <row r="51">
      <c r="A51" t="n">
        <v>50</v>
      </c>
      <c r="B51" t="inlineStr">
        <is>
          <t>Produto</t>
        </is>
      </c>
      <c r="C51" s="121" t="inlineStr">
        <is>
          <t>Capacete de ciclismo alta performance rosa</t>
        </is>
      </c>
      <c r="D51" s="109" t="n">
        <v>96.23</v>
      </c>
      <c r="E51" s="123" t="n">
        <v>50</v>
      </c>
      <c r="F51" s="109">
        <f>ROUND(D51*(1+(E51/100)),2)</f>
        <v/>
      </c>
      <c r="G51" t="n">
        <v>15</v>
      </c>
      <c r="H51" t="n">
        <v>5</v>
      </c>
    </row>
    <row r="52">
      <c r="A52" t="n">
        <v>51</v>
      </c>
      <c r="B52" t="inlineStr">
        <is>
          <t>Produto</t>
        </is>
      </c>
      <c r="C52" s="121" t="inlineStr">
        <is>
          <t>Garrafa squeeze juvenil preto</t>
        </is>
      </c>
      <c r="D52" s="109" t="n">
        <v>47.09</v>
      </c>
      <c r="E52" s="123" t="n">
        <v>50</v>
      </c>
      <c r="F52" s="109">
        <f>ROUND(D52*(1+(E52/100)),2)</f>
        <v/>
      </c>
      <c r="G52" t="n">
        <v>15</v>
      </c>
      <c r="H52" t="n">
        <v>5</v>
      </c>
    </row>
    <row r="53">
      <c r="A53" t="n">
        <v>52</v>
      </c>
      <c r="B53" t="inlineStr">
        <is>
          <t>Produto</t>
        </is>
      </c>
      <c r="C53" s="121" t="inlineStr">
        <is>
          <t>Raquete de tênis unissex rosa tam. 42</t>
        </is>
      </c>
      <c r="D53" s="109" t="n">
        <v>500.76</v>
      </c>
      <c r="E53" s="123" t="n">
        <v>50</v>
      </c>
      <c r="F53" s="109">
        <f>ROUND(D53*(1+(E53/100)),2)</f>
        <v/>
      </c>
      <c r="G53" t="n">
        <v>15</v>
      </c>
      <c r="H53" t="n">
        <v>5</v>
      </c>
    </row>
    <row r="54">
      <c r="A54" t="n">
        <v>53</v>
      </c>
      <c r="B54" t="inlineStr">
        <is>
          <t>Produto</t>
        </is>
      </c>
      <c r="C54" s="121" t="inlineStr">
        <is>
          <t>Monitor cardíaco juvenil azul</t>
        </is>
      </c>
      <c r="D54" s="109" t="n">
        <v>518.77</v>
      </c>
      <c r="E54" s="123" t="n">
        <v>50</v>
      </c>
      <c r="F54" s="109">
        <f>ROUND(D54*(1+(E54/100)),2)</f>
        <v/>
      </c>
      <c r="G54" t="n">
        <v>15</v>
      </c>
      <c r="H54" t="n">
        <v>5</v>
      </c>
    </row>
    <row r="55">
      <c r="A55" t="n">
        <v>54</v>
      </c>
      <c r="B55" t="inlineStr">
        <is>
          <t>Produto</t>
        </is>
      </c>
      <c r="C55" s="121" t="inlineStr">
        <is>
          <t>Raquete de beach tennis profissional verde</t>
        </is>
      </c>
      <c r="D55" s="109" t="n">
        <v>361.39</v>
      </c>
      <c r="E55" s="123" t="n">
        <v>50</v>
      </c>
      <c r="F55" s="109">
        <f>ROUND(D55*(1+(E55/100)),2)</f>
        <v/>
      </c>
      <c r="G55" t="n">
        <v>15</v>
      </c>
      <c r="H55" t="n">
        <v>5</v>
      </c>
    </row>
    <row r="56">
      <c r="A56" t="n">
        <v>55</v>
      </c>
      <c r="B56" t="inlineStr">
        <is>
          <t>Produto</t>
        </is>
      </c>
      <c r="C56" s="121" t="inlineStr">
        <is>
          <t>Protetor bucal unissex preto</t>
        </is>
      </c>
      <c r="D56" s="109" t="n">
        <v>40.53</v>
      </c>
      <c r="E56" s="123" t="n">
        <v>50</v>
      </c>
      <c r="F56" s="109">
        <f>ROUND(D56*(1+(E56/100)),2)</f>
        <v/>
      </c>
      <c r="G56" t="n">
        <v>15</v>
      </c>
      <c r="H56" t="n">
        <v>5</v>
      </c>
    </row>
    <row r="57">
      <c r="A57" t="n">
        <v>56</v>
      </c>
      <c r="B57" t="inlineStr">
        <is>
          <t>Produto</t>
        </is>
      </c>
      <c r="C57" s="121" t="inlineStr">
        <is>
          <t>Corda de pular unissex branco</t>
        </is>
      </c>
      <c r="D57" s="109" t="n">
        <v>84.65000000000001</v>
      </c>
      <c r="E57" s="123" t="n">
        <v>50</v>
      </c>
      <c r="F57" s="109">
        <f>ROUND(D57*(1+(E57/100)),2)</f>
        <v/>
      </c>
      <c r="G57" t="n">
        <v>15</v>
      </c>
      <c r="H57" t="n">
        <v>5</v>
      </c>
    </row>
    <row r="58">
      <c r="A58" t="n">
        <v>57</v>
      </c>
      <c r="B58" t="inlineStr">
        <is>
          <t>Produto</t>
        </is>
      </c>
      <c r="C58" s="121" t="inlineStr">
        <is>
          <t>Calça legging compacto cinza tam. 38</t>
        </is>
      </c>
      <c r="D58" s="109" t="n">
        <v>49.57</v>
      </c>
      <c r="E58" s="123" t="n">
        <v>50</v>
      </c>
      <c r="F58" s="109">
        <f>ROUND(D58*(1+(E58/100)),2)</f>
        <v/>
      </c>
      <c r="G58" t="n">
        <v>15</v>
      </c>
      <c r="H58" t="n">
        <v>5</v>
      </c>
    </row>
    <row r="59">
      <c r="A59" t="n">
        <v>58</v>
      </c>
      <c r="B59" t="inlineStr">
        <is>
          <t>Produto</t>
        </is>
      </c>
      <c r="C59" s="121" t="inlineStr">
        <is>
          <t>Óculos de natação com ajuste branco</t>
        </is>
      </c>
      <c r="D59" s="109" t="n">
        <v>140.14</v>
      </c>
      <c r="E59" s="123" t="n">
        <v>50</v>
      </c>
      <c r="F59" s="109">
        <f>ROUND(D59*(1+(E59/100)),2)</f>
        <v/>
      </c>
      <c r="G59" t="n">
        <v>15</v>
      </c>
      <c r="H59" t="n">
        <v>5</v>
      </c>
    </row>
    <row r="60">
      <c r="A60" t="n">
        <v>59</v>
      </c>
      <c r="B60" t="inlineStr">
        <is>
          <t>Produto</t>
        </is>
      </c>
      <c r="C60" s="121" t="inlineStr">
        <is>
          <t>Raquete de beach tennis com ajuste azul</t>
        </is>
      </c>
      <c r="D60" s="109" t="n">
        <v>129.37</v>
      </c>
      <c r="E60" s="123" t="n">
        <v>50</v>
      </c>
      <c r="F60" s="109">
        <f>ROUND(D60*(1+(E60/100)),2)</f>
        <v/>
      </c>
      <c r="G60" t="n">
        <v>15</v>
      </c>
      <c r="H60" t="n">
        <v>5</v>
      </c>
    </row>
    <row r="61">
      <c r="A61" t="n">
        <v>60</v>
      </c>
      <c r="B61" t="inlineStr">
        <is>
          <t>Produto</t>
        </is>
      </c>
      <c r="C61" s="121" t="inlineStr">
        <is>
          <t>Calça legging premium vermelho tam. 36</t>
        </is>
      </c>
      <c r="D61" s="109" t="n">
        <v>162.07</v>
      </c>
      <c r="E61" s="123" t="n">
        <v>50</v>
      </c>
      <c r="F61" s="109">
        <f>ROUND(D61*(1+(E61/100)),2)</f>
        <v/>
      </c>
      <c r="G61" t="n">
        <v>15</v>
      </c>
      <c r="H61" t="n">
        <v>5</v>
      </c>
    </row>
    <row r="62">
      <c r="A62" t="n">
        <v>61</v>
      </c>
      <c r="B62" t="inlineStr">
        <is>
          <t>Produto</t>
        </is>
      </c>
      <c r="C62" s="121" t="inlineStr">
        <is>
          <t>Meias esportivas iniciante vermelho tam. 40</t>
        </is>
      </c>
      <c r="D62" s="109" t="n">
        <v>35.95</v>
      </c>
      <c r="E62" s="123" t="n">
        <v>50</v>
      </c>
      <c r="F62" s="109">
        <f>ROUND(D62*(1+(E62/100)),2)</f>
        <v/>
      </c>
      <c r="G62" t="n">
        <v>15</v>
      </c>
      <c r="H62" t="n">
        <v>5</v>
      </c>
    </row>
    <row r="63">
      <c r="A63" t="n">
        <v>62</v>
      </c>
      <c r="B63" t="inlineStr">
        <is>
          <t>Produto</t>
        </is>
      </c>
      <c r="C63" s="121" t="inlineStr">
        <is>
          <t>Patins versão 2026 preto</t>
        </is>
      </c>
      <c r="D63" s="109" t="n">
        <v>560.73</v>
      </c>
      <c r="E63" s="123" t="n">
        <v>50</v>
      </c>
      <c r="F63" s="109">
        <f>ROUND(D63*(1+(E63/100)),2)</f>
        <v/>
      </c>
      <c r="G63" t="n">
        <v>15</v>
      </c>
      <c r="H63" t="n">
        <v>5</v>
      </c>
    </row>
    <row r="64">
      <c r="A64" t="n">
        <v>63</v>
      </c>
      <c r="B64" t="inlineStr">
        <is>
          <t>Produto</t>
        </is>
      </c>
      <c r="C64" s="121" t="inlineStr">
        <is>
          <t>Luva de goleiro treino vermelho tam. 34</t>
        </is>
      </c>
      <c r="D64" s="109" t="n">
        <v>48.87</v>
      </c>
      <c r="E64" s="123" t="n">
        <v>50</v>
      </c>
      <c r="F64" s="109">
        <f>ROUND(D64*(1+(E64/100)),2)</f>
        <v/>
      </c>
      <c r="G64" t="n">
        <v>15</v>
      </c>
      <c r="H64" t="n">
        <v>5</v>
      </c>
    </row>
    <row r="65">
      <c r="A65" t="n">
        <v>64</v>
      </c>
      <c r="B65" t="inlineStr">
        <is>
          <t>Produto</t>
        </is>
      </c>
      <c r="C65" s="121" t="inlineStr">
        <is>
          <t>Tênis de corrida recreativo cinza tam. 34</t>
        </is>
      </c>
      <c r="D65" s="109" t="n">
        <v>398.41</v>
      </c>
      <c r="E65" s="123" t="n">
        <v>50</v>
      </c>
      <c r="F65" s="109">
        <f>ROUND(D65*(1+(E65/100)),2)</f>
        <v/>
      </c>
      <c r="G65" t="n">
        <v>15</v>
      </c>
      <c r="H65" t="n">
        <v>5</v>
      </c>
    </row>
    <row r="66">
      <c r="A66" t="n">
        <v>65</v>
      </c>
      <c r="B66" t="inlineStr">
        <is>
          <t>Produto</t>
        </is>
      </c>
      <c r="C66" s="121" t="inlineStr">
        <is>
          <t>Patins reforçado cinza</t>
        </is>
      </c>
      <c r="D66" s="109" t="n">
        <v>453.51</v>
      </c>
      <c r="E66" s="123" t="n">
        <v>50</v>
      </c>
      <c r="F66" s="109">
        <f>ROUND(D66*(1+(E66/100)),2)</f>
        <v/>
      </c>
      <c r="G66" t="n">
        <v>15</v>
      </c>
      <c r="H66" t="n">
        <v>5</v>
      </c>
    </row>
    <row r="67">
      <c r="A67" t="n">
        <v>66</v>
      </c>
      <c r="B67" t="inlineStr">
        <is>
          <t>Produto</t>
        </is>
      </c>
      <c r="C67" s="121" t="inlineStr">
        <is>
          <t>Mochila esportiva profissional laranja</t>
        </is>
      </c>
      <c r="D67" s="109" t="n">
        <v>205.13</v>
      </c>
      <c r="E67" s="123" t="n">
        <v>50</v>
      </c>
      <c r="F67" s="109">
        <f>ROUND(D67*(1+(E67/100)),2)</f>
        <v/>
      </c>
      <c r="G67" t="n">
        <v>15</v>
      </c>
      <c r="H67" t="n">
        <v>5</v>
      </c>
    </row>
    <row r="68">
      <c r="A68" t="n">
        <v>67</v>
      </c>
      <c r="B68" t="inlineStr">
        <is>
          <t>Produto</t>
        </is>
      </c>
      <c r="C68" s="121" t="inlineStr">
        <is>
          <t>Bola de vôlei modelo básico vermelho</t>
        </is>
      </c>
      <c r="D68" s="109" t="n">
        <v>77.45999999999999</v>
      </c>
      <c r="E68" s="123" t="n">
        <v>50</v>
      </c>
      <c r="F68" s="109">
        <f>ROUND(D68*(1+(E68/100)),2)</f>
        <v/>
      </c>
      <c r="G68" t="n">
        <v>15</v>
      </c>
      <c r="H68" t="n">
        <v>5</v>
      </c>
    </row>
    <row r="69">
      <c r="A69" t="n">
        <v>68</v>
      </c>
      <c r="B69" t="inlineStr">
        <is>
          <t>Produto</t>
        </is>
      </c>
      <c r="C69" s="121" t="inlineStr">
        <is>
          <t>Mochila esportiva com ajuste laranja</t>
        </is>
      </c>
      <c r="D69" s="109" t="n">
        <v>150.37</v>
      </c>
      <c r="E69" s="123" t="n">
        <v>50</v>
      </c>
      <c r="F69" s="109">
        <f>ROUND(D69*(1+(E69/100)),2)</f>
        <v/>
      </c>
      <c r="G69" t="n">
        <v>15</v>
      </c>
      <c r="H69" t="n">
        <v>5</v>
      </c>
    </row>
    <row r="70">
      <c r="A70" t="n">
        <v>69</v>
      </c>
      <c r="B70" t="inlineStr">
        <is>
          <t>Produto</t>
        </is>
      </c>
      <c r="C70" s="121" t="inlineStr">
        <is>
          <t>Tênis para quadra recreativo preto tam. 36</t>
        </is>
      </c>
      <c r="D70" s="109" t="n">
        <v>312.11</v>
      </c>
      <c r="E70" s="123" t="n">
        <v>50</v>
      </c>
      <c r="F70" s="109">
        <f>ROUND(D70*(1+(E70/100)),2)</f>
        <v/>
      </c>
      <c r="G70" t="n">
        <v>15</v>
      </c>
      <c r="H70" t="n">
        <v>5</v>
      </c>
    </row>
    <row r="71">
      <c r="A71" t="n">
        <v>70</v>
      </c>
      <c r="B71" t="inlineStr">
        <is>
          <t>Produto</t>
        </is>
      </c>
      <c r="C71" s="121" t="inlineStr">
        <is>
          <t>Chuteira society recreativo preto tam. 34</t>
        </is>
      </c>
      <c r="D71" s="109" t="n">
        <v>191.21</v>
      </c>
      <c r="E71" s="123" t="n">
        <v>50</v>
      </c>
      <c r="F71" s="109">
        <f>ROUND(D71*(1+(E71/100)),2)</f>
        <v/>
      </c>
      <c r="G71" t="n">
        <v>15</v>
      </c>
      <c r="H71" t="n">
        <v>5</v>
      </c>
    </row>
    <row r="72">
      <c r="A72" t="n">
        <v>71</v>
      </c>
      <c r="B72" t="inlineStr">
        <is>
          <t>Produto</t>
        </is>
      </c>
      <c r="C72" s="121" t="inlineStr">
        <is>
          <t>Bola de vôlei reforçado verde</t>
        </is>
      </c>
      <c r="D72" s="109" t="n">
        <v>79.95999999999999</v>
      </c>
      <c r="E72" s="123" t="n">
        <v>50</v>
      </c>
      <c r="F72" s="109">
        <f>ROUND(D72*(1+(E72/100)),2)</f>
        <v/>
      </c>
      <c r="G72" t="n">
        <v>15</v>
      </c>
      <c r="H72" t="n">
        <v>5</v>
      </c>
    </row>
    <row r="73">
      <c r="A73" t="n">
        <v>72</v>
      </c>
      <c r="B73" t="inlineStr">
        <is>
          <t>Produto</t>
        </is>
      </c>
      <c r="C73" s="121" t="inlineStr">
        <is>
          <t>Colchonete de exercício alta performance vermelho</t>
        </is>
      </c>
      <c r="D73" s="109" t="n">
        <v>112.81</v>
      </c>
      <c r="E73" s="123" t="n">
        <v>50</v>
      </c>
      <c r="F73" s="109">
        <f>ROUND(D73*(1+(E73/100)),2)</f>
        <v/>
      </c>
      <c r="G73" t="n">
        <v>15</v>
      </c>
      <c r="H73" t="n">
        <v>5</v>
      </c>
    </row>
    <row r="74">
      <c r="A74" t="n">
        <v>73</v>
      </c>
      <c r="B74" t="inlineStr">
        <is>
          <t>Produto</t>
        </is>
      </c>
      <c r="C74" s="121" t="inlineStr">
        <is>
          <t>Meias esportivas leve laranja tam. P</t>
        </is>
      </c>
      <c r="D74" s="109" t="n">
        <v>12.4</v>
      </c>
      <c r="E74" s="123" t="n">
        <v>50</v>
      </c>
      <c r="F74" s="109">
        <f>ROUND(D74*(1+(E74/100)),2)</f>
        <v/>
      </c>
      <c r="G74" t="n">
        <v>15</v>
      </c>
      <c r="H74" t="n">
        <v>5</v>
      </c>
    </row>
    <row r="75">
      <c r="A75" t="n">
        <v>74</v>
      </c>
      <c r="B75" t="inlineStr">
        <is>
          <t>Produto</t>
        </is>
      </c>
      <c r="C75" s="121" t="inlineStr">
        <is>
          <t>Kettlebell compacto cinza</t>
        </is>
      </c>
      <c r="D75" s="109" t="n">
        <v>63.37</v>
      </c>
      <c r="E75" s="123" t="n">
        <v>50</v>
      </c>
      <c r="F75" s="109">
        <f>ROUND(D75*(1+(E75/100)),2)</f>
        <v/>
      </c>
      <c r="G75" t="n">
        <v>15</v>
      </c>
      <c r="H75" t="n">
        <v>5</v>
      </c>
    </row>
    <row r="76">
      <c r="A76" t="n">
        <v>75</v>
      </c>
      <c r="B76" t="inlineStr">
        <is>
          <t>Produto</t>
        </is>
      </c>
      <c r="C76" s="121" t="inlineStr">
        <is>
          <t>Skate para uso diário preto</t>
        </is>
      </c>
      <c r="D76" s="109" t="n">
        <v>527.8200000000001</v>
      </c>
      <c r="E76" s="123" t="n">
        <v>50</v>
      </c>
      <c r="F76" s="109">
        <f>ROUND(D76*(1+(E76/100)),2)</f>
        <v/>
      </c>
      <c r="G76" t="n">
        <v>15</v>
      </c>
      <c r="H76" t="n">
        <v>5</v>
      </c>
    </row>
    <row r="77">
      <c r="A77" t="n">
        <v>76</v>
      </c>
      <c r="B77" t="inlineStr">
        <is>
          <t>Produto</t>
        </is>
      </c>
      <c r="C77" s="121" t="inlineStr">
        <is>
          <t>Jaqueta esportiva com ajuste branco tam. 34</t>
        </is>
      </c>
      <c r="D77" s="109" t="n">
        <v>255.79</v>
      </c>
      <c r="E77" s="123" t="n">
        <v>50</v>
      </c>
      <c r="F77" s="109">
        <f>ROUND(D77*(1+(E77/100)),2)</f>
        <v/>
      </c>
      <c r="G77" t="n">
        <v>15</v>
      </c>
      <c r="H77" t="n">
        <v>5</v>
      </c>
    </row>
    <row r="78">
      <c r="A78" t="n">
        <v>77</v>
      </c>
      <c r="B78" t="inlineStr">
        <is>
          <t>Produto</t>
        </is>
      </c>
      <c r="C78" s="121" t="inlineStr">
        <is>
          <t>Jaqueta esportiva adulto verde tam. 38</t>
        </is>
      </c>
      <c r="D78" s="109" t="n">
        <v>134.69</v>
      </c>
      <c r="E78" s="123" t="n">
        <v>50</v>
      </c>
      <c r="F78" s="109">
        <f>ROUND(D78*(1+(E78/100)),2)</f>
        <v/>
      </c>
      <c r="G78" t="n">
        <v>15</v>
      </c>
      <c r="H78" t="n">
        <v>5</v>
      </c>
    </row>
    <row r="79">
      <c r="A79" t="n">
        <v>78</v>
      </c>
      <c r="B79" t="inlineStr">
        <is>
          <t>Produto</t>
        </is>
      </c>
      <c r="C79" s="121" t="inlineStr">
        <is>
          <t>Raquete de beach tennis modelo avançado laranja</t>
        </is>
      </c>
      <c r="D79" s="109" t="n">
        <v>554.96</v>
      </c>
      <c r="E79" s="123" t="n">
        <v>50</v>
      </c>
      <c r="F79" s="109">
        <f>ROUND(D79*(1+(E79/100)),2)</f>
        <v/>
      </c>
      <c r="G79" t="n">
        <v>15</v>
      </c>
      <c r="H79" t="n">
        <v>5</v>
      </c>
    </row>
    <row r="80">
      <c r="A80" t="n">
        <v>79</v>
      </c>
      <c r="B80" t="inlineStr">
        <is>
          <t>Produto</t>
        </is>
      </c>
      <c r="C80" s="121" t="inlineStr">
        <is>
          <t>Caneleira de futebol adulto azul</t>
        </is>
      </c>
      <c r="D80" s="109" t="n">
        <v>80.34999999999999</v>
      </c>
      <c r="E80" s="123" t="n">
        <v>50</v>
      </c>
      <c r="F80" s="109">
        <f>ROUND(D80*(1+(E80/100)),2)</f>
        <v/>
      </c>
      <c r="G80" t="n">
        <v>15</v>
      </c>
      <c r="H80" t="n">
        <v>5</v>
      </c>
    </row>
    <row r="81">
      <c r="A81" t="n">
        <v>80</v>
      </c>
      <c r="B81" t="inlineStr">
        <is>
          <t>Produto</t>
        </is>
      </c>
      <c r="C81" s="121" t="inlineStr">
        <is>
          <t>Mochila esportiva unissex cinza</t>
        </is>
      </c>
      <c r="D81" s="109" t="n">
        <v>43.75</v>
      </c>
      <c r="E81" s="123" t="n">
        <v>50</v>
      </c>
      <c r="F81" s="109">
        <f>ROUND(D81*(1+(E81/100)),2)</f>
        <v/>
      </c>
      <c r="G81" t="n">
        <v>15</v>
      </c>
      <c r="H81" t="n">
        <v>5</v>
      </c>
    </row>
    <row r="82">
      <c r="A82" t="n">
        <v>81</v>
      </c>
      <c r="B82" t="inlineStr">
        <is>
          <t>Produto</t>
        </is>
      </c>
      <c r="C82" s="121" t="inlineStr">
        <is>
          <t>Saco de pancadas modelo avançado branco</t>
        </is>
      </c>
      <c r="D82" s="109" t="n">
        <v>407.96</v>
      </c>
      <c r="E82" s="123" t="n">
        <v>50</v>
      </c>
      <c r="F82" s="109">
        <f>ROUND(D82*(1+(E82/100)),2)</f>
        <v/>
      </c>
      <c r="G82" t="n">
        <v>15</v>
      </c>
      <c r="H82" t="n">
        <v>5</v>
      </c>
    </row>
    <row r="83">
      <c r="A83" t="n">
        <v>82</v>
      </c>
      <c r="B83" t="inlineStr">
        <is>
          <t>Produto</t>
        </is>
      </c>
      <c r="C83" s="121" t="inlineStr">
        <is>
          <t>Relógio esportivo para uso diário verde</t>
        </is>
      </c>
      <c r="D83" s="109" t="n">
        <v>426.74</v>
      </c>
      <c r="E83" s="123" t="n">
        <v>50</v>
      </c>
      <c r="F83" s="109">
        <f>ROUND(D83*(1+(E83/100)),2)</f>
        <v/>
      </c>
      <c r="G83" t="n">
        <v>15</v>
      </c>
      <c r="H83" t="n">
        <v>5</v>
      </c>
    </row>
    <row r="84">
      <c r="A84" t="n">
        <v>83</v>
      </c>
      <c r="B84" t="inlineStr">
        <is>
          <t>Produto</t>
        </is>
      </c>
      <c r="C84" s="121" t="inlineStr">
        <is>
          <t>Patins adulto verde</t>
        </is>
      </c>
      <c r="D84" s="109" t="n">
        <v>360.32</v>
      </c>
      <c r="E84" s="123" t="n">
        <v>50</v>
      </c>
      <c r="F84" s="109">
        <f>ROUND(D84*(1+(E84/100)),2)</f>
        <v/>
      </c>
      <c r="G84" t="n">
        <v>15</v>
      </c>
      <c r="H84" t="n">
        <v>5</v>
      </c>
    </row>
    <row r="85">
      <c r="A85" t="n">
        <v>84</v>
      </c>
      <c r="B85" t="inlineStr">
        <is>
          <t>Produto</t>
        </is>
      </c>
      <c r="C85" s="121" t="inlineStr">
        <is>
          <t>Raquete de beach tennis versão 2026 branco</t>
        </is>
      </c>
      <c r="D85" s="109" t="n">
        <v>543.64</v>
      </c>
      <c r="E85" s="123" t="n">
        <v>50</v>
      </c>
      <c r="F85" s="109">
        <f>ROUND(D85*(1+(E85/100)),2)</f>
        <v/>
      </c>
      <c r="G85" t="n">
        <v>15</v>
      </c>
      <c r="H85" t="n">
        <v>5</v>
      </c>
    </row>
    <row r="86">
      <c r="A86" t="n">
        <v>85</v>
      </c>
      <c r="B86" t="inlineStr">
        <is>
          <t>Produto</t>
        </is>
      </c>
      <c r="C86" s="121" t="inlineStr">
        <is>
          <t>Tênis para quadra resistente cinza tam. 38</t>
        </is>
      </c>
      <c r="D86" s="109" t="n">
        <v>209.06</v>
      </c>
      <c r="E86" s="123" t="n">
        <v>50</v>
      </c>
      <c r="F86" s="109">
        <f>ROUND(D86*(1+(E86/100)),2)</f>
        <v/>
      </c>
      <c r="G86" t="n">
        <v>15</v>
      </c>
      <c r="H86" t="n">
        <v>5</v>
      </c>
    </row>
    <row r="87">
      <c r="A87" t="n">
        <v>86</v>
      </c>
      <c r="B87" t="inlineStr">
        <is>
          <t>Produto</t>
        </is>
      </c>
      <c r="C87" s="121" t="inlineStr">
        <is>
          <t>Skate ventilado vermelho</t>
        </is>
      </c>
      <c r="D87" s="109" t="n">
        <v>187.78</v>
      </c>
      <c r="E87" s="123" t="n">
        <v>50</v>
      </c>
      <c r="F87" s="109">
        <f>ROUND(D87*(1+(E87/100)),2)</f>
        <v/>
      </c>
      <c r="G87" t="n">
        <v>15</v>
      </c>
      <c r="H87" t="n">
        <v>5</v>
      </c>
    </row>
    <row r="88">
      <c r="A88" t="n">
        <v>87</v>
      </c>
      <c r="B88" t="inlineStr">
        <is>
          <t>Produto</t>
        </is>
      </c>
      <c r="C88" s="121" t="inlineStr">
        <is>
          <t>Prancha de natação leve cinza</t>
        </is>
      </c>
      <c r="D88" s="109" t="n">
        <v>54.49</v>
      </c>
      <c r="E88" s="123" t="n">
        <v>50</v>
      </c>
      <c r="F88" s="109">
        <f>ROUND(D88*(1+(E88/100)),2)</f>
        <v/>
      </c>
      <c r="G88" t="n">
        <v>15</v>
      </c>
      <c r="H88" t="n">
        <v>5</v>
      </c>
    </row>
    <row r="89">
      <c r="A89" t="n">
        <v>88</v>
      </c>
      <c r="B89" t="inlineStr">
        <is>
          <t>Produto</t>
        </is>
      </c>
      <c r="C89" s="121" t="inlineStr">
        <is>
          <t>Bola de futebol iniciante verde</t>
        </is>
      </c>
      <c r="D89" s="109" t="n">
        <v>94.42</v>
      </c>
      <c r="E89" s="123" t="n">
        <v>50</v>
      </c>
      <c r="F89" s="109">
        <f>ROUND(D89*(1+(E89/100)),2)</f>
        <v/>
      </c>
      <c r="G89" t="n">
        <v>15</v>
      </c>
      <c r="H89" t="n">
        <v>5</v>
      </c>
    </row>
    <row r="90">
      <c r="A90" t="n">
        <v>89</v>
      </c>
      <c r="B90" t="inlineStr">
        <is>
          <t>Produto</t>
        </is>
      </c>
      <c r="C90" s="121" t="inlineStr">
        <is>
          <t>Luva de boxe modelo básico rosa tam. 40</t>
        </is>
      </c>
      <c r="D90" s="109" t="n">
        <v>156.02</v>
      </c>
      <c r="E90" s="123" t="n">
        <v>50</v>
      </c>
      <c r="F90" s="109">
        <f>ROUND(D90*(1+(E90/100)),2)</f>
        <v/>
      </c>
      <c r="G90" t="n">
        <v>15</v>
      </c>
      <c r="H90" t="n">
        <v>5</v>
      </c>
    </row>
    <row r="91">
      <c r="A91" t="n">
        <v>90</v>
      </c>
      <c r="B91" t="inlineStr">
        <is>
          <t>Produto</t>
        </is>
      </c>
      <c r="C91" s="121" t="inlineStr">
        <is>
          <t>Calça legging ergonômico vermelho tam. M</t>
        </is>
      </c>
      <c r="D91" s="109" t="n">
        <v>72.51000000000001</v>
      </c>
      <c r="E91" s="123" t="n">
        <v>50</v>
      </c>
      <c r="F91" s="109">
        <f>ROUND(D91*(1+(E91/100)),2)</f>
        <v/>
      </c>
      <c r="G91" t="n">
        <v>15</v>
      </c>
      <c r="H91" t="n">
        <v>5</v>
      </c>
    </row>
    <row r="92">
      <c r="A92" t="n">
        <v>91</v>
      </c>
      <c r="B92" t="inlineStr">
        <is>
          <t>Produto</t>
        </is>
      </c>
      <c r="C92" s="121" t="inlineStr">
        <is>
          <t>Prancha de natação modelo básico azul</t>
        </is>
      </c>
      <c r="D92" s="109" t="n">
        <v>91.59999999999999</v>
      </c>
      <c r="E92" s="123" t="n">
        <v>50</v>
      </c>
      <c r="F92" s="109">
        <f>ROUND(D92*(1+(E92/100)),2)</f>
        <v/>
      </c>
      <c r="G92" t="n">
        <v>15</v>
      </c>
      <c r="H92" t="n">
        <v>5</v>
      </c>
    </row>
    <row r="93">
      <c r="A93" t="n">
        <v>92</v>
      </c>
      <c r="B93" t="inlineStr">
        <is>
          <t>Produto</t>
        </is>
      </c>
      <c r="C93" s="121" t="inlineStr">
        <is>
          <t>Step de ginástica iniciante verde</t>
        </is>
      </c>
      <c r="D93" s="109" t="n">
        <v>253.52</v>
      </c>
      <c r="E93" s="123" t="n">
        <v>50</v>
      </c>
      <c r="F93" s="109">
        <f>ROUND(D93*(1+(E93/100)),2)</f>
        <v/>
      </c>
      <c r="G93" t="n">
        <v>15</v>
      </c>
      <c r="H93" t="n">
        <v>5</v>
      </c>
    </row>
    <row r="94">
      <c r="A94" t="n">
        <v>93</v>
      </c>
      <c r="B94" t="inlineStr">
        <is>
          <t>Produto</t>
        </is>
      </c>
      <c r="C94" s="121" t="inlineStr">
        <is>
          <t>Chuteira society juvenil verde tam. 40</t>
        </is>
      </c>
      <c r="D94" s="109" t="n">
        <v>280</v>
      </c>
      <c r="E94" s="123" t="n">
        <v>50</v>
      </c>
      <c r="F94" s="109">
        <f>ROUND(D94*(1+(E94/100)),2)</f>
        <v/>
      </c>
      <c r="G94" t="n">
        <v>15</v>
      </c>
      <c r="H94" t="n">
        <v>5</v>
      </c>
    </row>
    <row r="95">
      <c r="A95" t="n">
        <v>94</v>
      </c>
      <c r="B95" t="inlineStr">
        <is>
          <t>Produto</t>
        </is>
      </c>
      <c r="C95" s="121" t="inlineStr">
        <is>
          <t>Banco de musculação com ajuste laranja</t>
        </is>
      </c>
      <c r="D95" s="109" t="n">
        <v>1349.64</v>
      </c>
      <c r="E95" s="123" t="n">
        <v>50</v>
      </c>
      <c r="F95" s="109">
        <f>ROUND(D95*(1+(E95/100)),2)</f>
        <v/>
      </c>
      <c r="G95" t="n">
        <v>15</v>
      </c>
      <c r="H95" t="n">
        <v>5</v>
      </c>
    </row>
    <row r="96">
      <c r="A96" t="n">
        <v>95</v>
      </c>
      <c r="B96" t="inlineStr">
        <is>
          <t>Produto</t>
        </is>
      </c>
      <c r="C96" s="121" t="inlineStr">
        <is>
          <t>Protetor bucal para uso diário rosa</t>
        </is>
      </c>
      <c r="D96" s="109" t="n">
        <v>29.32</v>
      </c>
      <c r="E96" s="123" t="n">
        <v>50</v>
      </c>
      <c r="F96" s="109">
        <f>ROUND(D96*(1+(E96/100)),2)</f>
        <v/>
      </c>
      <c r="G96" t="n">
        <v>15</v>
      </c>
      <c r="H96" t="n">
        <v>5</v>
      </c>
    </row>
    <row r="97">
      <c r="A97" t="n">
        <v>96</v>
      </c>
      <c r="B97" t="inlineStr">
        <is>
          <t>Produto</t>
        </is>
      </c>
      <c r="C97" s="121" t="inlineStr">
        <is>
          <t>Chuteira society treino laranja tam. GG</t>
        </is>
      </c>
      <c r="D97" s="109" t="n">
        <v>123.26</v>
      </c>
      <c r="E97" s="123" t="n">
        <v>50</v>
      </c>
      <c r="F97" s="109">
        <f>ROUND(D97*(1+(E97/100)),2)</f>
        <v/>
      </c>
      <c r="G97" t="n">
        <v>15</v>
      </c>
      <c r="H97" t="n">
        <v>5</v>
      </c>
    </row>
    <row r="98">
      <c r="A98" t="n">
        <v>97</v>
      </c>
      <c r="B98" t="inlineStr">
        <is>
          <t>Produto</t>
        </is>
      </c>
      <c r="C98" s="121" t="inlineStr">
        <is>
          <t>Skate com ajuste preto</t>
        </is>
      </c>
      <c r="D98" s="109" t="n">
        <v>374.21</v>
      </c>
      <c r="E98" s="123" t="n">
        <v>50</v>
      </c>
      <c r="F98" s="109">
        <f>ROUND(D98*(1+(E98/100)),2)</f>
        <v/>
      </c>
      <c r="G98" t="n">
        <v>15</v>
      </c>
      <c r="H98" t="n">
        <v>5</v>
      </c>
    </row>
    <row r="99">
      <c r="A99" t="n">
        <v>98</v>
      </c>
      <c r="B99" t="inlineStr">
        <is>
          <t>Produto</t>
        </is>
      </c>
      <c r="C99" s="121" t="inlineStr">
        <is>
          <t>Tênis para quadra recreativo rosa tam. 42</t>
        </is>
      </c>
      <c r="D99" s="109" t="n">
        <v>475.07</v>
      </c>
      <c r="E99" s="123" t="n">
        <v>50</v>
      </c>
      <c r="F99" s="109">
        <f>ROUND(D99*(1+(E99/100)),2)</f>
        <v/>
      </c>
      <c r="G99" t="n">
        <v>15</v>
      </c>
      <c r="H99" t="n">
        <v>5</v>
      </c>
    </row>
    <row r="100">
      <c r="A100" t="n">
        <v>99</v>
      </c>
      <c r="B100" t="inlineStr">
        <is>
          <t>Produto</t>
        </is>
      </c>
      <c r="C100" s="121" t="inlineStr">
        <is>
          <t>Saco de pancadas com ajuste laranja</t>
        </is>
      </c>
      <c r="D100" s="109" t="n">
        <v>668.12</v>
      </c>
      <c r="E100" s="123" t="n">
        <v>50</v>
      </c>
      <c r="F100" s="109">
        <f>ROUND(D100*(1+(E100/100)),2)</f>
        <v/>
      </c>
      <c r="G100" t="n">
        <v>15</v>
      </c>
      <c r="H100" t="n">
        <v>5</v>
      </c>
    </row>
    <row r="101">
      <c r="A101" t="n">
        <v>100</v>
      </c>
      <c r="B101" t="inlineStr">
        <is>
          <t>Produto</t>
        </is>
      </c>
      <c r="C101" s="121" t="inlineStr">
        <is>
          <t>Luva de goleiro leve rosa tam. 40</t>
        </is>
      </c>
      <c r="D101" s="109" t="n">
        <v>79.93000000000001</v>
      </c>
      <c r="E101" s="123" t="n">
        <v>50</v>
      </c>
      <c r="F101" s="109">
        <f>ROUND(D101*(1+(E101/100)),2)</f>
        <v/>
      </c>
      <c r="G101" t="n">
        <v>15</v>
      </c>
      <c r="H101" t="n">
        <v>5</v>
      </c>
    </row>
    <row r="102">
      <c r="A102" t="n">
        <v>101</v>
      </c>
      <c r="B102" t="inlineStr">
        <is>
          <t>Produto</t>
        </is>
      </c>
      <c r="C102" s="121" t="inlineStr">
        <is>
          <t>Meias esportivas resistente rosa tam. GG</t>
        </is>
      </c>
      <c r="D102" s="109" t="n">
        <v>15.83</v>
      </c>
      <c r="E102" s="123" t="n">
        <v>50</v>
      </c>
      <c r="F102" s="109">
        <f>ROUND(D102*(1+(E102/100)),2)</f>
        <v/>
      </c>
      <c r="G102" t="n">
        <v>15</v>
      </c>
      <c r="H102" t="n">
        <v>5</v>
      </c>
    </row>
    <row r="103">
      <c r="A103" t="n">
        <v>102</v>
      </c>
      <c r="B103" t="inlineStr">
        <is>
          <t>Produto</t>
        </is>
      </c>
      <c r="C103" s="121" t="inlineStr">
        <is>
          <t>Raquete de beach tennis compacto cinza</t>
        </is>
      </c>
      <c r="D103" s="109" t="n">
        <v>313.7</v>
      </c>
      <c r="E103" s="123" t="n">
        <v>50</v>
      </c>
      <c r="F103" s="109">
        <f>ROUND(D103*(1+(E103/100)),2)</f>
        <v/>
      </c>
      <c r="G103" t="n">
        <v>15</v>
      </c>
      <c r="H103" t="n">
        <v>5</v>
      </c>
    </row>
    <row r="104">
      <c r="A104" t="n">
        <v>103</v>
      </c>
      <c r="B104" t="inlineStr">
        <is>
          <t>Produto</t>
        </is>
      </c>
      <c r="C104" s="121" t="inlineStr">
        <is>
          <t>Caneleira de futebol recreativo vermelho</t>
        </is>
      </c>
      <c r="D104" s="109" t="n">
        <v>29.98</v>
      </c>
      <c r="E104" s="123" t="n">
        <v>50</v>
      </c>
      <c r="F104" s="109">
        <f>ROUND(D104*(1+(E104/100)),2)</f>
        <v/>
      </c>
      <c r="G104" t="n">
        <v>15</v>
      </c>
      <c r="H104" t="n">
        <v>5</v>
      </c>
    </row>
    <row r="105">
      <c r="A105" t="n">
        <v>104</v>
      </c>
      <c r="B105" t="inlineStr">
        <is>
          <t>Produto</t>
        </is>
      </c>
      <c r="C105" s="121" t="inlineStr">
        <is>
          <t>Skate reforçado azul</t>
        </is>
      </c>
      <c r="D105" s="109" t="n">
        <v>301.52</v>
      </c>
      <c r="E105" s="123" t="n">
        <v>50</v>
      </c>
      <c r="F105" s="109">
        <f>ROUND(D105*(1+(E105/100)),2)</f>
        <v/>
      </c>
      <c r="G105" t="n">
        <v>15</v>
      </c>
      <c r="H105" t="n">
        <v>5</v>
      </c>
    </row>
    <row r="106">
      <c r="A106" t="n">
        <v>105</v>
      </c>
      <c r="B106" t="inlineStr">
        <is>
          <t>Produto</t>
        </is>
      </c>
      <c r="C106" s="121" t="inlineStr">
        <is>
          <t>Kettlebell com ajuste laranja</t>
        </is>
      </c>
      <c r="D106" s="109" t="n">
        <v>43.01</v>
      </c>
      <c r="E106" s="123" t="n">
        <v>50</v>
      </c>
      <c r="F106" s="109">
        <f>ROUND(D106*(1+(E106/100)),2)</f>
        <v/>
      </c>
      <c r="G106" t="n">
        <v>15</v>
      </c>
      <c r="H106" t="n">
        <v>5</v>
      </c>
    </row>
    <row r="107">
      <c r="A107" t="n">
        <v>106</v>
      </c>
      <c r="B107" t="inlineStr">
        <is>
          <t>Produto</t>
        </is>
      </c>
      <c r="C107" s="121" t="inlineStr">
        <is>
          <t>Corda de pular unissex preto</t>
        </is>
      </c>
      <c r="D107" s="109" t="n">
        <v>78.34</v>
      </c>
      <c r="E107" s="123" t="n">
        <v>50</v>
      </c>
      <c r="F107" s="109">
        <f>ROUND(D107*(1+(E107/100)),2)</f>
        <v/>
      </c>
      <c r="G107" t="n">
        <v>15</v>
      </c>
      <c r="H107" t="n">
        <v>5</v>
      </c>
    </row>
    <row r="108">
      <c r="A108" t="n">
        <v>107</v>
      </c>
      <c r="B108" t="inlineStr">
        <is>
          <t>Produto</t>
        </is>
      </c>
      <c r="C108" s="121" t="inlineStr">
        <is>
          <t>Step de ginástica para uso diário rosa</t>
        </is>
      </c>
      <c r="D108" s="109" t="n">
        <v>61.36</v>
      </c>
      <c r="E108" s="123" t="n">
        <v>50</v>
      </c>
      <c r="F108" s="109">
        <f>ROUND(D108*(1+(E108/100)),2)</f>
        <v/>
      </c>
      <c r="G108" t="n">
        <v>15</v>
      </c>
      <c r="H108" t="n">
        <v>5</v>
      </c>
    </row>
    <row r="109">
      <c r="A109" t="n">
        <v>108</v>
      </c>
      <c r="B109" t="inlineStr">
        <is>
          <t>Produto</t>
        </is>
      </c>
      <c r="C109" s="121" t="inlineStr">
        <is>
          <t>Colchonete de exercício para uso diário laranja</t>
        </is>
      </c>
      <c r="D109" s="109" t="n">
        <v>75.61</v>
      </c>
      <c r="E109" s="123" t="n">
        <v>50</v>
      </c>
      <c r="F109" s="109">
        <f>ROUND(D109*(1+(E109/100)),2)</f>
        <v/>
      </c>
      <c r="G109" t="n">
        <v>15</v>
      </c>
      <c r="H109" t="n">
        <v>5</v>
      </c>
    </row>
    <row r="110">
      <c r="A110" t="n">
        <v>109</v>
      </c>
      <c r="B110" t="inlineStr">
        <is>
          <t>Produto</t>
        </is>
      </c>
      <c r="C110" s="121" t="inlineStr">
        <is>
          <t>Bola de pilates versão 2026 verde</t>
        </is>
      </c>
      <c r="D110" s="109" t="n">
        <v>70.81</v>
      </c>
      <c r="E110" s="123" t="n">
        <v>50</v>
      </c>
      <c r="F110" s="109">
        <f>ROUND(D110*(1+(E110/100)),2)</f>
        <v/>
      </c>
      <c r="G110" t="n">
        <v>15</v>
      </c>
      <c r="H110" t="n">
        <v>5</v>
      </c>
    </row>
    <row r="111">
      <c r="A111" t="n">
        <v>110</v>
      </c>
      <c r="B111" t="inlineStr">
        <is>
          <t>Produto</t>
        </is>
      </c>
      <c r="C111" s="121" t="inlineStr">
        <is>
          <t>Bolsa de academia ergonômico preto</t>
        </is>
      </c>
      <c r="D111" s="109" t="n">
        <v>88.27</v>
      </c>
      <c r="E111" s="123" t="n">
        <v>50</v>
      </c>
      <c r="F111" s="109">
        <f>ROUND(D111*(1+(E111/100)),2)</f>
        <v/>
      </c>
      <c r="G111" t="n">
        <v>15</v>
      </c>
      <c r="H111" t="n">
        <v>5</v>
      </c>
    </row>
    <row r="112">
      <c r="A112" t="n">
        <v>111</v>
      </c>
      <c r="B112" t="inlineStr">
        <is>
          <t>Produto</t>
        </is>
      </c>
      <c r="C112" s="121" t="inlineStr">
        <is>
          <t>Prancha de natação leve rosa</t>
        </is>
      </c>
      <c r="D112" s="109" t="n">
        <v>100.7</v>
      </c>
      <c r="E112" s="123" t="n">
        <v>50</v>
      </c>
      <c r="F112" s="109">
        <f>ROUND(D112*(1+(E112/100)),2)</f>
        <v/>
      </c>
      <c r="G112" t="n">
        <v>15</v>
      </c>
      <c r="H112" t="n">
        <v>5</v>
      </c>
    </row>
    <row r="113">
      <c r="A113" t="n">
        <v>112</v>
      </c>
      <c r="B113" t="inlineStr">
        <is>
          <t>Produto</t>
        </is>
      </c>
      <c r="C113" s="121" t="inlineStr">
        <is>
          <t>Kimono de judô adulto laranja tam. 44</t>
        </is>
      </c>
      <c r="D113" s="109" t="n">
        <v>229.26</v>
      </c>
      <c r="E113" s="123" t="n">
        <v>50</v>
      </c>
      <c r="F113" s="109">
        <f>ROUND(D113*(1+(E113/100)),2)</f>
        <v/>
      </c>
      <c r="G113" t="n">
        <v>15</v>
      </c>
      <c r="H113" t="n">
        <v>5</v>
      </c>
    </row>
    <row r="114">
      <c r="A114" t="n">
        <v>113</v>
      </c>
      <c r="B114" t="inlineStr">
        <is>
          <t>Produto</t>
        </is>
      </c>
      <c r="C114" s="121" t="inlineStr">
        <is>
          <t>Bola de basquete alta performance vermelho</t>
        </is>
      </c>
      <c r="D114" s="109" t="n">
        <v>134.76</v>
      </c>
      <c r="E114" s="123" t="n">
        <v>50</v>
      </c>
      <c r="F114" s="109">
        <f>ROUND(D114*(1+(E114/100)),2)</f>
        <v/>
      </c>
      <c r="G114" t="n">
        <v>15</v>
      </c>
      <c r="H114" t="n">
        <v>5</v>
      </c>
    </row>
    <row r="115">
      <c r="A115" t="n">
        <v>114</v>
      </c>
      <c r="B115" t="inlineStr">
        <is>
          <t>Produto</t>
        </is>
      </c>
      <c r="C115" s="121" t="inlineStr">
        <is>
          <t>Regata esportiva premium laranja tam. 36</t>
        </is>
      </c>
      <c r="D115" s="109" t="n">
        <v>28.27</v>
      </c>
      <c r="E115" s="123" t="n">
        <v>50</v>
      </c>
      <c r="F115" s="109">
        <f>ROUND(D115*(1+(E115/100)),2)</f>
        <v/>
      </c>
      <c r="G115" t="n">
        <v>15</v>
      </c>
      <c r="H115" t="n">
        <v>5</v>
      </c>
    </row>
    <row r="116">
      <c r="A116" t="n">
        <v>115</v>
      </c>
      <c r="B116" t="inlineStr">
        <is>
          <t>Produto</t>
        </is>
      </c>
      <c r="C116" s="121" t="inlineStr">
        <is>
          <t>Halter para uso diário cinza</t>
        </is>
      </c>
      <c r="D116" s="109" t="n">
        <v>115.72</v>
      </c>
      <c r="E116" s="123" t="n">
        <v>50</v>
      </c>
      <c r="F116" s="109">
        <f>ROUND(D116*(1+(E116/100)),2)</f>
        <v/>
      </c>
      <c r="G116" t="n">
        <v>15</v>
      </c>
      <c r="H116" t="n">
        <v>5</v>
      </c>
    </row>
    <row r="117">
      <c r="A117" t="n">
        <v>116</v>
      </c>
      <c r="B117" t="inlineStr">
        <is>
          <t>Produto</t>
        </is>
      </c>
      <c r="C117" s="121" t="inlineStr">
        <is>
          <t>Corda de pular profissional rosa</t>
        </is>
      </c>
      <c r="D117" s="109" t="n">
        <v>10.51</v>
      </c>
      <c r="E117" s="123" t="n">
        <v>50</v>
      </c>
      <c r="F117" s="109">
        <f>ROUND(D117*(1+(E117/100)),2)</f>
        <v/>
      </c>
      <c r="G117" t="n">
        <v>15</v>
      </c>
      <c r="H117" t="n">
        <v>5</v>
      </c>
    </row>
    <row r="118">
      <c r="A118" t="n">
        <v>117</v>
      </c>
      <c r="B118" t="inlineStr">
        <is>
          <t>Produto</t>
        </is>
      </c>
      <c r="C118" s="121" t="inlineStr">
        <is>
          <t>Caneleira de futebol modelo avançado verde</t>
        </is>
      </c>
      <c r="D118" s="109" t="n">
        <v>62.65</v>
      </c>
      <c r="E118" s="123" t="n">
        <v>50</v>
      </c>
      <c r="F118" s="109">
        <f>ROUND(D118*(1+(E118/100)),2)</f>
        <v/>
      </c>
      <c r="G118" t="n">
        <v>15</v>
      </c>
      <c r="H118" t="n">
        <v>5</v>
      </c>
    </row>
    <row r="119">
      <c r="A119" t="n">
        <v>118</v>
      </c>
      <c r="B119" t="inlineStr">
        <is>
          <t>Produto</t>
        </is>
      </c>
      <c r="C119" s="121" t="inlineStr">
        <is>
          <t>Banco de musculação adulto verde</t>
        </is>
      </c>
      <c r="D119" s="109" t="n">
        <v>443.09</v>
      </c>
      <c r="E119" s="123" t="n">
        <v>50</v>
      </c>
      <c r="F119" s="109">
        <f>ROUND(D119*(1+(E119/100)),2)</f>
        <v/>
      </c>
      <c r="G119" t="n">
        <v>15</v>
      </c>
      <c r="H119" t="n">
        <v>5</v>
      </c>
    </row>
    <row r="120">
      <c r="A120" t="n">
        <v>119</v>
      </c>
      <c r="B120" t="inlineStr">
        <is>
          <t>Produto</t>
        </is>
      </c>
      <c r="C120" s="121" t="inlineStr">
        <is>
          <t>Bola de basquete recreativo verde</t>
        </is>
      </c>
      <c r="D120" s="109" t="n">
        <v>50.33</v>
      </c>
      <c r="E120" s="123" t="n">
        <v>50</v>
      </c>
      <c r="F120" s="109">
        <f>ROUND(D120*(1+(E120/100)),2)</f>
        <v/>
      </c>
      <c r="G120" t="n">
        <v>15</v>
      </c>
      <c r="H120" t="n">
        <v>5</v>
      </c>
    </row>
    <row r="121">
      <c r="A121" t="n">
        <v>120</v>
      </c>
      <c r="B121" t="inlineStr">
        <is>
          <t>Produto</t>
        </is>
      </c>
      <c r="C121" s="121" t="inlineStr">
        <is>
          <t>Prancha de natação unissex verde</t>
        </is>
      </c>
      <c r="D121" s="109" t="n">
        <v>59.8</v>
      </c>
      <c r="E121" s="123" t="n">
        <v>50</v>
      </c>
      <c r="F121" s="109">
        <f>ROUND(D121*(1+(E121/100)),2)</f>
        <v/>
      </c>
      <c r="G121" t="n">
        <v>15</v>
      </c>
      <c r="H121" t="n">
        <v>5</v>
      </c>
    </row>
    <row r="122">
      <c r="A122" t="n">
        <v>121</v>
      </c>
      <c r="B122" t="inlineStr">
        <is>
          <t>Produto</t>
        </is>
      </c>
      <c r="C122" s="121" t="inlineStr">
        <is>
          <t>Mochila esportiva leve azul</t>
        </is>
      </c>
      <c r="D122" s="109" t="n">
        <v>194.61</v>
      </c>
      <c r="E122" s="123" t="n">
        <v>50</v>
      </c>
      <c r="F122" s="109">
        <f>ROUND(D122*(1+(E122/100)),2)</f>
        <v/>
      </c>
      <c r="G122" t="n">
        <v>15</v>
      </c>
      <c r="H122" t="n">
        <v>5</v>
      </c>
    </row>
    <row r="123">
      <c r="A123" t="n">
        <v>122</v>
      </c>
      <c r="B123" t="inlineStr">
        <is>
          <t>Produto</t>
        </is>
      </c>
      <c r="C123" s="121" t="inlineStr">
        <is>
          <t>Camiseta esportiva treino preto tam. 34</t>
        </is>
      </c>
      <c r="D123" s="109" t="n">
        <v>76.67</v>
      </c>
      <c r="E123" s="123" t="n">
        <v>50</v>
      </c>
      <c r="F123" s="109">
        <f>ROUND(D123*(1+(E123/100)),2)</f>
        <v/>
      </c>
      <c r="G123" t="n">
        <v>15</v>
      </c>
      <c r="H123" t="n">
        <v>5</v>
      </c>
    </row>
    <row r="124">
      <c r="A124" t="n">
        <v>123</v>
      </c>
      <c r="B124" t="inlineStr">
        <is>
          <t>Produto</t>
        </is>
      </c>
      <c r="C124" s="121" t="inlineStr">
        <is>
          <t>Bloco para yoga reforçado azul</t>
        </is>
      </c>
      <c r="D124" s="109" t="n">
        <v>32.03</v>
      </c>
      <c r="E124" s="123" t="n">
        <v>50</v>
      </c>
      <c r="F124" s="109">
        <f>ROUND(D124*(1+(E124/100)),2)</f>
        <v/>
      </c>
      <c r="G124" t="n">
        <v>15</v>
      </c>
      <c r="H124" t="n">
        <v>5</v>
      </c>
    </row>
    <row r="125">
      <c r="A125" t="n">
        <v>124</v>
      </c>
      <c r="B125" t="inlineStr">
        <is>
          <t>Produto</t>
        </is>
      </c>
      <c r="C125" s="121" t="inlineStr">
        <is>
          <t>Touca de natação treino cinza tam. 44</t>
        </is>
      </c>
      <c r="D125" s="109" t="n">
        <v>50.02</v>
      </c>
      <c r="E125" s="123" t="n">
        <v>50</v>
      </c>
      <c r="F125" s="109">
        <f>ROUND(D125*(1+(E125/100)),2)</f>
        <v/>
      </c>
      <c r="G125" t="n">
        <v>15</v>
      </c>
      <c r="H125" t="n">
        <v>5</v>
      </c>
    </row>
    <row r="126">
      <c r="A126" t="n">
        <v>125</v>
      </c>
      <c r="B126" t="inlineStr">
        <is>
          <t>Produto</t>
        </is>
      </c>
      <c r="C126" s="121" t="inlineStr">
        <is>
          <t>Protetor bucal modelo avançado laranja</t>
        </is>
      </c>
      <c r="D126" s="109" t="n">
        <v>42.68</v>
      </c>
      <c r="E126" s="123" t="n">
        <v>50</v>
      </c>
      <c r="F126" s="109">
        <f>ROUND(D126*(1+(E126/100)),2)</f>
        <v/>
      </c>
      <c r="G126" t="n">
        <v>15</v>
      </c>
      <c r="H126" t="n">
        <v>5</v>
      </c>
    </row>
    <row r="127">
      <c r="A127" t="n">
        <v>126</v>
      </c>
      <c r="B127" t="inlineStr">
        <is>
          <t>Produto</t>
        </is>
      </c>
      <c r="C127" s="121" t="inlineStr">
        <is>
          <t>Raquete de beach tennis modelo básico preto</t>
        </is>
      </c>
      <c r="D127" s="109" t="n">
        <v>674.34</v>
      </c>
      <c r="E127" s="123" t="n">
        <v>50</v>
      </c>
      <c r="F127" s="109">
        <f>ROUND(D127*(1+(E127/100)),2)</f>
        <v/>
      </c>
      <c r="G127" t="n">
        <v>15</v>
      </c>
      <c r="H127" t="n">
        <v>5</v>
      </c>
    </row>
    <row r="128">
      <c r="A128" t="n">
        <v>127</v>
      </c>
      <c r="B128" t="inlineStr">
        <is>
          <t>Produto</t>
        </is>
      </c>
      <c r="C128" s="121" t="inlineStr">
        <is>
          <t>Óculos esportivos alta performance branco</t>
        </is>
      </c>
      <c r="D128" s="109" t="n">
        <v>275.63</v>
      </c>
      <c r="E128" s="123" t="n">
        <v>50</v>
      </c>
      <c r="F128" s="109">
        <f>ROUND(D128*(1+(E128/100)),2)</f>
        <v/>
      </c>
      <c r="G128" t="n">
        <v>15</v>
      </c>
      <c r="H128" t="n">
        <v>5</v>
      </c>
    </row>
    <row r="129">
      <c r="A129" t="n">
        <v>128</v>
      </c>
      <c r="B129" t="inlineStr">
        <is>
          <t>Produto</t>
        </is>
      </c>
      <c r="C129" s="121" t="inlineStr">
        <is>
          <t>Capacete de ciclismo alta performance vermelho</t>
        </is>
      </c>
      <c r="D129" s="109" t="n">
        <v>276.88</v>
      </c>
      <c r="E129" s="123" t="n">
        <v>50</v>
      </c>
      <c r="F129" s="109">
        <f>ROUND(D129*(1+(E129/100)),2)</f>
        <v/>
      </c>
      <c r="G129" t="n">
        <v>15</v>
      </c>
      <c r="H129" t="n">
        <v>5</v>
      </c>
    </row>
    <row r="130">
      <c r="A130" t="n">
        <v>129</v>
      </c>
      <c r="B130" t="inlineStr">
        <is>
          <t>Produto</t>
        </is>
      </c>
      <c r="C130" s="121" t="inlineStr">
        <is>
          <t>Óculos de natação versão 2026 rosa</t>
        </is>
      </c>
      <c r="D130" s="109" t="n">
        <v>76.09</v>
      </c>
      <c r="E130" s="123" t="n">
        <v>50</v>
      </c>
      <c r="F130" s="109">
        <f>ROUND(D130*(1+(E130/100)),2)</f>
        <v/>
      </c>
      <c r="G130" t="n">
        <v>15</v>
      </c>
      <c r="H130" t="n">
        <v>5</v>
      </c>
    </row>
    <row r="131">
      <c r="A131" t="n">
        <v>130</v>
      </c>
      <c r="B131" t="inlineStr">
        <is>
          <t>Produto</t>
        </is>
      </c>
      <c r="C131" s="121" t="inlineStr">
        <is>
          <t>Bastão de caminhada premium branco</t>
        </is>
      </c>
      <c r="D131" s="109" t="n">
        <v>157.7</v>
      </c>
      <c r="E131" s="123" t="n">
        <v>50</v>
      </c>
      <c r="F131" s="109">
        <f>ROUND(D131*(1+(E131/100)),2)</f>
        <v/>
      </c>
      <c r="G131" t="n">
        <v>15</v>
      </c>
      <c r="H131" t="n">
        <v>5</v>
      </c>
    </row>
    <row r="132">
      <c r="A132" t="n">
        <v>131</v>
      </c>
      <c r="B132" t="inlineStr">
        <is>
          <t>Produto</t>
        </is>
      </c>
      <c r="C132" s="121" t="inlineStr">
        <is>
          <t>Raquete de badminton com ajuste verde</t>
        </is>
      </c>
      <c r="D132" s="109" t="n">
        <v>187.54</v>
      </c>
      <c r="E132" s="123" t="n">
        <v>50</v>
      </c>
      <c r="F132" s="109">
        <f>ROUND(D132*(1+(E132/100)),2)</f>
        <v/>
      </c>
      <c r="G132" t="n">
        <v>15</v>
      </c>
      <c r="H132" t="n">
        <v>5</v>
      </c>
    </row>
    <row r="133">
      <c r="A133" t="n">
        <v>132</v>
      </c>
      <c r="B133" t="inlineStr">
        <is>
          <t>Produto</t>
        </is>
      </c>
      <c r="C133" s="121" t="inlineStr">
        <is>
          <t>Protetor bucal para uso diário branco</t>
        </is>
      </c>
      <c r="D133" s="109" t="n">
        <v>10.4</v>
      </c>
      <c r="E133" s="123" t="n">
        <v>50</v>
      </c>
      <c r="F133" s="109">
        <f>ROUND(D133*(1+(E133/100)),2)</f>
        <v/>
      </c>
      <c r="G133" t="n">
        <v>15</v>
      </c>
      <c r="H133" t="n">
        <v>5</v>
      </c>
    </row>
    <row r="134">
      <c r="A134" t="n">
        <v>133</v>
      </c>
      <c r="B134" t="inlineStr">
        <is>
          <t>Produto</t>
        </is>
      </c>
      <c r="C134" s="121" t="inlineStr">
        <is>
          <t>Halter ergonômico verde</t>
        </is>
      </c>
      <c r="D134" s="109" t="n">
        <v>60.91</v>
      </c>
      <c r="E134" s="123" t="n">
        <v>50</v>
      </c>
      <c r="F134" s="109">
        <f>ROUND(D134*(1+(E134/100)),2)</f>
        <v/>
      </c>
      <c r="G134" t="n">
        <v>15</v>
      </c>
      <c r="H134" t="n">
        <v>5</v>
      </c>
    </row>
    <row r="135">
      <c r="A135" t="n">
        <v>134</v>
      </c>
      <c r="B135" t="inlineStr">
        <is>
          <t>Produto</t>
        </is>
      </c>
      <c r="C135" s="121" t="inlineStr">
        <is>
          <t>Mochila esportiva premium cinza</t>
        </is>
      </c>
      <c r="D135" s="109" t="n">
        <v>149.32</v>
      </c>
      <c r="E135" s="123" t="n">
        <v>50</v>
      </c>
      <c r="F135" s="109">
        <f>ROUND(D135*(1+(E135/100)),2)</f>
        <v/>
      </c>
      <c r="G135" t="n">
        <v>15</v>
      </c>
      <c r="H135" t="n">
        <v>5</v>
      </c>
    </row>
    <row r="136">
      <c r="A136" t="n">
        <v>135</v>
      </c>
      <c r="B136" t="inlineStr">
        <is>
          <t>Produto</t>
        </is>
      </c>
      <c r="C136" s="121" t="inlineStr">
        <is>
          <t>Monitor cardíaco profissional verde</t>
        </is>
      </c>
      <c r="D136" s="109" t="n">
        <v>447.1</v>
      </c>
      <c r="E136" s="123" t="n">
        <v>50</v>
      </c>
      <c r="F136" s="109">
        <f>ROUND(D136*(1+(E136/100)),2)</f>
        <v/>
      </c>
      <c r="G136" t="n">
        <v>15</v>
      </c>
      <c r="H136" t="n">
        <v>5</v>
      </c>
    </row>
    <row r="137">
      <c r="A137" t="n">
        <v>136</v>
      </c>
      <c r="B137" t="inlineStr">
        <is>
          <t>Produto</t>
        </is>
      </c>
      <c r="C137" s="121" t="inlineStr">
        <is>
          <t>Óculos esportivos compacto rosa</t>
        </is>
      </c>
      <c r="D137" s="109" t="n">
        <v>279.72</v>
      </c>
      <c r="E137" s="123" t="n">
        <v>50</v>
      </c>
      <c r="F137" s="109">
        <f>ROUND(D137*(1+(E137/100)),2)</f>
        <v/>
      </c>
      <c r="G137" t="n">
        <v>15</v>
      </c>
      <c r="H137" t="n">
        <v>5</v>
      </c>
    </row>
    <row r="138">
      <c r="A138" t="n">
        <v>137</v>
      </c>
      <c r="B138" t="inlineStr">
        <is>
          <t>Produto</t>
        </is>
      </c>
      <c r="C138" s="121" t="inlineStr">
        <is>
          <t>Óculos esportivos adulto azul</t>
        </is>
      </c>
      <c r="D138" s="109" t="n">
        <v>140.46</v>
      </c>
      <c r="E138" s="123" t="n">
        <v>50</v>
      </c>
      <c r="F138" s="109">
        <f>ROUND(D138*(1+(E138/100)),2)</f>
        <v/>
      </c>
      <c r="G138" t="n">
        <v>15</v>
      </c>
      <c r="H138" t="n">
        <v>5</v>
      </c>
    </row>
    <row r="139">
      <c r="A139" t="n">
        <v>138</v>
      </c>
      <c r="B139" t="inlineStr">
        <is>
          <t>Produto</t>
        </is>
      </c>
      <c r="C139" s="121" t="inlineStr">
        <is>
          <t>Elástico de resistência iniciante branco</t>
        </is>
      </c>
      <c r="D139" s="109" t="n">
        <v>32.44</v>
      </c>
      <c r="E139" s="123" t="n">
        <v>50</v>
      </c>
      <c r="F139" s="109">
        <f>ROUND(D139*(1+(E139/100)),2)</f>
        <v/>
      </c>
      <c r="G139" t="n">
        <v>15</v>
      </c>
      <c r="H139" t="n">
        <v>5</v>
      </c>
    </row>
    <row r="140">
      <c r="A140" t="n">
        <v>139</v>
      </c>
      <c r="B140" t="inlineStr">
        <is>
          <t>Produto</t>
        </is>
      </c>
      <c r="C140" s="121" t="inlineStr">
        <is>
          <t>Monitor cardíaco alta performance branco</t>
        </is>
      </c>
      <c r="D140" s="109" t="n">
        <v>246.03</v>
      </c>
      <c r="E140" s="123" t="n">
        <v>50</v>
      </c>
      <c r="F140" s="109">
        <f>ROUND(D140*(1+(E140/100)),2)</f>
        <v/>
      </c>
      <c r="G140" t="n">
        <v>15</v>
      </c>
      <c r="H140" t="n">
        <v>5</v>
      </c>
    </row>
    <row r="141">
      <c r="A141" t="n">
        <v>140</v>
      </c>
      <c r="B141" t="inlineStr">
        <is>
          <t>Produto</t>
        </is>
      </c>
      <c r="C141" s="121" t="inlineStr">
        <is>
          <t>Capacete de ciclismo iniciante cinza</t>
        </is>
      </c>
      <c r="D141" s="109" t="n">
        <v>119.87</v>
      </c>
      <c r="E141" s="123" t="n">
        <v>50</v>
      </c>
      <c r="F141" s="109">
        <f>ROUND(D141*(1+(E141/100)),2)</f>
        <v/>
      </c>
      <c r="G141" t="n">
        <v>15</v>
      </c>
      <c r="H141" t="n">
        <v>5</v>
      </c>
    </row>
    <row r="142">
      <c r="A142" t="n">
        <v>141</v>
      </c>
      <c r="B142" t="inlineStr">
        <is>
          <t>Produto</t>
        </is>
      </c>
      <c r="C142" s="121" t="inlineStr">
        <is>
          <t>Bastão de caminhada modelo básico azul</t>
        </is>
      </c>
      <c r="D142" s="109" t="n">
        <v>141.37</v>
      </c>
      <c r="E142" s="123" t="n">
        <v>50</v>
      </c>
      <c r="F142" s="109">
        <f>ROUND(D142*(1+(E142/100)),2)</f>
        <v/>
      </c>
      <c r="G142" t="n">
        <v>15</v>
      </c>
      <c r="H142" t="n">
        <v>5</v>
      </c>
    </row>
    <row r="143">
      <c r="A143" t="n">
        <v>142</v>
      </c>
      <c r="B143" t="inlineStr">
        <is>
          <t>Produto</t>
        </is>
      </c>
      <c r="C143" s="121" t="inlineStr">
        <is>
          <t>Step de ginástica reforçado verde</t>
        </is>
      </c>
      <c r="D143" s="109" t="n">
        <v>237.2</v>
      </c>
      <c r="E143" s="123" t="n">
        <v>50</v>
      </c>
      <c r="F143" s="109">
        <f>ROUND(D143*(1+(E143/100)),2)</f>
        <v/>
      </c>
      <c r="G143" t="n">
        <v>15</v>
      </c>
      <c r="H143" t="n">
        <v>5</v>
      </c>
    </row>
    <row r="144">
      <c r="A144" t="n">
        <v>143</v>
      </c>
      <c r="B144" t="inlineStr">
        <is>
          <t>Produto</t>
        </is>
      </c>
      <c r="C144" s="121" t="inlineStr">
        <is>
          <t>Bolsa de academia resistente cinza</t>
        </is>
      </c>
      <c r="D144" s="109" t="n">
        <v>177.02</v>
      </c>
      <c r="E144" s="123" t="n">
        <v>50</v>
      </c>
      <c r="F144" s="109">
        <f>ROUND(D144*(1+(E144/100)),2)</f>
        <v/>
      </c>
      <c r="G144" t="n">
        <v>15</v>
      </c>
      <c r="H144" t="n">
        <v>5</v>
      </c>
    </row>
    <row r="145">
      <c r="A145" t="n">
        <v>144</v>
      </c>
      <c r="B145" t="inlineStr">
        <is>
          <t>Produto</t>
        </is>
      </c>
      <c r="C145" s="121" t="inlineStr">
        <is>
          <t>Short esportivo compacto branco tam. G</t>
        </is>
      </c>
      <c r="D145" s="109" t="n">
        <v>45.14</v>
      </c>
      <c r="E145" s="123" t="n">
        <v>50</v>
      </c>
      <c r="F145" s="109">
        <f>ROUND(D145*(1+(E145/100)),2)</f>
        <v/>
      </c>
      <c r="G145" t="n">
        <v>15</v>
      </c>
      <c r="H145" t="n">
        <v>5</v>
      </c>
    </row>
    <row r="146">
      <c r="A146" t="n">
        <v>145</v>
      </c>
      <c r="B146" t="inlineStr">
        <is>
          <t>Produto</t>
        </is>
      </c>
      <c r="C146" s="121" t="inlineStr">
        <is>
          <t>Patins recreativo cinza</t>
        </is>
      </c>
      <c r="D146" s="109" t="n">
        <v>149.98</v>
      </c>
      <c r="E146" s="123" t="n">
        <v>50</v>
      </c>
      <c r="F146" s="109">
        <f>ROUND(D146*(1+(E146/100)),2)</f>
        <v/>
      </c>
      <c r="G146" t="n">
        <v>15</v>
      </c>
      <c r="H146" t="n">
        <v>5</v>
      </c>
    </row>
    <row r="147">
      <c r="A147" t="n">
        <v>146</v>
      </c>
      <c r="B147" t="inlineStr">
        <is>
          <t>Produto</t>
        </is>
      </c>
      <c r="C147" s="121" t="inlineStr">
        <is>
          <t>Raquete de tênis iniciante vermelho tam. 40</t>
        </is>
      </c>
      <c r="D147" s="109" t="n">
        <v>103.8</v>
      </c>
      <c r="E147" s="123" t="n">
        <v>50</v>
      </c>
      <c r="F147" s="109">
        <f>ROUND(D147*(1+(E147/100)),2)</f>
        <v/>
      </c>
      <c r="G147" t="n">
        <v>15</v>
      </c>
      <c r="H147" t="n">
        <v>5</v>
      </c>
    </row>
    <row r="148">
      <c r="A148" t="n">
        <v>147</v>
      </c>
      <c r="B148" t="inlineStr">
        <is>
          <t>Produto</t>
        </is>
      </c>
      <c r="C148" s="121" t="inlineStr">
        <is>
          <t>Bola de futebol iniciante rosa</t>
        </is>
      </c>
      <c r="D148" s="109" t="n">
        <v>101.75</v>
      </c>
      <c r="E148" s="123" t="n">
        <v>50</v>
      </c>
      <c r="F148" s="109">
        <f>ROUND(D148*(1+(E148/100)),2)</f>
        <v/>
      </c>
      <c r="G148" t="n">
        <v>15</v>
      </c>
      <c r="H148" t="n">
        <v>5</v>
      </c>
    </row>
    <row r="149">
      <c r="A149" t="n">
        <v>148</v>
      </c>
      <c r="B149" t="inlineStr">
        <is>
          <t>Produto</t>
        </is>
      </c>
      <c r="C149" s="121" t="inlineStr">
        <is>
          <t>Kettlebell juvenil cinza</t>
        </is>
      </c>
      <c r="D149" s="109" t="n">
        <v>227.56</v>
      </c>
      <c r="E149" s="123" t="n">
        <v>50</v>
      </c>
      <c r="F149" s="109">
        <f>ROUND(D149*(1+(E149/100)),2)</f>
        <v/>
      </c>
      <c r="G149" t="n">
        <v>15</v>
      </c>
      <c r="H149" t="n">
        <v>5</v>
      </c>
    </row>
    <row r="150">
      <c r="A150" t="n">
        <v>149</v>
      </c>
      <c r="B150" t="inlineStr">
        <is>
          <t>Produto</t>
        </is>
      </c>
      <c r="C150" s="121" t="inlineStr">
        <is>
          <t>Luva de ciclismo profissional laranja tam. 40</t>
        </is>
      </c>
      <c r="D150" s="109" t="n">
        <v>25.49</v>
      </c>
      <c r="E150" s="123" t="n">
        <v>50</v>
      </c>
      <c r="F150" s="109">
        <f>ROUND(D150*(1+(E150/100)),2)</f>
        <v/>
      </c>
      <c r="G150" t="n">
        <v>15</v>
      </c>
      <c r="H150" t="n">
        <v>5</v>
      </c>
    </row>
    <row r="151">
      <c r="A151" t="n">
        <v>150</v>
      </c>
      <c r="B151" t="inlineStr">
        <is>
          <t>Produto</t>
        </is>
      </c>
      <c r="C151" s="121" t="inlineStr">
        <is>
          <t>Touca de natação recreativo vermelho tam. 44</t>
        </is>
      </c>
      <c r="D151" s="109" t="n">
        <v>57.35</v>
      </c>
      <c r="E151" s="123" t="n">
        <v>50</v>
      </c>
      <c r="F151" s="109">
        <f>ROUND(D151*(1+(E151/100)),2)</f>
        <v/>
      </c>
      <c r="G151" t="n">
        <v>15</v>
      </c>
      <c r="H151" t="n">
        <v>5</v>
      </c>
    </row>
    <row r="152">
      <c r="A152" t="n">
        <v>151</v>
      </c>
      <c r="B152" t="inlineStr">
        <is>
          <t>Produto</t>
        </is>
      </c>
      <c r="C152" s="121" t="inlineStr">
        <is>
          <t>Raquete de badminton treino laranja</t>
        </is>
      </c>
      <c r="D152" s="109" t="n">
        <v>157.27</v>
      </c>
      <c r="E152" s="123" t="n">
        <v>50</v>
      </c>
      <c r="F152" s="109">
        <f>ROUND(D152*(1+(E152/100)),2)</f>
        <v/>
      </c>
      <c r="G152" t="n">
        <v>15</v>
      </c>
      <c r="H152" t="n">
        <v>5</v>
      </c>
    </row>
    <row r="153">
      <c r="A153" t="n">
        <v>152</v>
      </c>
      <c r="B153" t="inlineStr">
        <is>
          <t>Produto</t>
        </is>
      </c>
      <c r="C153" s="121" t="inlineStr">
        <is>
          <t>Kimono de judô resistente laranja tam. 40</t>
        </is>
      </c>
      <c r="D153" s="109" t="n">
        <v>332.49</v>
      </c>
      <c r="E153" s="123" t="n">
        <v>50</v>
      </c>
      <c r="F153" s="109">
        <f>ROUND(D153*(1+(E153/100)),2)</f>
        <v/>
      </c>
      <c r="G153" t="n">
        <v>15</v>
      </c>
      <c r="H153" t="n">
        <v>5</v>
      </c>
    </row>
    <row r="154">
      <c r="A154" t="n">
        <v>153</v>
      </c>
      <c r="B154" t="inlineStr">
        <is>
          <t>Produto</t>
        </is>
      </c>
      <c r="C154" s="121" t="inlineStr">
        <is>
          <t>Coqueteleira alta performance cinza</t>
        </is>
      </c>
      <c r="D154" s="109" t="n">
        <v>35.82</v>
      </c>
      <c r="E154" s="123" t="n">
        <v>50</v>
      </c>
      <c r="F154" s="109">
        <f>ROUND(D154*(1+(E154/100)),2)</f>
        <v/>
      </c>
      <c r="G154" t="n">
        <v>15</v>
      </c>
      <c r="H154" t="n">
        <v>5</v>
      </c>
    </row>
    <row r="155">
      <c r="A155" t="n">
        <v>154</v>
      </c>
      <c r="B155" t="inlineStr">
        <is>
          <t>Produto</t>
        </is>
      </c>
      <c r="C155" s="121" t="inlineStr">
        <is>
          <t>Raquete de tênis treino verde tam. GG</t>
        </is>
      </c>
      <c r="D155" s="109" t="n">
        <v>182.56</v>
      </c>
      <c r="E155" s="123" t="n">
        <v>50</v>
      </c>
      <c r="F155" s="109">
        <f>ROUND(D155*(1+(E155/100)),2)</f>
        <v/>
      </c>
      <c r="G155" t="n">
        <v>15</v>
      </c>
      <c r="H155" t="n">
        <v>5</v>
      </c>
    </row>
    <row r="156">
      <c r="A156" t="n">
        <v>155</v>
      </c>
      <c r="B156" t="inlineStr">
        <is>
          <t>Produto</t>
        </is>
      </c>
      <c r="C156" s="121" t="inlineStr">
        <is>
          <t>Raquete de badminton compacto vermelho</t>
        </is>
      </c>
      <c r="D156" s="109" t="n">
        <v>145.86</v>
      </c>
      <c r="E156" s="123" t="n">
        <v>50</v>
      </c>
      <c r="F156" s="109">
        <f>ROUND(D156*(1+(E156/100)),2)</f>
        <v/>
      </c>
      <c r="G156" t="n">
        <v>15</v>
      </c>
      <c r="H156" t="n">
        <v>5</v>
      </c>
    </row>
    <row r="157">
      <c r="A157" t="n">
        <v>156</v>
      </c>
      <c r="B157" t="inlineStr">
        <is>
          <t>Produto</t>
        </is>
      </c>
      <c r="C157" s="121" t="inlineStr">
        <is>
          <t>Camiseta esportiva alta performance rosa tam. 44</t>
        </is>
      </c>
      <c r="D157" s="109" t="n">
        <v>65.87</v>
      </c>
      <c r="E157" s="123" t="n">
        <v>50</v>
      </c>
      <c r="F157" s="109">
        <f>ROUND(D157*(1+(E157/100)),2)</f>
        <v/>
      </c>
      <c r="G157" t="n">
        <v>15</v>
      </c>
      <c r="H157" t="n">
        <v>5</v>
      </c>
    </row>
    <row r="158">
      <c r="A158" t="n">
        <v>157</v>
      </c>
      <c r="B158" t="inlineStr">
        <is>
          <t>Produto</t>
        </is>
      </c>
      <c r="C158" s="121" t="inlineStr">
        <is>
          <t>Bola de vôlei iniciante cinza</t>
        </is>
      </c>
      <c r="D158" s="109" t="n">
        <v>82.98999999999999</v>
      </c>
      <c r="E158" s="123" t="n">
        <v>50</v>
      </c>
      <c r="F158" s="109">
        <f>ROUND(D158*(1+(E158/100)),2)</f>
        <v/>
      </c>
      <c r="G158" t="n">
        <v>15</v>
      </c>
      <c r="H158" t="n">
        <v>5</v>
      </c>
    </row>
    <row r="159">
      <c r="A159" t="n">
        <v>158</v>
      </c>
      <c r="B159" t="inlineStr">
        <is>
          <t>Produto</t>
        </is>
      </c>
      <c r="C159" s="121" t="inlineStr">
        <is>
          <t>Capacete de ciclismo compacto cinza</t>
        </is>
      </c>
      <c r="D159" s="109" t="n">
        <v>293.74</v>
      </c>
      <c r="E159" s="123" t="n">
        <v>50</v>
      </c>
      <c r="F159" s="109">
        <f>ROUND(D159*(1+(E159/100)),2)</f>
        <v/>
      </c>
      <c r="G159" t="n">
        <v>15</v>
      </c>
      <c r="H159" t="n">
        <v>5</v>
      </c>
    </row>
    <row r="160">
      <c r="A160" t="n">
        <v>159</v>
      </c>
      <c r="B160" t="inlineStr">
        <is>
          <t>Produto</t>
        </is>
      </c>
      <c r="C160" s="121" t="inlineStr">
        <is>
          <t>Touca de natação reforçado laranja tam. M</t>
        </is>
      </c>
      <c r="D160" s="109" t="n">
        <v>36.71</v>
      </c>
      <c r="E160" s="123" t="n">
        <v>50</v>
      </c>
      <c r="F160" s="109">
        <f>ROUND(D160*(1+(E160/100)),2)</f>
        <v/>
      </c>
      <c r="G160" t="n">
        <v>15</v>
      </c>
      <c r="H160" t="n">
        <v>5</v>
      </c>
    </row>
    <row r="161">
      <c r="A161" t="n">
        <v>160</v>
      </c>
      <c r="B161" t="inlineStr">
        <is>
          <t>Produto</t>
        </is>
      </c>
      <c r="C161" s="121" t="inlineStr">
        <is>
          <t>Óculos de natação premium vermelho</t>
        </is>
      </c>
      <c r="D161" s="109" t="n">
        <v>21.79</v>
      </c>
      <c r="E161" s="123" t="n">
        <v>50</v>
      </c>
      <c r="F161" s="109">
        <f>ROUND(D161*(1+(E161/100)),2)</f>
        <v/>
      </c>
      <c r="G161" t="n">
        <v>15</v>
      </c>
      <c r="H161" t="n">
        <v>5</v>
      </c>
    </row>
    <row r="162">
      <c r="A162" t="n">
        <v>161</v>
      </c>
      <c r="B162" t="inlineStr">
        <is>
          <t>Produto</t>
        </is>
      </c>
      <c r="C162" s="121" t="inlineStr">
        <is>
          <t>Camiseta esportiva versão 2026 cinza tam. 40</t>
        </is>
      </c>
      <c r="D162" s="109" t="n">
        <v>30.62</v>
      </c>
      <c r="E162" s="123" t="n">
        <v>50</v>
      </c>
      <c r="F162" s="109">
        <f>ROUND(D162*(1+(E162/100)),2)</f>
        <v/>
      </c>
      <c r="G162" t="n">
        <v>15</v>
      </c>
      <c r="H162" t="n">
        <v>5</v>
      </c>
    </row>
    <row r="163">
      <c r="A163" t="n">
        <v>162</v>
      </c>
      <c r="B163" t="inlineStr">
        <is>
          <t>Produto</t>
        </is>
      </c>
      <c r="C163" s="121" t="inlineStr">
        <is>
          <t>Skate para uso diário cinza</t>
        </is>
      </c>
      <c r="D163" s="109" t="n">
        <v>345.18</v>
      </c>
      <c r="E163" s="123" t="n">
        <v>50</v>
      </c>
      <c r="F163" s="109">
        <f>ROUND(D163*(1+(E163/100)),2)</f>
        <v/>
      </c>
      <c r="G163" t="n">
        <v>15</v>
      </c>
      <c r="H163" t="n">
        <v>5</v>
      </c>
    </row>
    <row r="164">
      <c r="A164" t="n">
        <v>163</v>
      </c>
      <c r="B164" t="inlineStr">
        <is>
          <t>Produto</t>
        </is>
      </c>
      <c r="C164" s="121" t="inlineStr">
        <is>
          <t>Óculos esportivos profissional preto</t>
        </is>
      </c>
      <c r="D164" s="109" t="n">
        <v>376.15</v>
      </c>
      <c r="E164" s="123" t="n">
        <v>50</v>
      </c>
      <c r="F164" s="109">
        <f>ROUND(D164*(1+(E164/100)),2)</f>
        <v/>
      </c>
      <c r="G164" t="n">
        <v>15</v>
      </c>
      <c r="H164" t="n">
        <v>5</v>
      </c>
    </row>
    <row r="165">
      <c r="A165" t="n">
        <v>164</v>
      </c>
      <c r="B165" t="inlineStr">
        <is>
          <t>Produto</t>
        </is>
      </c>
      <c r="C165" s="121" t="inlineStr">
        <is>
          <t>Bola de pilates versão 2026 cinza</t>
        </is>
      </c>
      <c r="D165" s="109" t="n">
        <v>26.42</v>
      </c>
      <c r="E165" s="123" t="n">
        <v>50</v>
      </c>
      <c r="F165" s="109">
        <f>ROUND(D165*(1+(E165/100)),2)</f>
        <v/>
      </c>
      <c r="G165" t="n">
        <v>15</v>
      </c>
      <c r="H165" t="n">
        <v>5</v>
      </c>
    </row>
    <row r="166">
      <c r="A166" t="n">
        <v>165</v>
      </c>
      <c r="B166" t="inlineStr">
        <is>
          <t>Produto</t>
        </is>
      </c>
      <c r="C166" s="121" t="inlineStr">
        <is>
          <t>Jaqueta esportiva unissex preto tam. 34</t>
        </is>
      </c>
      <c r="D166" s="109" t="n">
        <v>195.7</v>
      </c>
      <c r="E166" s="123" t="n">
        <v>50</v>
      </c>
      <c r="F166" s="109">
        <f>ROUND(D166*(1+(E166/100)),2)</f>
        <v/>
      </c>
      <c r="G166" t="n">
        <v>15</v>
      </c>
      <c r="H166" t="n">
        <v>5</v>
      </c>
    </row>
    <row r="167">
      <c r="A167" t="n">
        <v>166</v>
      </c>
      <c r="B167" t="inlineStr">
        <is>
          <t>Produto</t>
        </is>
      </c>
      <c r="C167" s="121" t="inlineStr">
        <is>
          <t>Step de ginástica ergonômico rosa</t>
        </is>
      </c>
      <c r="D167" s="109" t="n">
        <v>279.8</v>
      </c>
      <c r="E167" s="123" t="n">
        <v>50</v>
      </c>
      <c r="F167" s="109">
        <f>ROUND(D167*(1+(E167/100)),2)</f>
        <v/>
      </c>
      <c r="G167" t="n">
        <v>15</v>
      </c>
      <c r="H167" t="n">
        <v>5</v>
      </c>
    </row>
    <row r="168">
      <c r="A168" t="n">
        <v>167</v>
      </c>
      <c r="B168" t="inlineStr">
        <is>
          <t>Produto</t>
        </is>
      </c>
      <c r="C168" s="121" t="inlineStr">
        <is>
          <t>Regata esportiva alta performance rosa tam. M</t>
        </is>
      </c>
      <c r="D168" s="109" t="n">
        <v>44.55</v>
      </c>
      <c r="E168" s="123" t="n">
        <v>50</v>
      </c>
      <c r="F168" s="109">
        <f>ROUND(D168*(1+(E168/100)),2)</f>
        <v/>
      </c>
      <c r="G168" t="n">
        <v>15</v>
      </c>
      <c r="H168" t="n">
        <v>5</v>
      </c>
    </row>
    <row r="169">
      <c r="A169" t="n">
        <v>168</v>
      </c>
      <c r="B169" t="inlineStr">
        <is>
          <t>Produto</t>
        </is>
      </c>
      <c r="C169" s="121" t="inlineStr">
        <is>
          <t>Corda de pular modelo básico azul</t>
        </is>
      </c>
      <c r="D169" s="109" t="n">
        <v>78.41</v>
      </c>
      <c r="E169" s="123" t="n">
        <v>50</v>
      </c>
      <c r="F169" s="109">
        <f>ROUND(D169*(1+(E169/100)),2)</f>
        <v/>
      </c>
      <c r="G169" t="n">
        <v>15</v>
      </c>
      <c r="H169" t="n">
        <v>5</v>
      </c>
    </row>
    <row r="170">
      <c r="A170" t="n">
        <v>169</v>
      </c>
      <c r="B170" t="inlineStr">
        <is>
          <t>Produto</t>
        </is>
      </c>
      <c r="C170" s="121" t="inlineStr">
        <is>
          <t>Kettlebell ergonômico cinza</t>
        </is>
      </c>
      <c r="D170" s="109" t="n">
        <v>169.08</v>
      </c>
      <c r="E170" s="123" t="n">
        <v>50</v>
      </c>
      <c r="F170" s="109">
        <f>ROUND(D170*(1+(E170/100)),2)</f>
        <v/>
      </c>
      <c r="G170" t="n">
        <v>15</v>
      </c>
      <c r="H170" t="n">
        <v>5</v>
      </c>
    </row>
    <row r="171">
      <c r="A171" t="n">
        <v>170</v>
      </c>
      <c r="B171" t="inlineStr">
        <is>
          <t>Produto</t>
        </is>
      </c>
      <c r="C171" s="121" t="inlineStr">
        <is>
          <t>Elástico de resistência juvenil rosa</t>
        </is>
      </c>
      <c r="D171" s="109" t="n">
        <v>12.34</v>
      </c>
      <c r="E171" s="123" t="n">
        <v>50</v>
      </c>
      <c r="F171" s="109">
        <f>ROUND(D171*(1+(E171/100)),2)</f>
        <v/>
      </c>
      <c r="G171" t="n">
        <v>15</v>
      </c>
      <c r="H171" t="n">
        <v>5</v>
      </c>
    </row>
    <row r="172">
      <c r="A172" t="n">
        <v>171</v>
      </c>
      <c r="B172" t="inlineStr">
        <is>
          <t>Produto</t>
        </is>
      </c>
      <c r="C172" s="121" t="inlineStr">
        <is>
          <t>Mochila esportiva treino laranja</t>
        </is>
      </c>
      <c r="D172" s="109" t="n">
        <v>212.38</v>
      </c>
      <c r="E172" s="123" t="n">
        <v>50</v>
      </c>
      <c r="F172" s="109">
        <f>ROUND(D172*(1+(E172/100)),2)</f>
        <v/>
      </c>
      <c r="G172" t="n">
        <v>15</v>
      </c>
      <c r="H172" t="n">
        <v>5</v>
      </c>
    </row>
    <row r="173">
      <c r="A173" t="n">
        <v>172</v>
      </c>
      <c r="B173" t="inlineStr">
        <is>
          <t>Produto</t>
        </is>
      </c>
      <c r="C173" s="121" t="inlineStr">
        <is>
          <t>Bola de futebol com ajuste laranja</t>
        </is>
      </c>
      <c r="D173" s="109" t="n">
        <v>38.07</v>
      </c>
      <c r="E173" s="123" t="n">
        <v>50</v>
      </c>
      <c r="F173" s="109">
        <f>ROUND(D173*(1+(E173/100)),2)</f>
        <v/>
      </c>
      <c r="G173" t="n">
        <v>15</v>
      </c>
      <c r="H173" t="n">
        <v>5</v>
      </c>
    </row>
    <row r="174">
      <c r="A174" t="n">
        <v>173</v>
      </c>
      <c r="B174" t="inlineStr">
        <is>
          <t>Produto</t>
        </is>
      </c>
      <c r="C174" s="121" t="inlineStr">
        <is>
          <t>Monitor cardíaco versão 2026 rosa</t>
        </is>
      </c>
      <c r="D174" s="109" t="n">
        <v>395.41</v>
      </c>
      <c r="E174" s="123" t="n">
        <v>50</v>
      </c>
      <c r="F174" s="109">
        <f>ROUND(D174*(1+(E174/100)),2)</f>
        <v/>
      </c>
      <c r="G174" t="n">
        <v>15</v>
      </c>
      <c r="H174" t="n">
        <v>5</v>
      </c>
    </row>
    <row r="175">
      <c r="A175" t="n">
        <v>174</v>
      </c>
      <c r="B175" t="inlineStr">
        <is>
          <t>Produto</t>
        </is>
      </c>
      <c r="C175" s="121" t="inlineStr">
        <is>
          <t>Step de ginástica reforçado cinza</t>
        </is>
      </c>
      <c r="D175" s="109" t="n">
        <v>191.75</v>
      </c>
      <c r="E175" s="123" t="n">
        <v>50</v>
      </c>
      <c r="F175" s="109">
        <f>ROUND(D175*(1+(E175/100)),2)</f>
        <v/>
      </c>
      <c r="G175" t="n">
        <v>15</v>
      </c>
      <c r="H175" t="n">
        <v>5</v>
      </c>
    </row>
    <row r="176">
      <c r="A176" t="n">
        <v>175</v>
      </c>
      <c r="B176" t="inlineStr">
        <is>
          <t>Produto</t>
        </is>
      </c>
      <c r="C176" s="121" t="inlineStr">
        <is>
          <t>Garrafa squeeze ergonômico azul</t>
        </is>
      </c>
      <c r="D176" s="109" t="n">
        <v>10.41</v>
      </c>
      <c r="E176" s="123" t="n">
        <v>50</v>
      </c>
      <c r="F176" s="109">
        <f>ROUND(D176*(1+(E176/100)),2)</f>
        <v/>
      </c>
      <c r="G176" t="n">
        <v>15</v>
      </c>
      <c r="H176" t="n">
        <v>5</v>
      </c>
    </row>
    <row r="177">
      <c r="A177" t="n">
        <v>176</v>
      </c>
      <c r="B177" t="inlineStr">
        <is>
          <t>Produto</t>
        </is>
      </c>
      <c r="C177" s="121" t="inlineStr">
        <is>
          <t>Touca de natação compacto vermelho tam. 34</t>
        </is>
      </c>
      <c r="D177" s="109" t="n">
        <v>37.03</v>
      </c>
      <c r="E177" s="123" t="n">
        <v>50</v>
      </c>
      <c r="F177" s="109">
        <f>ROUND(D177*(1+(E177/100)),2)</f>
        <v/>
      </c>
      <c r="G177" t="n">
        <v>15</v>
      </c>
      <c r="H177" t="n">
        <v>5</v>
      </c>
    </row>
    <row r="178">
      <c r="A178" t="n">
        <v>177</v>
      </c>
      <c r="B178" t="inlineStr">
        <is>
          <t>Produto</t>
        </is>
      </c>
      <c r="C178" s="121" t="inlineStr">
        <is>
          <t>Luva de goleiro profissional verde tam. M</t>
        </is>
      </c>
      <c r="D178" s="109" t="n">
        <v>123.61</v>
      </c>
      <c r="E178" s="123" t="n">
        <v>50</v>
      </c>
      <c r="F178" s="109">
        <f>ROUND(D178*(1+(E178/100)),2)</f>
        <v/>
      </c>
      <c r="G178" t="n">
        <v>15</v>
      </c>
      <c r="H178" t="n">
        <v>5</v>
      </c>
    </row>
    <row r="179">
      <c r="A179" t="n">
        <v>178</v>
      </c>
      <c r="B179" t="inlineStr">
        <is>
          <t>Produto</t>
        </is>
      </c>
      <c r="C179" s="121" t="inlineStr">
        <is>
          <t>Tênis para quadra ergonômico cinza tam. 42</t>
        </is>
      </c>
      <c r="D179" s="109" t="n">
        <v>361.52</v>
      </c>
      <c r="E179" s="123" t="n">
        <v>50</v>
      </c>
      <c r="F179" s="109">
        <f>ROUND(D179*(1+(E179/100)),2)</f>
        <v/>
      </c>
      <c r="G179" t="n">
        <v>15</v>
      </c>
      <c r="H179" t="n">
        <v>5</v>
      </c>
    </row>
    <row r="180">
      <c r="A180" t="n">
        <v>179</v>
      </c>
      <c r="B180" t="inlineStr">
        <is>
          <t>Produto</t>
        </is>
      </c>
      <c r="C180" s="121" t="inlineStr">
        <is>
          <t>Corda de pular ergonômico verde</t>
        </is>
      </c>
      <c r="D180" s="109" t="n">
        <v>45.94</v>
      </c>
      <c r="E180" s="123" t="n">
        <v>50</v>
      </c>
      <c r="F180" s="109">
        <f>ROUND(D180*(1+(E180/100)),2)</f>
        <v/>
      </c>
      <c r="G180" t="n">
        <v>15</v>
      </c>
      <c r="H180" t="n">
        <v>5</v>
      </c>
    </row>
    <row r="181">
      <c r="A181" t="n">
        <v>180</v>
      </c>
      <c r="B181" t="inlineStr">
        <is>
          <t>Produto</t>
        </is>
      </c>
      <c r="C181" s="121" t="inlineStr">
        <is>
          <t>Chuteira society reforçado vermelho tam. M</t>
        </is>
      </c>
      <c r="D181" s="109" t="n">
        <v>159.39</v>
      </c>
      <c r="E181" s="123" t="n">
        <v>50</v>
      </c>
      <c r="F181" s="109">
        <f>ROUND(D181*(1+(E181/100)),2)</f>
        <v/>
      </c>
      <c r="G181" t="n">
        <v>15</v>
      </c>
      <c r="H181" t="n">
        <v>5</v>
      </c>
    </row>
    <row r="182">
      <c r="A182" t="n">
        <v>181</v>
      </c>
      <c r="B182" t="inlineStr">
        <is>
          <t>Produto</t>
        </is>
      </c>
      <c r="C182" s="121" t="inlineStr">
        <is>
          <t>Corda de pular resistente cinza</t>
        </is>
      </c>
      <c r="D182" s="109" t="n">
        <v>75.40000000000001</v>
      </c>
      <c r="E182" s="123" t="n">
        <v>50</v>
      </c>
      <c r="F182" s="109">
        <f>ROUND(D182*(1+(E182/100)),2)</f>
        <v/>
      </c>
      <c r="G182" t="n">
        <v>15</v>
      </c>
      <c r="H182" t="n">
        <v>5</v>
      </c>
    </row>
    <row r="183">
      <c r="A183" t="n">
        <v>182</v>
      </c>
      <c r="B183" t="inlineStr">
        <is>
          <t>Produto</t>
        </is>
      </c>
      <c r="C183" s="121" t="inlineStr">
        <is>
          <t>Garrafa squeeze unissex rosa</t>
        </is>
      </c>
      <c r="D183" s="109" t="n">
        <v>53.07</v>
      </c>
      <c r="E183" s="123" t="n">
        <v>50</v>
      </c>
      <c r="F183" s="109">
        <f>ROUND(D183*(1+(E183/100)),2)</f>
        <v/>
      </c>
      <c r="G183" t="n">
        <v>15</v>
      </c>
      <c r="H183" t="n">
        <v>5</v>
      </c>
    </row>
    <row r="184">
      <c r="A184" t="n">
        <v>183</v>
      </c>
      <c r="B184" t="inlineStr">
        <is>
          <t>Produto</t>
        </is>
      </c>
      <c r="C184" s="121" t="inlineStr">
        <is>
          <t>Bicicleta urbana ergonômico branco</t>
        </is>
      </c>
      <c r="D184" s="109" t="n">
        <v>1716.62</v>
      </c>
      <c r="E184" s="123" t="n">
        <v>50</v>
      </c>
      <c r="F184" s="109">
        <f>ROUND(D184*(1+(E184/100)),2)</f>
        <v/>
      </c>
      <c r="G184" t="n">
        <v>15</v>
      </c>
      <c r="H184" t="n">
        <v>5</v>
      </c>
    </row>
    <row r="185">
      <c r="A185" t="n">
        <v>184</v>
      </c>
      <c r="B185" t="inlineStr">
        <is>
          <t>Produto</t>
        </is>
      </c>
      <c r="C185" s="121" t="inlineStr">
        <is>
          <t>Step de ginástica para uso diário rosa</t>
        </is>
      </c>
      <c r="D185" s="109" t="n">
        <v>283.82</v>
      </c>
      <c r="E185" s="123" t="n">
        <v>50</v>
      </c>
      <c r="F185" s="109">
        <f>ROUND(D185*(1+(E185/100)),2)</f>
        <v/>
      </c>
      <c r="G185" t="n">
        <v>15</v>
      </c>
      <c r="H185" t="n">
        <v>5</v>
      </c>
    </row>
    <row r="186">
      <c r="A186" t="n">
        <v>185</v>
      </c>
      <c r="B186" t="inlineStr">
        <is>
          <t>Produto</t>
        </is>
      </c>
      <c r="C186" s="121" t="inlineStr">
        <is>
          <t>Short esportivo unissex laranja tam. GG</t>
        </is>
      </c>
      <c r="D186" s="109" t="n">
        <v>94.98</v>
      </c>
      <c r="E186" s="123" t="n">
        <v>50</v>
      </c>
      <c r="F186" s="109">
        <f>ROUND(D186*(1+(E186/100)),2)</f>
        <v/>
      </c>
      <c r="G186" t="n">
        <v>15</v>
      </c>
      <c r="H186" t="n">
        <v>5</v>
      </c>
    </row>
    <row r="187">
      <c r="A187" t="n">
        <v>186</v>
      </c>
      <c r="B187" t="inlineStr">
        <is>
          <t>Produto</t>
        </is>
      </c>
      <c r="C187" s="121" t="inlineStr">
        <is>
          <t>Corda de pular modelo básico rosa</t>
        </is>
      </c>
      <c r="D187" s="109" t="n">
        <v>66.06999999999999</v>
      </c>
      <c r="E187" s="123" t="n">
        <v>50</v>
      </c>
      <c r="F187" s="109">
        <f>ROUND(D187*(1+(E187/100)),2)</f>
        <v/>
      </c>
      <c r="G187" t="n">
        <v>15</v>
      </c>
      <c r="H187" t="n">
        <v>5</v>
      </c>
    </row>
    <row r="188">
      <c r="A188" t="n">
        <v>187</v>
      </c>
      <c r="B188" t="inlineStr">
        <is>
          <t>Produto</t>
        </is>
      </c>
      <c r="C188" s="121" t="inlineStr">
        <is>
          <t>Bloco para yoga recreativo rosa</t>
        </is>
      </c>
      <c r="D188" s="109" t="n">
        <v>46.57</v>
      </c>
      <c r="E188" s="123" t="n">
        <v>50</v>
      </c>
      <c r="F188" s="109">
        <f>ROUND(D188*(1+(E188/100)),2)</f>
        <v/>
      </c>
      <c r="G188" t="n">
        <v>15</v>
      </c>
      <c r="H188" t="n">
        <v>5</v>
      </c>
    </row>
    <row r="189">
      <c r="A189" t="n">
        <v>188</v>
      </c>
      <c r="B189" t="inlineStr">
        <is>
          <t>Produto</t>
        </is>
      </c>
      <c r="C189" s="121" t="inlineStr">
        <is>
          <t>Chuteira de campo unissex branco tam. M</t>
        </is>
      </c>
      <c r="D189" s="109" t="n">
        <v>481.06</v>
      </c>
      <c r="E189" s="123" t="n">
        <v>50</v>
      </c>
      <c r="F189" s="109">
        <f>ROUND(D189*(1+(E189/100)),2)</f>
        <v/>
      </c>
      <c r="G189" t="n">
        <v>15</v>
      </c>
      <c r="H189" t="n">
        <v>5</v>
      </c>
    </row>
    <row r="190">
      <c r="A190" t="n">
        <v>189</v>
      </c>
      <c r="B190" t="inlineStr">
        <is>
          <t>Produto</t>
        </is>
      </c>
      <c r="C190" s="121" t="inlineStr">
        <is>
          <t>Bicicleta urbana resistente rosa</t>
        </is>
      </c>
      <c r="D190" s="109" t="n">
        <v>537.04</v>
      </c>
      <c r="E190" s="123" t="n">
        <v>50</v>
      </c>
      <c r="F190" s="109">
        <f>ROUND(D190*(1+(E190/100)),2)</f>
        <v/>
      </c>
      <c r="G190" t="n">
        <v>15</v>
      </c>
      <c r="H190" t="n">
        <v>5</v>
      </c>
    </row>
    <row r="191">
      <c r="A191" t="n">
        <v>190</v>
      </c>
      <c r="B191" t="inlineStr">
        <is>
          <t>Produto</t>
        </is>
      </c>
      <c r="C191" s="121" t="inlineStr">
        <is>
          <t>Chuteira society recreativo azul tam. 40</t>
        </is>
      </c>
      <c r="D191" s="109" t="n">
        <v>341.29</v>
      </c>
      <c r="E191" s="123" t="n">
        <v>50</v>
      </c>
      <c r="F191" s="109">
        <f>ROUND(D191*(1+(E191/100)),2)</f>
        <v/>
      </c>
      <c r="G191" t="n">
        <v>15</v>
      </c>
      <c r="H191" t="n">
        <v>5</v>
      </c>
    </row>
    <row r="192">
      <c r="A192" t="n">
        <v>191</v>
      </c>
      <c r="B192" t="inlineStr">
        <is>
          <t>Produto</t>
        </is>
      </c>
      <c r="C192" s="121" t="inlineStr">
        <is>
          <t>Mochila esportiva versão 2026 laranja</t>
        </is>
      </c>
      <c r="D192" s="109" t="n">
        <v>168.5</v>
      </c>
      <c r="E192" s="123" t="n">
        <v>50</v>
      </c>
      <c r="F192" s="109">
        <f>ROUND(D192*(1+(E192/100)),2)</f>
        <v/>
      </c>
      <c r="G192" t="n">
        <v>15</v>
      </c>
      <c r="H192" t="n">
        <v>5</v>
      </c>
    </row>
    <row r="193">
      <c r="A193" t="n">
        <v>192</v>
      </c>
      <c r="B193" t="inlineStr">
        <is>
          <t>Produto</t>
        </is>
      </c>
      <c r="C193" s="121" t="inlineStr">
        <is>
          <t>Kettlebell para uso diário branco</t>
        </is>
      </c>
      <c r="D193" s="109" t="n">
        <v>161.57</v>
      </c>
      <c r="E193" s="123" t="n">
        <v>50</v>
      </c>
      <c r="F193" s="109">
        <f>ROUND(D193*(1+(E193/100)),2)</f>
        <v/>
      </c>
      <c r="G193" t="n">
        <v>15</v>
      </c>
      <c r="H193" t="n">
        <v>5</v>
      </c>
    </row>
    <row r="194">
      <c r="A194" t="n">
        <v>193</v>
      </c>
      <c r="B194" t="inlineStr">
        <is>
          <t>Produto</t>
        </is>
      </c>
      <c r="C194" s="121" t="inlineStr">
        <is>
          <t>Step de ginástica ventilado preto</t>
        </is>
      </c>
      <c r="D194" s="109" t="n">
        <v>208.13</v>
      </c>
      <c r="E194" s="123" t="n">
        <v>50</v>
      </c>
      <c r="F194" s="109">
        <f>ROUND(D194*(1+(E194/100)),2)</f>
        <v/>
      </c>
      <c r="G194" t="n">
        <v>15</v>
      </c>
      <c r="H194" t="n">
        <v>5</v>
      </c>
    </row>
    <row r="195">
      <c r="A195" t="n">
        <v>194</v>
      </c>
      <c r="B195" t="inlineStr">
        <is>
          <t>Produto</t>
        </is>
      </c>
      <c r="C195" s="121" t="inlineStr">
        <is>
          <t>Meias esportivas compacto azul tam. 38</t>
        </is>
      </c>
      <c r="D195" s="109" t="n">
        <v>41.16</v>
      </c>
      <c r="E195" s="123" t="n">
        <v>50</v>
      </c>
      <c r="F195" s="109">
        <f>ROUND(D195*(1+(E195/100)),2)</f>
        <v/>
      </c>
      <c r="G195" t="n">
        <v>15</v>
      </c>
      <c r="H195" t="n">
        <v>5</v>
      </c>
    </row>
    <row r="196">
      <c r="A196" t="n">
        <v>195</v>
      </c>
      <c r="B196" t="inlineStr">
        <is>
          <t>Produto</t>
        </is>
      </c>
      <c r="C196" s="121" t="inlineStr">
        <is>
          <t>Step de ginástica com ajuste vermelho</t>
        </is>
      </c>
      <c r="D196" s="109" t="n">
        <v>226.5</v>
      </c>
      <c r="E196" s="123" t="n">
        <v>50</v>
      </c>
      <c r="F196" s="109">
        <f>ROUND(D196*(1+(E196/100)),2)</f>
        <v/>
      </c>
      <c r="G196" t="n">
        <v>15</v>
      </c>
      <c r="H196" t="n">
        <v>5</v>
      </c>
    </row>
    <row r="197">
      <c r="A197" t="n">
        <v>196</v>
      </c>
      <c r="B197" t="inlineStr">
        <is>
          <t>Produto</t>
        </is>
      </c>
      <c r="C197" s="121" t="inlineStr">
        <is>
          <t>Bola de basquete modelo básico preto</t>
        </is>
      </c>
      <c r="D197" s="109" t="n">
        <v>69.38</v>
      </c>
      <c r="E197" s="123" t="n">
        <v>50</v>
      </c>
      <c r="F197" s="109">
        <f>ROUND(D197*(1+(E197/100)),2)</f>
        <v/>
      </c>
      <c r="G197" t="n">
        <v>15</v>
      </c>
      <c r="H197" t="n">
        <v>5</v>
      </c>
    </row>
    <row r="198">
      <c r="A198" t="n">
        <v>197</v>
      </c>
      <c r="B198" t="inlineStr">
        <is>
          <t>Produto</t>
        </is>
      </c>
      <c r="C198" s="121" t="inlineStr">
        <is>
          <t>Tapete de yoga recreativo verde</t>
        </is>
      </c>
      <c r="D198" s="109" t="n">
        <v>106.8</v>
      </c>
      <c r="E198" s="123" t="n">
        <v>50</v>
      </c>
      <c r="F198" s="109">
        <f>ROUND(D198*(1+(E198/100)),2)</f>
        <v/>
      </c>
      <c r="G198" t="n">
        <v>15</v>
      </c>
      <c r="H198" t="n">
        <v>5</v>
      </c>
    </row>
    <row r="199">
      <c r="A199" t="n">
        <v>198</v>
      </c>
      <c r="B199" t="inlineStr">
        <is>
          <t>Produto</t>
        </is>
      </c>
      <c r="C199" s="121" t="inlineStr">
        <is>
          <t>Protetor bucal leve vermelho</t>
        </is>
      </c>
      <c r="D199" s="109" t="n">
        <v>12.97</v>
      </c>
      <c r="E199" s="123" t="n">
        <v>50</v>
      </c>
      <c r="F199" s="109">
        <f>ROUND(D199*(1+(E199/100)),2)</f>
        <v/>
      </c>
      <c r="G199" t="n">
        <v>15</v>
      </c>
      <c r="H199" t="n">
        <v>5</v>
      </c>
    </row>
    <row r="200">
      <c r="A200" t="n">
        <v>199</v>
      </c>
      <c r="B200" t="inlineStr">
        <is>
          <t>Produto</t>
        </is>
      </c>
      <c r="C200" s="121" t="inlineStr">
        <is>
          <t>Bloco para yoga compacto rosa</t>
        </is>
      </c>
      <c r="D200" s="109" t="n">
        <v>44.54</v>
      </c>
      <c r="E200" s="123" t="n">
        <v>50</v>
      </c>
      <c r="F200" s="109">
        <f>ROUND(D200*(1+(E200/100)),2)</f>
        <v/>
      </c>
      <c r="G200" t="n">
        <v>15</v>
      </c>
      <c r="H200" t="n">
        <v>5</v>
      </c>
    </row>
    <row r="201">
      <c r="A201" t="n">
        <v>200</v>
      </c>
      <c r="B201" t="inlineStr">
        <is>
          <t>Produto</t>
        </is>
      </c>
      <c r="C201" s="121" t="inlineStr">
        <is>
          <t>Chuteira society com ajuste cinza tam. 40</t>
        </is>
      </c>
      <c r="D201" s="109" t="n">
        <v>151.86</v>
      </c>
      <c r="E201" s="123" t="n">
        <v>50</v>
      </c>
      <c r="F201" s="109">
        <f>ROUND(D201*(1+(E201/100)),2)</f>
        <v/>
      </c>
      <c r="G201" t="n">
        <v>15</v>
      </c>
      <c r="H201" t="n">
        <v>5</v>
      </c>
    </row>
    <row r="202">
      <c r="A202" t="n">
        <v>201</v>
      </c>
      <c r="B202" t="inlineStr">
        <is>
          <t>Produto</t>
        </is>
      </c>
      <c r="C202" s="121" t="inlineStr">
        <is>
          <t>Bola de futebol iniciante vermelho</t>
        </is>
      </c>
      <c r="D202" s="109" t="n">
        <v>41.02</v>
      </c>
      <c r="E202" s="123" t="n">
        <v>50</v>
      </c>
      <c r="F202" s="109">
        <f>ROUND(D202*(1+(E202/100)),2)</f>
        <v/>
      </c>
      <c r="G202" t="n">
        <v>15</v>
      </c>
      <c r="H202" t="n">
        <v>5</v>
      </c>
    </row>
    <row r="203">
      <c r="A203" t="n">
        <v>202</v>
      </c>
      <c r="B203" t="inlineStr">
        <is>
          <t>Produto</t>
        </is>
      </c>
      <c r="C203" s="121" t="inlineStr">
        <is>
          <t>Colchonete de exercício iniciante laranja</t>
        </is>
      </c>
      <c r="D203" s="109" t="n">
        <v>90.20999999999999</v>
      </c>
      <c r="E203" s="123" t="n">
        <v>50</v>
      </c>
      <c r="F203" s="109">
        <f>ROUND(D203*(1+(E203/100)),2)</f>
        <v/>
      </c>
      <c r="G203" t="n">
        <v>15</v>
      </c>
      <c r="H203" t="n">
        <v>5</v>
      </c>
    </row>
    <row r="204">
      <c r="A204" t="n">
        <v>203</v>
      </c>
      <c r="B204" t="inlineStr">
        <is>
          <t>Produto</t>
        </is>
      </c>
      <c r="C204" s="121" t="inlineStr">
        <is>
          <t>Capacete de ciclismo reforçado laranja</t>
        </is>
      </c>
      <c r="D204" s="109" t="n">
        <v>314.18</v>
      </c>
      <c r="E204" s="123" t="n">
        <v>50</v>
      </c>
      <c r="F204" s="109">
        <f>ROUND(D204*(1+(E204/100)),2)</f>
        <v/>
      </c>
      <c r="G204" t="n">
        <v>15</v>
      </c>
      <c r="H204" t="n">
        <v>5</v>
      </c>
    </row>
    <row r="205">
      <c r="A205" t="n">
        <v>204</v>
      </c>
      <c r="B205" t="inlineStr">
        <is>
          <t>Produto</t>
        </is>
      </c>
      <c r="C205" s="121" t="inlineStr">
        <is>
          <t>Tênis de corrida para uso diário branco tam. 44</t>
        </is>
      </c>
      <c r="D205" s="109" t="n">
        <v>240.83</v>
      </c>
      <c r="E205" s="123" t="n">
        <v>50</v>
      </c>
      <c r="F205" s="109">
        <f>ROUND(D205*(1+(E205/100)),2)</f>
        <v/>
      </c>
      <c r="G205" t="n">
        <v>15</v>
      </c>
      <c r="H205" t="n">
        <v>5</v>
      </c>
    </row>
    <row r="206">
      <c r="A206" t="n">
        <v>205</v>
      </c>
      <c r="B206" t="inlineStr">
        <is>
          <t>Produto</t>
        </is>
      </c>
      <c r="C206" s="121" t="inlineStr">
        <is>
          <t>Skate adulto laranja</t>
        </is>
      </c>
      <c r="D206" s="109" t="n">
        <v>229.93</v>
      </c>
      <c r="E206" s="123" t="n">
        <v>50</v>
      </c>
      <c r="F206" s="109">
        <f>ROUND(D206*(1+(E206/100)),2)</f>
        <v/>
      </c>
      <c r="G206" t="n">
        <v>15</v>
      </c>
      <c r="H206" t="n">
        <v>5</v>
      </c>
    </row>
    <row r="207">
      <c r="A207" t="n">
        <v>206</v>
      </c>
      <c r="B207" t="inlineStr">
        <is>
          <t>Produto</t>
        </is>
      </c>
      <c r="C207" s="121" t="inlineStr">
        <is>
          <t>Protetor bucal versão 2026 rosa</t>
        </is>
      </c>
      <c r="D207" s="109" t="n">
        <v>51.41</v>
      </c>
      <c r="E207" s="123" t="n">
        <v>50</v>
      </c>
      <c r="F207" s="109">
        <f>ROUND(D207*(1+(E207/100)),2)</f>
        <v/>
      </c>
      <c r="G207" t="n">
        <v>15</v>
      </c>
      <c r="H207" t="n">
        <v>5</v>
      </c>
    </row>
    <row r="208">
      <c r="A208" t="n">
        <v>207</v>
      </c>
      <c r="B208" t="inlineStr">
        <is>
          <t>Produto</t>
        </is>
      </c>
      <c r="C208" s="121" t="inlineStr">
        <is>
          <t>Garrafa squeeze versão 2026 branco</t>
        </is>
      </c>
      <c r="D208" s="109" t="n">
        <v>20.11</v>
      </c>
      <c r="E208" s="123" t="n">
        <v>50</v>
      </c>
      <c r="F208" s="109">
        <f>ROUND(D208*(1+(E208/100)),2)</f>
        <v/>
      </c>
      <c r="G208" t="n">
        <v>15</v>
      </c>
      <c r="H208" t="n">
        <v>5</v>
      </c>
    </row>
    <row r="209">
      <c r="A209" t="n">
        <v>208</v>
      </c>
      <c r="B209" t="inlineStr">
        <is>
          <t>Produto</t>
        </is>
      </c>
      <c r="C209" s="121" t="inlineStr">
        <is>
          <t>Short esportivo premium vermelho tam. M</t>
        </is>
      </c>
      <c r="D209" s="109" t="n">
        <v>99.25</v>
      </c>
      <c r="E209" s="123" t="n">
        <v>50</v>
      </c>
      <c r="F209" s="109">
        <f>ROUND(D209*(1+(E209/100)),2)</f>
        <v/>
      </c>
      <c r="G209" t="n">
        <v>15</v>
      </c>
      <c r="H209" t="n">
        <v>5</v>
      </c>
    </row>
    <row r="210">
      <c r="A210" t="n">
        <v>209</v>
      </c>
      <c r="B210" t="inlineStr">
        <is>
          <t>Produto</t>
        </is>
      </c>
      <c r="C210" s="121" t="inlineStr">
        <is>
          <t>Óculos de natação iniciante rosa</t>
        </is>
      </c>
      <c r="D210" s="109" t="n">
        <v>16.54</v>
      </c>
      <c r="E210" s="123" t="n">
        <v>50</v>
      </c>
      <c r="F210" s="109">
        <f>ROUND(D210*(1+(E210/100)),2)</f>
        <v/>
      </c>
      <c r="G210" t="n">
        <v>15</v>
      </c>
      <c r="H210" t="n">
        <v>5</v>
      </c>
    </row>
    <row r="211">
      <c r="A211" t="n">
        <v>210</v>
      </c>
      <c r="B211" t="inlineStr">
        <is>
          <t>Produto</t>
        </is>
      </c>
      <c r="C211" s="121" t="inlineStr">
        <is>
          <t>Tapete de yoga profissional cinza</t>
        </is>
      </c>
      <c r="D211" s="109" t="n">
        <v>74.91</v>
      </c>
      <c r="E211" s="123" t="n">
        <v>50</v>
      </c>
      <c r="F211" s="109">
        <f>ROUND(D211*(1+(E211/100)),2)</f>
        <v/>
      </c>
      <c r="G211" t="n">
        <v>15</v>
      </c>
      <c r="H211" t="n">
        <v>5</v>
      </c>
    </row>
    <row r="212">
      <c r="A212" t="n">
        <v>211</v>
      </c>
      <c r="B212" t="inlineStr">
        <is>
          <t>Produto</t>
        </is>
      </c>
      <c r="C212" s="121" t="inlineStr">
        <is>
          <t>Corda de pular reforçado vermelho</t>
        </is>
      </c>
      <c r="D212" s="109" t="n">
        <v>72.65000000000001</v>
      </c>
      <c r="E212" s="123" t="n">
        <v>50</v>
      </c>
      <c r="F212" s="109">
        <f>ROUND(D212*(1+(E212/100)),2)</f>
        <v/>
      </c>
      <c r="G212" t="n">
        <v>15</v>
      </c>
      <c r="H212" t="n">
        <v>5</v>
      </c>
    </row>
    <row r="213">
      <c r="A213" t="n">
        <v>212</v>
      </c>
      <c r="B213" t="inlineStr">
        <is>
          <t>Produto</t>
        </is>
      </c>
      <c r="C213" s="121" t="inlineStr">
        <is>
          <t>Tapete de yoga resistente cinza</t>
        </is>
      </c>
      <c r="D213" s="109" t="n">
        <v>153.49</v>
      </c>
      <c r="E213" s="123" t="n">
        <v>50</v>
      </c>
      <c r="F213" s="109">
        <f>ROUND(D213*(1+(E213/100)),2)</f>
        <v/>
      </c>
      <c r="G213" t="n">
        <v>15</v>
      </c>
      <c r="H213" t="n">
        <v>5</v>
      </c>
    </row>
    <row r="214">
      <c r="A214" t="n">
        <v>213</v>
      </c>
      <c r="B214" t="inlineStr">
        <is>
          <t>Produto</t>
        </is>
      </c>
      <c r="C214" s="121" t="inlineStr">
        <is>
          <t>Mochila esportiva iniciante branco</t>
        </is>
      </c>
      <c r="D214" s="109" t="n">
        <v>200</v>
      </c>
      <c r="E214" s="123" t="n">
        <v>50</v>
      </c>
      <c r="F214" s="109">
        <f>ROUND(D214*(1+(E214/100)),2)</f>
        <v/>
      </c>
      <c r="G214" t="n">
        <v>15</v>
      </c>
      <c r="H214" t="n">
        <v>5</v>
      </c>
    </row>
    <row r="215">
      <c r="A215" t="n">
        <v>214</v>
      </c>
      <c r="B215" t="inlineStr">
        <is>
          <t>Produto</t>
        </is>
      </c>
      <c r="C215" s="121" t="inlineStr">
        <is>
          <t>Capacete de ciclismo recreativo verde</t>
        </is>
      </c>
      <c r="D215" s="109" t="n">
        <v>316.3</v>
      </c>
      <c r="E215" s="123" t="n">
        <v>50</v>
      </c>
      <c r="F215" s="109">
        <f>ROUND(D215*(1+(E215/100)),2)</f>
        <v/>
      </c>
      <c r="G215" t="n">
        <v>15</v>
      </c>
      <c r="H215" t="n">
        <v>5</v>
      </c>
    </row>
    <row r="216">
      <c r="A216" t="n">
        <v>215</v>
      </c>
      <c r="B216" t="inlineStr">
        <is>
          <t>Produto</t>
        </is>
      </c>
      <c r="C216" s="121" t="inlineStr">
        <is>
          <t>Bastão de caminhada ventilado branco</t>
        </is>
      </c>
      <c r="D216" s="109" t="n">
        <v>43.49</v>
      </c>
      <c r="E216" s="123" t="n">
        <v>50</v>
      </c>
      <c r="F216" s="109">
        <f>ROUND(D216*(1+(E216/100)),2)</f>
        <v/>
      </c>
      <c r="G216" t="n">
        <v>15</v>
      </c>
      <c r="H216" t="n">
        <v>5</v>
      </c>
    </row>
    <row r="217">
      <c r="A217" t="n">
        <v>216</v>
      </c>
      <c r="B217" t="inlineStr">
        <is>
          <t>Produto</t>
        </is>
      </c>
      <c r="C217" s="121" t="inlineStr">
        <is>
          <t>Elástico de resistência premium azul</t>
        </is>
      </c>
      <c r="D217" s="109" t="n">
        <v>31.48</v>
      </c>
      <c r="E217" s="123" t="n">
        <v>50</v>
      </c>
      <c r="F217" s="109">
        <f>ROUND(D217*(1+(E217/100)),2)</f>
        <v/>
      </c>
      <c r="G217" t="n">
        <v>15</v>
      </c>
      <c r="H217" t="n">
        <v>5</v>
      </c>
    </row>
    <row r="218">
      <c r="A218" t="n">
        <v>217</v>
      </c>
      <c r="B218" t="inlineStr">
        <is>
          <t>Produto</t>
        </is>
      </c>
      <c r="C218" s="121" t="inlineStr">
        <is>
          <t>Nadadeira unissex laranja</t>
        </is>
      </c>
      <c r="D218" s="109" t="n">
        <v>152.24</v>
      </c>
      <c r="E218" s="123" t="n">
        <v>50</v>
      </c>
      <c r="F218" s="109">
        <f>ROUND(D218*(1+(E218/100)),2)</f>
        <v/>
      </c>
      <c r="G218" t="n">
        <v>15</v>
      </c>
      <c r="H218" t="n">
        <v>5</v>
      </c>
    </row>
    <row r="219">
      <c r="A219" t="n">
        <v>218</v>
      </c>
      <c r="B219" t="inlineStr">
        <is>
          <t>Produto</t>
        </is>
      </c>
      <c r="C219" s="121" t="inlineStr">
        <is>
          <t>Tapete de yoga compacto rosa</t>
        </is>
      </c>
      <c r="D219" s="109" t="n">
        <v>27.85</v>
      </c>
      <c r="E219" s="123" t="n">
        <v>50</v>
      </c>
      <c r="F219" s="109">
        <f>ROUND(D219*(1+(E219/100)),2)</f>
        <v/>
      </c>
      <c r="G219" t="n">
        <v>15</v>
      </c>
      <c r="H219" t="n">
        <v>5</v>
      </c>
    </row>
    <row r="220">
      <c r="A220" t="n">
        <v>219</v>
      </c>
      <c r="B220" t="inlineStr">
        <is>
          <t>Produto</t>
        </is>
      </c>
      <c r="C220" s="121" t="inlineStr">
        <is>
          <t>Luva de goleiro versão 2026 verde tam. M</t>
        </is>
      </c>
      <c r="D220" s="109" t="n">
        <v>161.19</v>
      </c>
      <c r="E220" s="123" t="n">
        <v>50</v>
      </c>
      <c r="F220" s="109">
        <f>ROUND(D220*(1+(E220/100)),2)</f>
        <v/>
      </c>
      <c r="G220" t="n">
        <v>15</v>
      </c>
      <c r="H220" t="n">
        <v>5</v>
      </c>
    </row>
    <row r="221">
      <c r="A221" t="n">
        <v>220</v>
      </c>
      <c r="B221" t="inlineStr">
        <is>
          <t>Produto</t>
        </is>
      </c>
      <c r="C221" s="121" t="inlineStr">
        <is>
          <t>Capacete de ciclismo alta performance azul</t>
        </is>
      </c>
      <c r="D221" s="109" t="n">
        <v>91.55</v>
      </c>
      <c r="E221" s="123" t="n">
        <v>50</v>
      </c>
      <c r="F221" s="109">
        <f>ROUND(D221*(1+(E221/100)),2)</f>
        <v/>
      </c>
      <c r="G221" t="n">
        <v>15</v>
      </c>
      <c r="H221" t="n">
        <v>5</v>
      </c>
    </row>
    <row r="222">
      <c r="A222" t="n">
        <v>221</v>
      </c>
      <c r="B222" t="inlineStr">
        <is>
          <t>Produto</t>
        </is>
      </c>
      <c r="C222" s="121" t="inlineStr">
        <is>
          <t>Bola de vôlei ergonômico azul</t>
        </is>
      </c>
      <c r="D222" s="109" t="n">
        <v>32.11</v>
      </c>
      <c r="E222" s="123" t="n">
        <v>50</v>
      </c>
      <c r="F222" s="109">
        <f>ROUND(D222*(1+(E222/100)),2)</f>
        <v/>
      </c>
      <c r="G222" t="n">
        <v>15</v>
      </c>
      <c r="H222" t="n">
        <v>5</v>
      </c>
    </row>
    <row r="223">
      <c r="A223" t="n">
        <v>222</v>
      </c>
      <c r="B223" t="inlineStr">
        <is>
          <t>Produto</t>
        </is>
      </c>
      <c r="C223" s="121" t="inlineStr">
        <is>
          <t>Caneleira de futebol para uso diário rosa</t>
        </is>
      </c>
      <c r="D223" s="109" t="n">
        <v>40.88</v>
      </c>
      <c r="E223" s="123" t="n">
        <v>50</v>
      </c>
      <c r="F223" s="109">
        <f>ROUND(D223*(1+(E223/100)),2)</f>
        <v/>
      </c>
      <c r="G223" t="n">
        <v>15</v>
      </c>
      <c r="H223" t="n">
        <v>5</v>
      </c>
    </row>
    <row r="224">
      <c r="A224" t="n">
        <v>223</v>
      </c>
      <c r="B224" t="inlineStr">
        <is>
          <t>Produto</t>
        </is>
      </c>
      <c r="C224" s="121" t="inlineStr">
        <is>
          <t>Bola de pilates alta performance vermelho</t>
        </is>
      </c>
      <c r="D224" s="109" t="n">
        <v>108.94</v>
      </c>
      <c r="E224" s="123" t="n">
        <v>50</v>
      </c>
      <c r="F224" s="109">
        <f>ROUND(D224*(1+(E224/100)),2)</f>
        <v/>
      </c>
      <c r="G224" t="n">
        <v>15</v>
      </c>
      <c r="H224" t="n">
        <v>5</v>
      </c>
    </row>
    <row r="225">
      <c r="A225" t="n">
        <v>224</v>
      </c>
      <c r="B225" t="inlineStr">
        <is>
          <t>Produto</t>
        </is>
      </c>
      <c r="C225" s="121" t="inlineStr">
        <is>
          <t>Óculos de natação ergonômico laranja</t>
        </is>
      </c>
      <c r="D225" s="109" t="n">
        <v>141.53</v>
      </c>
      <c r="E225" s="123" t="n">
        <v>50</v>
      </c>
      <c r="F225" s="109">
        <f>ROUND(D225*(1+(E225/100)),2)</f>
        <v/>
      </c>
      <c r="G225" t="n">
        <v>15</v>
      </c>
      <c r="H225" t="n">
        <v>5</v>
      </c>
    </row>
    <row r="226">
      <c r="A226" t="n">
        <v>225</v>
      </c>
      <c r="B226" t="inlineStr">
        <is>
          <t>Produto</t>
        </is>
      </c>
      <c r="C226" s="121" t="inlineStr">
        <is>
          <t>Bolsa de academia modelo avançado verde</t>
        </is>
      </c>
      <c r="D226" s="109" t="n">
        <v>96.45</v>
      </c>
      <c r="E226" s="123" t="n">
        <v>50</v>
      </c>
      <c r="F226" s="109">
        <f>ROUND(D226*(1+(E226/100)),2)</f>
        <v/>
      </c>
      <c r="G226" t="n">
        <v>15</v>
      </c>
      <c r="H226" t="n">
        <v>5</v>
      </c>
    </row>
    <row r="227">
      <c r="A227" t="n">
        <v>226</v>
      </c>
      <c r="B227" t="inlineStr">
        <is>
          <t>Produto</t>
        </is>
      </c>
      <c r="C227" s="121" t="inlineStr">
        <is>
          <t>Meias esportivas treino branco tam. 42</t>
        </is>
      </c>
      <c r="D227" s="109" t="n">
        <v>38.4</v>
      </c>
      <c r="E227" s="123" t="n">
        <v>50</v>
      </c>
      <c r="F227" s="109">
        <f>ROUND(D227*(1+(E227/100)),2)</f>
        <v/>
      </c>
      <c r="G227" t="n">
        <v>15</v>
      </c>
      <c r="H227" t="n">
        <v>5</v>
      </c>
    </row>
    <row r="228">
      <c r="A228" t="n">
        <v>227</v>
      </c>
      <c r="B228" t="inlineStr">
        <is>
          <t>Produto</t>
        </is>
      </c>
      <c r="C228" s="121" t="inlineStr">
        <is>
          <t>Óculos de natação juvenil laranja</t>
        </is>
      </c>
      <c r="D228" s="109" t="n">
        <v>50.01</v>
      </c>
      <c r="E228" s="123" t="n">
        <v>50</v>
      </c>
      <c r="F228" s="109">
        <f>ROUND(D228*(1+(E228/100)),2)</f>
        <v/>
      </c>
      <c r="G228" t="n">
        <v>15</v>
      </c>
      <c r="H228" t="n">
        <v>5</v>
      </c>
    </row>
    <row r="229">
      <c r="A229" t="n">
        <v>228</v>
      </c>
      <c r="B229" t="inlineStr">
        <is>
          <t>Produto</t>
        </is>
      </c>
      <c r="C229" s="121" t="inlineStr">
        <is>
          <t>Tênis para quadra profissional verde tam. 44</t>
        </is>
      </c>
      <c r="D229" s="109" t="n">
        <v>468.32</v>
      </c>
      <c r="E229" s="123" t="n">
        <v>50</v>
      </c>
      <c r="F229" s="109">
        <f>ROUND(D229*(1+(E229/100)),2)</f>
        <v/>
      </c>
      <c r="G229" t="n">
        <v>15</v>
      </c>
      <c r="H229" t="n">
        <v>5</v>
      </c>
    </row>
    <row r="230">
      <c r="A230" t="n">
        <v>229</v>
      </c>
      <c r="B230" t="inlineStr">
        <is>
          <t>Produto</t>
        </is>
      </c>
      <c r="C230" s="121" t="inlineStr">
        <is>
          <t>Raquete de tênis compacto vermelho tam. 44</t>
        </is>
      </c>
      <c r="D230" s="109" t="n">
        <v>153.67</v>
      </c>
      <c r="E230" s="123" t="n">
        <v>50</v>
      </c>
      <c r="F230" s="109">
        <f>ROUND(D230*(1+(E230/100)),2)</f>
        <v/>
      </c>
      <c r="G230" t="n">
        <v>15</v>
      </c>
      <c r="H230" t="n">
        <v>5</v>
      </c>
    </row>
    <row r="231">
      <c r="A231" t="n">
        <v>230</v>
      </c>
      <c r="B231" t="inlineStr">
        <is>
          <t>Produto</t>
        </is>
      </c>
      <c r="C231" s="121" t="inlineStr">
        <is>
          <t>Step de ginástica reforçado verde</t>
        </is>
      </c>
      <c r="D231" s="109" t="n">
        <v>255.07</v>
      </c>
      <c r="E231" s="123" t="n">
        <v>50</v>
      </c>
      <c r="F231" s="109">
        <f>ROUND(D231*(1+(E231/100)),2)</f>
        <v/>
      </c>
      <c r="G231" t="n">
        <v>15</v>
      </c>
      <c r="H231" t="n">
        <v>5</v>
      </c>
    </row>
    <row r="232">
      <c r="A232" t="n">
        <v>231</v>
      </c>
      <c r="B232" t="inlineStr">
        <is>
          <t>Produto</t>
        </is>
      </c>
      <c r="C232" s="121" t="inlineStr">
        <is>
          <t>Jaqueta esportiva recreativo preto tam. 34</t>
        </is>
      </c>
      <c r="D232" s="109" t="n">
        <v>265.11</v>
      </c>
      <c r="E232" s="123" t="n">
        <v>50</v>
      </c>
      <c r="F232" s="109">
        <f>ROUND(D232*(1+(E232/100)),2)</f>
        <v/>
      </c>
      <c r="G232" t="n">
        <v>15</v>
      </c>
      <c r="H232" t="n">
        <v>5</v>
      </c>
    </row>
    <row r="233">
      <c r="A233" t="n">
        <v>232</v>
      </c>
      <c r="B233" t="inlineStr">
        <is>
          <t>Produto</t>
        </is>
      </c>
      <c r="C233" s="121" t="inlineStr">
        <is>
          <t>Chuteira society ventilado cinza tam. G</t>
        </is>
      </c>
      <c r="D233" s="109" t="n">
        <v>99.52</v>
      </c>
      <c r="E233" s="123" t="n">
        <v>50</v>
      </c>
      <c r="F233" s="109">
        <f>ROUND(D233*(1+(E233/100)),2)</f>
        <v/>
      </c>
      <c r="G233" t="n">
        <v>15</v>
      </c>
      <c r="H233" t="n">
        <v>5</v>
      </c>
    </row>
    <row r="234">
      <c r="A234" t="n">
        <v>233</v>
      </c>
      <c r="B234" t="inlineStr">
        <is>
          <t>Produto</t>
        </is>
      </c>
      <c r="C234" s="121" t="inlineStr">
        <is>
          <t>Bola de basquete adulto branco</t>
        </is>
      </c>
      <c r="D234" s="109" t="n">
        <v>126</v>
      </c>
      <c r="E234" s="123" t="n">
        <v>50</v>
      </c>
      <c r="F234" s="109">
        <f>ROUND(D234*(1+(E234/100)),2)</f>
        <v/>
      </c>
      <c r="G234" t="n">
        <v>15</v>
      </c>
      <c r="H234" t="n">
        <v>5</v>
      </c>
    </row>
    <row r="235">
      <c r="A235" t="n">
        <v>234</v>
      </c>
      <c r="B235" t="inlineStr">
        <is>
          <t>Produto</t>
        </is>
      </c>
      <c r="C235" s="121" t="inlineStr">
        <is>
          <t>Meias esportivas modelo básico preto tam. G</t>
        </is>
      </c>
      <c r="D235" s="109" t="n">
        <v>15.49</v>
      </c>
      <c r="E235" s="123" t="n">
        <v>50</v>
      </c>
      <c r="F235" s="109">
        <f>ROUND(D235*(1+(E235/100)),2)</f>
        <v/>
      </c>
      <c r="G235" t="n">
        <v>15</v>
      </c>
      <c r="H235" t="n">
        <v>5</v>
      </c>
    </row>
    <row r="236">
      <c r="A236" t="n">
        <v>235</v>
      </c>
      <c r="B236" t="inlineStr">
        <is>
          <t>Produto</t>
        </is>
      </c>
      <c r="C236" s="121" t="inlineStr">
        <is>
          <t>Chuteira de campo resistente azul tam. M</t>
        </is>
      </c>
      <c r="D236" s="109" t="n">
        <v>294.82</v>
      </c>
      <c r="E236" s="123" t="n">
        <v>50</v>
      </c>
      <c r="F236" s="109">
        <f>ROUND(D236*(1+(E236/100)),2)</f>
        <v/>
      </c>
      <c r="G236" t="n">
        <v>15</v>
      </c>
      <c r="H236" t="n">
        <v>5</v>
      </c>
    </row>
    <row r="237">
      <c r="A237" t="n">
        <v>236</v>
      </c>
      <c r="B237" t="inlineStr">
        <is>
          <t>Produto</t>
        </is>
      </c>
      <c r="C237" s="121" t="inlineStr">
        <is>
          <t>Banco de musculação resistente azul</t>
        </is>
      </c>
      <c r="D237" s="109" t="n">
        <v>776.59</v>
      </c>
      <c r="E237" s="123" t="n">
        <v>50</v>
      </c>
      <c r="F237" s="109">
        <f>ROUND(D237*(1+(E237/100)),2)</f>
        <v/>
      </c>
      <c r="G237" t="n">
        <v>15</v>
      </c>
      <c r="H237" t="n">
        <v>5</v>
      </c>
    </row>
    <row r="238">
      <c r="A238" t="n">
        <v>237</v>
      </c>
      <c r="B238" t="inlineStr">
        <is>
          <t>Produto</t>
        </is>
      </c>
      <c r="C238" s="121" t="inlineStr">
        <is>
          <t>Jaqueta esportiva juvenil cinza tam. 40</t>
        </is>
      </c>
      <c r="D238" s="109" t="n">
        <v>212.2</v>
      </c>
      <c r="E238" s="123" t="n">
        <v>50</v>
      </c>
      <c r="F238" s="109">
        <f>ROUND(D238*(1+(E238/100)),2)</f>
        <v/>
      </c>
      <c r="G238" t="n">
        <v>15</v>
      </c>
      <c r="H238" t="n">
        <v>5</v>
      </c>
    </row>
    <row r="239">
      <c r="A239" t="n">
        <v>238</v>
      </c>
      <c r="B239" t="inlineStr">
        <is>
          <t>Produto</t>
        </is>
      </c>
      <c r="C239" s="121" t="inlineStr">
        <is>
          <t>Bola de basquete ergonômico laranja</t>
        </is>
      </c>
      <c r="D239" s="109" t="n">
        <v>84.53</v>
      </c>
      <c r="E239" s="123" t="n">
        <v>50</v>
      </c>
      <c r="F239" s="109">
        <f>ROUND(D239*(1+(E239/100)),2)</f>
        <v/>
      </c>
      <c r="G239" t="n">
        <v>15</v>
      </c>
      <c r="H239" t="n">
        <v>5</v>
      </c>
    </row>
    <row r="240">
      <c r="A240" t="n">
        <v>239</v>
      </c>
      <c r="B240" t="inlineStr">
        <is>
          <t>Produto</t>
        </is>
      </c>
      <c r="C240" s="121" t="inlineStr">
        <is>
          <t>Tênis de corrida com ajuste azul tam. M</t>
        </is>
      </c>
      <c r="D240" s="109" t="n">
        <v>254.22</v>
      </c>
      <c r="E240" s="123" t="n">
        <v>50</v>
      </c>
      <c r="F240" s="109">
        <f>ROUND(D240*(1+(E240/100)),2)</f>
        <v/>
      </c>
      <c r="G240" t="n">
        <v>15</v>
      </c>
      <c r="H240" t="n">
        <v>5</v>
      </c>
    </row>
    <row r="241">
      <c r="A241" t="n">
        <v>240</v>
      </c>
      <c r="B241" t="inlineStr">
        <is>
          <t>Produto</t>
        </is>
      </c>
      <c r="C241" s="121" t="inlineStr">
        <is>
          <t>Chuteira society recreativo cinza tam. 44</t>
        </is>
      </c>
      <c r="D241" s="109" t="n">
        <v>287.85</v>
      </c>
      <c r="E241" s="123" t="n">
        <v>50</v>
      </c>
      <c r="F241" s="109">
        <f>ROUND(D241*(1+(E241/100)),2)</f>
        <v/>
      </c>
      <c r="G241" t="n">
        <v>15</v>
      </c>
      <c r="H241" t="n">
        <v>5</v>
      </c>
    </row>
    <row r="242">
      <c r="A242" t="n">
        <v>241</v>
      </c>
      <c r="B242" t="inlineStr">
        <is>
          <t>Produto</t>
        </is>
      </c>
      <c r="C242" s="121" t="inlineStr">
        <is>
          <t>Luva de goleiro para uso diário cinza tam. 40</t>
        </is>
      </c>
      <c r="D242" s="109" t="n">
        <v>133.14</v>
      </c>
      <c r="E242" s="123" t="n">
        <v>50</v>
      </c>
      <c r="F242" s="109">
        <f>ROUND(D242*(1+(E242/100)),2)</f>
        <v/>
      </c>
      <c r="G242" t="n">
        <v>15</v>
      </c>
      <c r="H242" t="n">
        <v>5</v>
      </c>
    </row>
    <row r="243">
      <c r="A243" t="n">
        <v>242</v>
      </c>
      <c r="B243" t="inlineStr">
        <is>
          <t>Produto</t>
        </is>
      </c>
      <c r="C243" s="121" t="inlineStr">
        <is>
          <t>Bicicleta ergométrica treino verde</t>
        </is>
      </c>
      <c r="D243" s="109" t="n">
        <v>1495.33</v>
      </c>
      <c r="E243" s="123" t="n">
        <v>50</v>
      </c>
      <c r="F243" s="109">
        <f>ROUND(D243*(1+(E243/100)),2)</f>
        <v/>
      </c>
      <c r="G243" t="n">
        <v>15</v>
      </c>
      <c r="H243" t="n">
        <v>5</v>
      </c>
    </row>
    <row r="244">
      <c r="A244" t="n">
        <v>243</v>
      </c>
      <c r="B244" t="inlineStr">
        <is>
          <t>Produto</t>
        </is>
      </c>
      <c r="C244" s="121" t="inlineStr">
        <is>
          <t>Jaqueta esportiva modelo básico rosa tam. 38</t>
        </is>
      </c>
      <c r="D244" s="109" t="n">
        <v>156.28</v>
      </c>
      <c r="E244" s="123" t="n">
        <v>50</v>
      </c>
      <c r="F244" s="109">
        <f>ROUND(D244*(1+(E244/100)),2)</f>
        <v/>
      </c>
      <c r="G244" t="n">
        <v>15</v>
      </c>
      <c r="H244" t="n">
        <v>5</v>
      </c>
    </row>
    <row r="245">
      <c r="A245" t="n">
        <v>244</v>
      </c>
      <c r="B245" t="inlineStr">
        <is>
          <t>Produto</t>
        </is>
      </c>
      <c r="C245" s="121" t="inlineStr">
        <is>
          <t>Tênis de corrida alta performance branco tam. 34</t>
        </is>
      </c>
      <c r="D245" s="109" t="n">
        <v>280.84</v>
      </c>
      <c r="E245" s="123" t="n">
        <v>50</v>
      </c>
      <c r="F245" s="109">
        <f>ROUND(D245*(1+(E245/100)),2)</f>
        <v/>
      </c>
      <c r="G245" t="n">
        <v>15</v>
      </c>
      <c r="H245" t="n">
        <v>5</v>
      </c>
    </row>
    <row r="246">
      <c r="A246" t="n">
        <v>245</v>
      </c>
      <c r="B246" t="inlineStr">
        <is>
          <t>Produto</t>
        </is>
      </c>
      <c r="C246" s="121" t="inlineStr">
        <is>
          <t>Chuteira society profissional azul tam. M</t>
        </is>
      </c>
      <c r="D246" s="109" t="n">
        <v>93.5</v>
      </c>
      <c r="E246" s="123" t="n">
        <v>50</v>
      </c>
      <c r="F246" s="109">
        <f>ROUND(D246*(1+(E246/100)),2)</f>
        <v/>
      </c>
      <c r="G246" t="n">
        <v>15</v>
      </c>
      <c r="H246" t="n">
        <v>5</v>
      </c>
    </row>
    <row r="247">
      <c r="A247" t="n">
        <v>246</v>
      </c>
      <c r="B247" t="inlineStr">
        <is>
          <t>Produto</t>
        </is>
      </c>
      <c r="C247" s="121" t="inlineStr">
        <is>
          <t>Tênis de corrida recreativo preto tam. 44</t>
        </is>
      </c>
      <c r="D247" s="109" t="n">
        <v>577.8200000000001</v>
      </c>
      <c r="E247" s="123" t="n">
        <v>50</v>
      </c>
      <c r="F247" s="109">
        <f>ROUND(D247*(1+(E247/100)),2)</f>
        <v/>
      </c>
      <c r="G247" t="n">
        <v>15</v>
      </c>
      <c r="H247" t="n">
        <v>5</v>
      </c>
    </row>
    <row r="248">
      <c r="A248" t="n">
        <v>247</v>
      </c>
      <c r="B248" t="inlineStr">
        <is>
          <t>Produto</t>
        </is>
      </c>
      <c r="C248" s="121" t="inlineStr">
        <is>
          <t>Luva de goleiro treino laranja tam. 36</t>
        </is>
      </c>
      <c r="D248" s="109" t="n">
        <v>212.64</v>
      </c>
      <c r="E248" s="123" t="n">
        <v>50</v>
      </c>
      <c r="F248" s="109">
        <f>ROUND(D248*(1+(E248/100)),2)</f>
        <v/>
      </c>
      <c r="G248" t="n">
        <v>15</v>
      </c>
      <c r="H248" t="n">
        <v>5</v>
      </c>
    </row>
    <row r="249">
      <c r="A249" t="n">
        <v>248</v>
      </c>
      <c r="B249" t="inlineStr">
        <is>
          <t>Produto</t>
        </is>
      </c>
      <c r="C249" s="121" t="inlineStr">
        <is>
          <t>Step de ginástica juvenil cinza</t>
        </is>
      </c>
      <c r="D249" s="109" t="n">
        <v>204.04</v>
      </c>
      <c r="E249" s="123" t="n">
        <v>50</v>
      </c>
      <c r="F249" s="109">
        <f>ROUND(D249*(1+(E249/100)),2)</f>
        <v/>
      </c>
      <c r="G249" t="n">
        <v>15</v>
      </c>
      <c r="H249" t="n">
        <v>5</v>
      </c>
    </row>
    <row r="250">
      <c r="A250" t="n">
        <v>249</v>
      </c>
      <c r="B250" t="inlineStr">
        <is>
          <t>Produto</t>
        </is>
      </c>
      <c r="C250" s="121" t="inlineStr">
        <is>
          <t>Colchonete de exercício unissex verde</t>
        </is>
      </c>
      <c r="D250" s="109" t="n">
        <v>38.8</v>
      </c>
      <c r="E250" s="123" t="n">
        <v>50</v>
      </c>
      <c r="F250" s="109">
        <f>ROUND(D250*(1+(E250/100)),2)</f>
        <v/>
      </c>
      <c r="G250" t="n">
        <v>15</v>
      </c>
      <c r="H250" t="n">
        <v>5</v>
      </c>
    </row>
    <row r="251">
      <c r="A251" t="n">
        <v>250</v>
      </c>
      <c r="B251" t="inlineStr">
        <is>
          <t>Produto</t>
        </is>
      </c>
      <c r="C251" s="121" t="inlineStr">
        <is>
          <t>Luva de ciclismo treino branco tam. 42</t>
        </is>
      </c>
      <c r="D251" s="109" t="n">
        <v>55.43</v>
      </c>
      <c r="E251" s="123" t="n">
        <v>50</v>
      </c>
      <c r="F251" s="109">
        <f>ROUND(D251*(1+(E251/100)),2)</f>
        <v/>
      </c>
      <c r="G251" t="n">
        <v>15</v>
      </c>
      <c r="H251" t="n">
        <v>5</v>
      </c>
    </row>
    <row r="252">
      <c r="A252" t="n">
        <v>251</v>
      </c>
      <c r="B252" t="inlineStr">
        <is>
          <t>Produto</t>
        </is>
      </c>
      <c r="C252" s="121" t="inlineStr">
        <is>
          <t>Step de ginástica unissex verde</t>
        </is>
      </c>
      <c r="D252" s="109" t="n">
        <v>253.67</v>
      </c>
      <c r="E252" s="123" t="n">
        <v>50</v>
      </c>
      <c r="F252" s="109">
        <f>ROUND(D252*(1+(E252/100)),2)</f>
        <v/>
      </c>
      <c r="G252" t="n">
        <v>15</v>
      </c>
      <c r="H252" t="n">
        <v>5</v>
      </c>
    </row>
    <row r="253">
      <c r="A253" t="n">
        <v>252</v>
      </c>
      <c r="B253" t="inlineStr">
        <is>
          <t>Produto</t>
        </is>
      </c>
      <c r="C253" s="121" t="inlineStr">
        <is>
          <t>Luva de goleiro versão 2026 preto tam. 44</t>
        </is>
      </c>
      <c r="D253" s="109" t="n">
        <v>224.62</v>
      </c>
      <c r="E253" s="123" t="n">
        <v>50</v>
      </c>
      <c r="F253" s="109">
        <f>ROUND(D253*(1+(E253/100)),2)</f>
        <v/>
      </c>
      <c r="G253" t="n">
        <v>15</v>
      </c>
      <c r="H253" t="n">
        <v>5</v>
      </c>
    </row>
    <row r="254">
      <c r="A254" t="n">
        <v>253</v>
      </c>
      <c r="B254" t="inlineStr">
        <is>
          <t>Produto</t>
        </is>
      </c>
      <c r="C254" s="121" t="inlineStr">
        <is>
          <t>Skate adulto vermelho</t>
        </is>
      </c>
      <c r="D254" s="109" t="n">
        <v>229.31</v>
      </c>
      <c r="E254" s="123" t="n">
        <v>50</v>
      </c>
      <c r="F254" s="109">
        <f>ROUND(D254*(1+(E254/100)),2)</f>
        <v/>
      </c>
      <c r="G254" t="n">
        <v>15</v>
      </c>
      <c r="H254" t="n">
        <v>5</v>
      </c>
    </row>
    <row r="255">
      <c r="A255" t="n">
        <v>254</v>
      </c>
      <c r="B255" t="inlineStr">
        <is>
          <t>Produto</t>
        </is>
      </c>
      <c r="C255" s="121" t="inlineStr">
        <is>
          <t>Step de ginástica modelo básico branco</t>
        </is>
      </c>
      <c r="D255" s="109" t="n">
        <v>61.4</v>
      </c>
      <c r="E255" s="123" t="n">
        <v>50</v>
      </c>
      <c r="F255" s="109">
        <f>ROUND(D255*(1+(E255/100)),2)</f>
        <v/>
      </c>
      <c r="G255" t="n">
        <v>15</v>
      </c>
      <c r="H255" t="n">
        <v>5</v>
      </c>
    </row>
    <row r="256">
      <c r="A256" t="n">
        <v>255</v>
      </c>
      <c r="B256" t="inlineStr">
        <is>
          <t>Produto</t>
        </is>
      </c>
      <c r="C256" s="121" t="inlineStr">
        <is>
          <t>Chuteira society para uso diário azul tam. G</t>
        </is>
      </c>
      <c r="D256" s="109" t="n">
        <v>326.69</v>
      </c>
      <c r="E256" s="123" t="n">
        <v>50</v>
      </c>
      <c r="F256" s="109">
        <f>ROUND(D256*(1+(E256/100)),2)</f>
        <v/>
      </c>
      <c r="G256" t="n">
        <v>15</v>
      </c>
      <c r="H256" t="n">
        <v>5</v>
      </c>
    </row>
    <row r="257">
      <c r="A257" t="n">
        <v>256</v>
      </c>
      <c r="B257" t="inlineStr">
        <is>
          <t>Produto</t>
        </is>
      </c>
      <c r="C257" s="121" t="inlineStr">
        <is>
          <t>Bola de basquete resistente verde</t>
        </is>
      </c>
      <c r="D257" s="109" t="n">
        <v>78.83</v>
      </c>
      <c r="E257" s="123" t="n">
        <v>50</v>
      </c>
      <c r="F257" s="109">
        <f>ROUND(D257*(1+(E257/100)),2)</f>
        <v/>
      </c>
      <c r="G257" t="n">
        <v>15</v>
      </c>
      <c r="H257" t="n">
        <v>5</v>
      </c>
    </row>
    <row r="258">
      <c r="A258" t="n">
        <v>257</v>
      </c>
      <c r="B258" t="inlineStr">
        <is>
          <t>Produto</t>
        </is>
      </c>
      <c r="C258" s="121" t="inlineStr">
        <is>
          <t>Capacete de ciclismo leve branco</t>
        </is>
      </c>
      <c r="D258" s="109" t="n">
        <v>145.17</v>
      </c>
      <c r="E258" s="123" t="n">
        <v>50</v>
      </c>
      <c r="F258" s="109">
        <f>ROUND(D258*(1+(E258/100)),2)</f>
        <v/>
      </c>
      <c r="G258" t="n">
        <v>15</v>
      </c>
      <c r="H258" t="n">
        <v>5</v>
      </c>
    </row>
    <row r="259">
      <c r="A259" t="n">
        <v>258</v>
      </c>
      <c r="B259" t="inlineStr">
        <is>
          <t>Produto</t>
        </is>
      </c>
      <c r="C259" s="121" t="inlineStr">
        <is>
          <t>Halter versão 2026 azul</t>
        </is>
      </c>
      <c r="D259" s="109" t="n">
        <v>133.84</v>
      </c>
      <c r="E259" s="123" t="n">
        <v>50</v>
      </c>
      <c r="F259" s="109">
        <f>ROUND(D259*(1+(E259/100)),2)</f>
        <v/>
      </c>
      <c r="G259" t="n">
        <v>15</v>
      </c>
      <c r="H259" t="n">
        <v>5</v>
      </c>
    </row>
    <row r="260">
      <c r="A260" t="n">
        <v>259</v>
      </c>
      <c r="B260" t="inlineStr">
        <is>
          <t>Produto</t>
        </is>
      </c>
      <c r="C260" s="121" t="inlineStr">
        <is>
          <t>Chuteira society versão 2026 preto tam. M</t>
        </is>
      </c>
      <c r="D260" s="109" t="n">
        <v>157.9</v>
      </c>
      <c r="E260" s="123" t="n">
        <v>50</v>
      </c>
      <c r="F260" s="109">
        <f>ROUND(D260*(1+(E260/100)),2)</f>
        <v/>
      </c>
      <c r="G260" t="n">
        <v>15</v>
      </c>
      <c r="H260" t="n">
        <v>5</v>
      </c>
    </row>
    <row r="261">
      <c r="A261" t="n">
        <v>260</v>
      </c>
      <c r="B261" t="inlineStr">
        <is>
          <t>Produto</t>
        </is>
      </c>
      <c r="C261" s="121" t="inlineStr">
        <is>
          <t>Prancha de natação ergonômico rosa</t>
        </is>
      </c>
      <c r="D261" s="109" t="n">
        <v>55.22</v>
      </c>
      <c r="E261" s="123" t="n">
        <v>50</v>
      </c>
      <c r="F261" s="109">
        <f>ROUND(D261*(1+(E261/100)),2)</f>
        <v/>
      </c>
      <c r="G261" t="n">
        <v>15</v>
      </c>
      <c r="H261" t="n">
        <v>5</v>
      </c>
    </row>
    <row r="262">
      <c r="A262" t="n">
        <v>261</v>
      </c>
      <c r="B262" t="inlineStr">
        <is>
          <t>Produto</t>
        </is>
      </c>
      <c r="C262" s="121" t="inlineStr">
        <is>
          <t>Calça legging treino branco tam. 38</t>
        </is>
      </c>
      <c r="D262" s="109" t="n">
        <v>46.57</v>
      </c>
      <c r="E262" s="123" t="n">
        <v>50</v>
      </c>
      <c r="F262" s="109">
        <f>ROUND(D262*(1+(E262/100)),2)</f>
        <v/>
      </c>
      <c r="G262" t="n">
        <v>15</v>
      </c>
      <c r="H262" t="n">
        <v>5</v>
      </c>
    </row>
    <row r="263">
      <c r="A263" t="n">
        <v>262</v>
      </c>
      <c r="B263" t="inlineStr">
        <is>
          <t>Produto</t>
        </is>
      </c>
      <c r="C263" s="121" t="inlineStr">
        <is>
          <t>Nadadeira ergonômico cinza</t>
        </is>
      </c>
      <c r="D263" s="109" t="n">
        <v>31.03</v>
      </c>
      <c r="E263" s="123" t="n">
        <v>50</v>
      </c>
      <c r="F263" s="109">
        <f>ROUND(D263*(1+(E263/100)),2)</f>
        <v/>
      </c>
      <c r="G263" t="n">
        <v>15</v>
      </c>
      <c r="H263" t="n">
        <v>5</v>
      </c>
    </row>
    <row r="264">
      <c r="A264" t="n">
        <v>263</v>
      </c>
      <c r="B264" t="inlineStr">
        <is>
          <t>Produto</t>
        </is>
      </c>
      <c r="C264" s="121" t="inlineStr">
        <is>
          <t>Elástico de resistência juvenil preto</t>
        </is>
      </c>
      <c r="D264" s="109" t="n">
        <v>18.41</v>
      </c>
      <c r="E264" s="123" t="n">
        <v>50</v>
      </c>
      <c r="F264" s="109">
        <f>ROUND(D264*(1+(E264/100)),2)</f>
        <v/>
      </c>
      <c r="G264" t="n">
        <v>15</v>
      </c>
      <c r="H264" t="n">
        <v>5</v>
      </c>
    </row>
    <row r="265">
      <c r="A265" t="n">
        <v>264</v>
      </c>
      <c r="B265" t="inlineStr">
        <is>
          <t>Produto</t>
        </is>
      </c>
      <c r="C265" s="121" t="inlineStr">
        <is>
          <t>Calça legging premium cinza tam. 36</t>
        </is>
      </c>
      <c r="D265" s="109" t="n">
        <v>47.94</v>
      </c>
      <c r="E265" s="123" t="n">
        <v>50</v>
      </c>
      <c r="F265" s="109">
        <f>ROUND(D265*(1+(E265/100)),2)</f>
        <v/>
      </c>
      <c r="G265" t="n">
        <v>15</v>
      </c>
      <c r="H265" t="n">
        <v>5</v>
      </c>
    </row>
    <row r="266">
      <c r="A266" t="n">
        <v>265</v>
      </c>
      <c r="B266" t="inlineStr">
        <is>
          <t>Produto</t>
        </is>
      </c>
      <c r="C266" s="121" t="inlineStr">
        <is>
          <t>Óculos esportivos leve vermelho</t>
        </is>
      </c>
      <c r="D266" s="109" t="n">
        <v>174.5</v>
      </c>
      <c r="E266" s="123" t="n">
        <v>50</v>
      </c>
      <c r="F266" s="109">
        <f>ROUND(D266*(1+(E266/100)),2)</f>
        <v/>
      </c>
      <c r="G266" t="n">
        <v>15</v>
      </c>
      <c r="H266" t="n">
        <v>5</v>
      </c>
    </row>
    <row r="267">
      <c r="A267" t="n">
        <v>266</v>
      </c>
      <c r="B267" t="inlineStr">
        <is>
          <t>Produto</t>
        </is>
      </c>
      <c r="C267" s="121" t="inlineStr">
        <is>
          <t>Patins resistente branco</t>
        </is>
      </c>
      <c r="D267" s="109" t="n">
        <v>167.51</v>
      </c>
      <c r="E267" s="123" t="n">
        <v>50</v>
      </c>
      <c r="F267" s="109">
        <f>ROUND(D267*(1+(E267/100)),2)</f>
        <v/>
      </c>
      <c r="G267" t="n">
        <v>15</v>
      </c>
      <c r="H267" t="n">
        <v>5</v>
      </c>
    </row>
    <row r="268">
      <c r="A268" t="n">
        <v>267</v>
      </c>
      <c r="B268" t="inlineStr">
        <is>
          <t>Produto</t>
        </is>
      </c>
      <c r="C268" s="121" t="inlineStr">
        <is>
          <t>Bola de pilates alta performance preto</t>
        </is>
      </c>
      <c r="D268" s="109" t="n">
        <v>68.08</v>
      </c>
      <c r="E268" s="123" t="n">
        <v>50</v>
      </c>
      <c r="F268" s="109">
        <f>ROUND(D268*(1+(E268/100)),2)</f>
        <v/>
      </c>
      <c r="G268" t="n">
        <v>15</v>
      </c>
      <c r="H268" t="n">
        <v>5</v>
      </c>
    </row>
    <row r="269">
      <c r="A269" t="n">
        <v>268</v>
      </c>
      <c r="B269" t="inlineStr">
        <is>
          <t>Produto</t>
        </is>
      </c>
      <c r="C269" s="121" t="inlineStr">
        <is>
          <t>Raquete de beach tennis unissex laranja</t>
        </is>
      </c>
      <c r="D269" s="109" t="n">
        <v>480.47</v>
      </c>
      <c r="E269" s="123" t="n">
        <v>50</v>
      </c>
      <c r="F269" s="109">
        <f>ROUND(D269*(1+(E269/100)),2)</f>
        <v/>
      </c>
      <c r="G269" t="n">
        <v>15</v>
      </c>
      <c r="H269" t="n">
        <v>5</v>
      </c>
    </row>
    <row r="270">
      <c r="A270" t="n">
        <v>269</v>
      </c>
      <c r="B270" t="inlineStr">
        <is>
          <t>Produto</t>
        </is>
      </c>
      <c r="C270" s="121" t="inlineStr">
        <is>
          <t>Patins iniciante azul</t>
        </is>
      </c>
      <c r="D270" s="109" t="n">
        <v>387.26</v>
      </c>
      <c r="E270" s="123" t="n">
        <v>50</v>
      </c>
      <c r="F270" s="109">
        <f>ROUND(D270*(1+(E270/100)),2)</f>
        <v/>
      </c>
      <c r="G270" t="n">
        <v>15</v>
      </c>
      <c r="H270" t="n">
        <v>5</v>
      </c>
    </row>
    <row r="271">
      <c r="A271" t="n">
        <v>270</v>
      </c>
      <c r="B271" t="inlineStr">
        <is>
          <t>Produto</t>
        </is>
      </c>
      <c r="C271" s="121" t="inlineStr">
        <is>
          <t>Halter versão 2026 rosa</t>
        </is>
      </c>
      <c r="D271" s="109" t="n">
        <v>126.76</v>
      </c>
      <c r="E271" s="123" t="n">
        <v>50</v>
      </c>
      <c r="F271" s="109">
        <f>ROUND(D271*(1+(E271/100)),2)</f>
        <v/>
      </c>
      <c r="G271" t="n">
        <v>15</v>
      </c>
      <c r="H271" t="n">
        <v>5</v>
      </c>
    </row>
    <row r="272">
      <c r="A272" t="n">
        <v>271</v>
      </c>
      <c r="B272" t="inlineStr">
        <is>
          <t>Produto</t>
        </is>
      </c>
      <c r="C272" s="121" t="inlineStr">
        <is>
          <t>Tapete de yoga alta performance azul</t>
        </is>
      </c>
      <c r="D272" s="109" t="n">
        <v>61.9</v>
      </c>
      <c r="E272" s="123" t="n">
        <v>50</v>
      </c>
      <c r="F272" s="109">
        <f>ROUND(D272*(1+(E272/100)),2)</f>
        <v/>
      </c>
      <c r="G272" t="n">
        <v>15</v>
      </c>
      <c r="H272" t="n">
        <v>5</v>
      </c>
    </row>
    <row r="273">
      <c r="A273" t="n">
        <v>272</v>
      </c>
      <c r="B273" t="inlineStr">
        <is>
          <t>Produto</t>
        </is>
      </c>
      <c r="C273" s="121" t="inlineStr">
        <is>
          <t>Luva de boxe resistente azul tam. 38</t>
        </is>
      </c>
      <c r="D273" s="109" t="n">
        <v>266.54</v>
      </c>
      <c r="E273" s="123" t="n">
        <v>50</v>
      </c>
      <c r="F273" s="109">
        <f>ROUND(D273*(1+(E273/100)),2)</f>
        <v/>
      </c>
      <c r="G273" t="n">
        <v>15</v>
      </c>
      <c r="H273" t="n">
        <v>5</v>
      </c>
    </row>
    <row r="274">
      <c r="A274" t="n">
        <v>273</v>
      </c>
      <c r="B274" t="inlineStr">
        <is>
          <t>Produto</t>
        </is>
      </c>
      <c r="C274" s="121" t="inlineStr">
        <is>
          <t>Bola de pilates compacto branco</t>
        </is>
      </c>
      <c r="D274" s="109" t="n">
        <v>98.73999999999999</v>
      </c>
      <c r="E274" s="123" t="n">
        <v>50</v>
      </c>
      <c r="F274" s="109">
        <f>ROUND(D274*(1+(E274/100)),2)</f>
        <v/>
      </c>
      <c r="G274" t="n">
        <v>15</v>
      </c>
      <c r="H274" t="n">
        <v>5</v>
      </c>
    </row>
    <row r="275">
      <c r="A275" t="n">
        <v>274</v>
      </c>
      <c r="B275" t="inlineStr">
        <is>
          <t>Produto</t>
        </is>
      </c>
      <c r="C275" s="121" t="inlineStr">
        <is>
          <t>Raquete de beach tennis treino verde</t>
        </is>
      </c>
      <c r="D275" s="109" t="n">
        <v>713.9</v>
      </c>
      <c r="E275" s="123" t="n">
        <v>50</v>
      </c>
      <c r="F275" s="109">
        <f>ROUND(D275*(1+(E275/100)),2)</f>
        <v/>
      </c>
      <c r="G275" t="n">
        <v>15</v>
      </c>
      <c r="H275" t="n">
        <v>5</v>
      </c>
    </row>
    <row r="276">
      <c r="A276" t="n">
        <v>275</v>
      </c>
      <c r="B276" t="inlineStr">
        <is>
          <t>Produto</t>
        </is>
      </c>
      <c r="C276" s="121" t="inlineStr">
        <is>
          <t>Colchonete de exercício recreativo verde</t>
        </is>
      </c>
      <c r="D276" s="109" t="n">
        <v>33.81</v>
      </c>
      <c r="E276" s="123" t="n">
        <v>50</v>
      </c>
      <c r="F276" s="109">
        <f>ROUND(D276*(1+(E276/100)),2)</f>
        <v/>
      </c>
      <c r="G276" t="n">
        <v>15</v>
      </c>
      <c r="H276" t="n">
        <v>5</v>
      </c>
    </row>
    <row r="277">
      <c r="A277" t="n">
        <v>276</v>
      </c>
      <c r="B277" t="inlineStr">
        <is>
          <t>Produto</t>
        </is>
      </c>
      <c r="C277" s="121" t="inlineStr">
        <is>
          <t>Mochila esportiva leve vermelho</t>
        </is>
      </c>
      <c r="D277" s="109" t="n">
        <v>191.02</v>
      </c>
      <c r="E277" s="123" t="n">
        <v>50</v>
      </c>
      <c r="F277" s="109">
        <f>ROUND(D277*(1+(E277/100)),2)</f>
        <v/>
      </c>
      <c r="G277" t="n">
        <v>15</v>
      </c>
      <c r="H277" t="n">
        <v>5</v>
      </c>
    </row>
    <row r="278">
      <c r="A278" t="n">
        <v>277</v>
      </c>
      <c r="B278" t="inlineStr">
        <is>
          <t>Produto</t>
        </is>
      </c>
      <c r="C278" s="121" t="inlineStr">
        <is>
          <t>Óculos de natação leve rosa</t>
        </is>
      </c>
      <c r="D278" s="109" t="n">
        <v>75.97</v>
      </c>
      <c r="E278" s="123" t="n">
        <v>50</v>
      </c>
      <c r="F278" s="109">
        <f>ROUND(D278*(1+(E278/100)),2)</f>
        <v/>
      </c>
      <c r="G278" t="n">
        <v>15</v>
      </c>
      <c r="H278" t="n">
        <v>5</v>
      </c>
    </row>
    <row r="279">
      <c r="A279" t="n">
        <v>278</v>
      </c>
      <c r="B279" t="inlineStr">
        <is>
          <t>Produto</t>
        </is>
      </c>
      <c r="C279" s="121" t="inlineStr">
        <is>
          <t>Protetor bucal com ajuste branco</t>
        </is>
      </c>
      <c r="D279" s="109" t="n">
        <v>53.02</v>
      </c>
      <c r="E279" s="123" t="n">
        <v>50</v>
      </c>
      <c r="F279" s="109">
        <f>ROUND(D279*(1+(E279/100)),2)</f>
        <v/>
      </c>
      <c r="G279" t="n">
        <v>15</v>
      </c>
      <c r="H279" t="n">
        <v>5</v>
      </c>
    </row>
    <row r="280">
      <c r="A280" t="n">
        <v>279</v>
      </c>
      <c r="B280" t="inlineStr">
        <is>
          <t>Produto</t>
        </is>
      </c>
      <c r="C280" s="121" t="inlineStr">
        <is>
          <t>Touca de natação recreativo rosa tam. M</t>
        </is>
      </c>
      <c r="D280" s="109" t="n">
        <v>32.86</v>
      </c>
      <c r="E280" s="123" t="n">
        <v>50</v>
      </c>
      <c r="F280" s="109">
        <f>ROUND(D280*(1+(E280/100)),2)</f>
        <v/>
      </c>
      <c r="G280" t="n">
        <v>15</v>
      </c>
      <c r="H280" t="n">
        <v>5</v>
      </c>
    </row>
    <row r="281">
      <c r="A281" t="n">
        <v>280</v>
      </c>
      <c r="B281" t="inlineStr">
        <is>
          <t>Produto</t>
        </is>
      </c>
      <c r="C281" s="121" t="inlineStr">
        <is>
          <t>Touca de natação premium preto tam. 36</t>
        </is>
      </c>
      <c r="D281" s="109" t="n">
        <v>34.81</v>
      </c>
      <c r="E281" s="123" t="n">
        <v>50</v>
      </c>
      <c r="F281" s="109">
        <f>ROUND(D281*(1+(E281/100)),2)</f>
        <v/>
      </c>
      <c r="G281" t="n">
        <v>15</v>
      </c>
      <c r="H281" t="n">
        <v>5</v>
      </c>
    </row>
    <row r="282">
      <c r="A282" t="n">
        <v>281</v>
      </c>
      <c r="B282" t="inlineStr">
        <is>
          <t>Produto</t>
        </is>
      </c>
      <c r="C282" s="121" t="inlineStr">
        <is>
          <t>Coqueteleira com ajuste preto</t>
        </is>
      </c>
      <c r="D282" s="109" t="n">
        <v>14.33</v>
      </c>
      <c r="E282" s="123" t="n">
        <v>50</v>
      </c>
      <c r="F282" s="109">
        <f>ROUND(D282*(1+(E282/100)),2)</f>
        <v/>
      </c>
      <c r="G282" t="n">
        <v>15</v>
      </c>
      <c r="H282" t="n">
        <v>5</v>
      </c>
    </row>
    <row r="283">
      <c r="A283" t="n">
        <v>282</v>
      </c>
      <c r="B283" t="inlineStr">
        <is>
          <t>Produto</t>
        </is>
      </c>
      <c r="C283" s="121" t="inlineStr">
        <is>
          <t>Garrafa squeeze profissional laranja</t>
        </is>
      </c>
      <c r="D283" s="109" t="n">
        <v>32.54</v>
      </c>
      <c r="E283" s="123" t="n">
        <v>50</v>
      </c>
      <c r="F283" s="109">
        <f>ROUND(D283*(1+(E283/100)),2)</f>
        <v/>
      </c>
      <c r="G283" t="n">
        <v>15</v>
      </c>
      <c r="H283" t="n">
        <v>5</v>
      </c>
    </row>
    <row r="284">
      <c r="A284" t="n">
        <v>283</v>
      </c>
      <c r="B284" t="inlineStr">
        <is>
          <t>Produto</t>
        </is>
      </c>
      <c r="C284" s="121" t="inlineStr">
        <is>
          <t>Luva de goleiro com ajuste verde tam. 36</t>
        </is>
      </c>
      <c r="D284" s="109" t="n">
        <v>154.62</v>
      </c>
      <c r="E284" s="123" t="n">
        <v>50</v>
      </c>
      <c r="F284" s="109">
        <f>ROUND(D284*(1+(E284/100)),2)</f>
        <v/>
      </c>
      <c r="G284" t="n">
        <v>15</v>
      </c>
      <c r="H284" t="n">
        <v>5</v>
      </c>
    </row>
    <row r="285">
      <c r="A285" t="n">
        <v>284</v>
      </c>
      <c r="B285" t="inlineStr">
        <is>
          <t>Produto</t>
        </is>
      </c>
      <c r="C285" s="121" t="inlineStr">
        <is>
          <t>Relógio esportivo juvenil rosa</t>
        </is>
      </c>
      <c r="D285" s="109" t="n">
        <v>208.98</v>
      </c>
      <c r="E285" s="123" t="n">
        <v>50</v>
      </c>
      <c r="F285" s="109">
        <f>ROUND(D285*(1+(E285/100)),2)</f>
        <v/>
      </c>
      <c r="G285" t="n">
        <v>15</v>
      </c>
      <c r="H285" t="n">
        <v>5</v>
      </c>
    </row>
    <row r="286">
      <c r="A286" t="n">
        <v>285</v>
      </c>
      <c r="B286" t="inlineStr">
        <is>
          <t>Produto</t>
        </is>
      </c>
      <c r="C286" s="121" t="inlineStr">
        <is>
          <t>Kettlebell resistente vermelho</t>
        </is>
      </c>
      <c r="D286" s="109" t="n">
        <v>38.16</v>
      </c>
      <c r="E286" s="123" t="n">
        <v>50</v>
      </c>
      <c r="F286" s="109">
        <f>ROUND(D286*(1+(E286/100)),2)</f>
        <v/>
      </c>
      <c r="G286" t="n">
        <v>15</v>
      </c>
      <c r="H286" t="n">
        <v>5</v>
      </c>
    </row>
    <row r="287">
      <c r="A287" t="n">
        <v>286</v>
      </c>
      <c r="B287" t="inlineStr">
        <is>
          <t>Produto</t>
        </is>
      </c>
      <c r="C287" s="121" t="inlineStr">
        <is>
          <t>Patins com ajuste vermelho</t>
        </is>
      </c>
      <c r="D287" s="109" t="n">
        <v>360.11</v>
      </c>
      <c r="E287" s="123" t="n">
        <v>50</v>
      </c>
      <c r="F287" s="109">
        <f>ROUND(D287*(1+(E287/100)),2)</f>
        <v/>
      </c>
      <c r="G287" t="n">
        <v>15</v>
      </c>
      <c r="H287" t="n">
        <v>5</v>
      </c>
    </row>
    <row r="288">
      <c r="A288" t="n">
        <v>287</v>
      </c>
      <c r="B288" t="inlineStr">
        <is>
          <t>Produto</t>
        </is>
      </c>
      <c r="C288" s="121" t="inlineStr">
        <is>
          <t>Garrafa squeeze alta performance branco</t>
        </is>
      </c>
      <c r="D288" s="109" t="n">
        <v>43.57</v>
      </c>
      <c r="E288" s="123" t="n">
        <v>50</v>
      </c>
      <c r="F288" s="109">
        <f>ROUND(D288*(1+(E288/100)),2)</f>
        <v/>
      </c>
      <c r="G288" t="n">
        <v>15</v>
      </c>
      <c r="H288" t="n">
        <v>5</v>
      </c>
    </row>
    <row r="289">
      <c r="A289" t="n">
        <v>288</v>
      </c>
      <c r="B289" t="inlineStr">
        <is>
          <t>Produto</t>
        </is>
      </c>
      <c r="C289" s="121" t="inlineStr">
        <is>
          <t>Raquete de tênis profissional branco tam. M</t>
        </is>
      </c>
      <c r="D289" s="109" t="n">
        <v>325.11</v>
      </c>
      <c r="E289" s="123" t="n">
        <v>50</v>
      </c>
      <c r="F289" s="109">
        <f>ROUND(D289*(1+(E289/100)),2)</f>
        <v/>
      </c>
      <c r="G289" t="n">
        <v>15</v>
      </c>
      <c r="H289" t="n">
        <v>5</v>
      </c>
    </row>
    <row r="290">
      <c r="A290" t="n">
        <v>289</v>
      </c>
      <c r="B290" t="inlineStr">
        <is>
          <t>Produto</t>
        </is>
      </c>
      <c r="C290" s="121" t="inlineStr">
        <is>
          <t>Bloco para yoga premium vermelho</t>
        </is>
      </c>
      <c r="D290" s="109" t="n">
        <v>21.94</v>
      </c>
      <c r="E290" s="123" t="n">
        <v>50</v>
      </c>
      <c r="F290" s="109">
        <f>ROUND(D290*(1+(E290/100)),2)</f>
        <v/>
      </c>
      <c r="G290" t="n">
        <v>15</v>
      </c>
      <c r="H290" t="n">
        <v>5</v>
      </c>
    </row>
    <row r="291">
      <c r="A291" t="n">
        <v>290</v>
      </c>
      <c r="B291" t="inlineStr">
        <is>
          <t>Produto</t>
        </is>
      </c>
      <c r="C291" s="121" t="inlineStr">
        <is>
          <t>Luva de boxe modelo avançado cinza tam. 38</t>
        </is>
      </c>
      <c r="D291" s="109" t="n">
        <v>75.20999999999999</v>
      </c>
      <c r="E291" s="123" t="n">
        <v>50</v>
      </c>
      <c r="F291" s="109">
        <f>ROUND(D291*(1+(E291/100)),2)</f>
        <v/>
      </c>
      <c r="G291" t="n">
        <v>15</v>
      </c>
      <c r="H291" t="n">
        <v>5</v>
      </c>
    </row>
    <row r="292">
      <c r="A292" t="n">
        <v>291</v>
      </c>
      <c r="B292" t="inlineStr">
        <is>
          <t>Produto</t>
        </is>
      </c>
      <c r="C292" s="121" t="inlineStr">
        <is>
          <t>Patins iniciante laranja</t>
        </is>
      </c>
      <c r="D292" s="109" t="n">
        <v>544.64</v>
      </c>
      <c r="E292" s="123" t="n">
        <v>50</v>
      </c>
      <c r="F292" s="109">
        <f>ROUND(D292*(1+(E292/100)),2)</f>
        <v/>
      </c>
      <c r="G292" t="n">
        <v>15</v>
      </c>
      <c r="H292" t="n">
        <v>5</v>
      </c>
    </row>
    <row r="293">
      <c r="A293" t="n">
        <v>292</v>
      </c>
      <c r="B293" t="inlineStr">
        <is>
          <t>Produto</t>
        </is>
      </c>
      <c r="C293" s="121" t="inlineStr">
        <is>
          <t>Kettlebell resistente azul</t>
        </is>
      </c>
      <c r="D293" s="109" t="n">
        <v>165.61</v>
      </c>
      <c r="E293" s="123" t="n">
        <v>50</v>
      </c>
      <c r="F293" s="109">
        <f>ROUND(D293*(1+(E293/100)),2)</f>
        <v/>
      </c>
      <c r="G293" t="n">
        <v>15</v>
      </c>
      <c r="H293" t="n">
        <v>5</v>
      </c>
    </row>
    <row r="294">
      <c r="A294" t="n">
        <v>293</v>
      </c>
      <c r="B294" t="inlineStr">
        <is>
          <t>Produto</t>
        </is>
      </c>
      <c r="C294" s="121" t="inlineStr">
        <is>
          <t>Bicicleta ergométrica modelo avançado preto</t>
        </is>
      </c>
      <c r="D294" s="109" t="n">
        <v>1317.2</v>
      </c>
      <c r="E294" s="123" t="n">
        <v>50</v>
      </c>
      <c r="F294" s="109">
        <f>ROUND(D294*(1+(E294/100)),2)</f>
        <v/>
      </c>
      <c r="G294" t="n">
        <v>15</v>
      </c>
      <c r="H294" t="n">
        <v>5</v>
      </c>
    </row>
    <row r="295">
      <c r="A295" t="n">
        <v>294</v>
      </c>
      <c r="B295" t="inlineStr">
        <is>
          <t>Produto</t>
        </is>
      </c>
      <c r="C295" s="121" t="inlineStr">
        <is>
          <t>Regata esportiva modelo básico rosa tam. GG</t>
        </is>
      </c>
      <c r="D295" s="109" t="n">
        <v>29.21</v>
      </c>
      <c r="E295" s="123" t="n">
        <v>50</v>
      </c>
      <c r="F295" s="109">
        <f>ROUND(D295*(1+(E295/100)),2)</f>
        <v/>
      </c>
      <c r="G295" t="n">
        <v>15</v>
      </c>
      <c r="H295" t="n">
        <v>5</v>
      </c>
    </row>
    <row r="296">
      <c r="A296" t="n">
        <v>295</v>
      </c>
      <c r="B296" t="inlineStr">
        <is>
          <t>Produto</t>
        </is>
      </c>
      <c r="C296" s="121" t="inlineStr">
        <is>
          <t>Chuteira de campo profissional cinza tam. M</t>
        </is>
      </c>
      <c r="D296" s="109" t="n">
        <v>309.54</v>
      </c>
      <c r="E296" s="123" t="n">
        <v>50</v>
      </c>
      <c r="F296" s="109">
        <f>ROUND(D296*(1+(E296/100)),2)</f>
        <v/>
      </c>
      <c r="G296" t="n">
        <v>15</v>
      </c>
      <c r="H296" t="n">
        <v>5</v>
      </c>
    </row>
    <row r="297">
      <c r="A297" t="n">
        <v>296</v>
      </c>
      <c r="B297" t="inlineStr">
        <is>
          <t>Produto</t>
        </is>
      </c>
      <c r="C297" s="121" t="inlineStr">
        <is>
          <t>Caneleira de futebol juvenil branco</t>
        </is>
      </c>
      <c r="D297" s="109" t="n">
        <v>80.3</v>
      </c>
      <c r="E297" s="123" t="n">
        <v>50</v>
      </c>
      <c r="F297" s="109">
        <f>ROUND(D297*(1+(E297/100)),2)</f>
        <v/>
      </c>
      <c r="G297" t="n">
        <v>15</v>
      </c>
      <c r="H297" t="n">
        <v>5</v>
      </c>
    </row>
    <row r="298">
      <c r="A298" t="n">
        <v>297</v>
      </c>
      <c r="B298" t="inlineStr">
        <is>
          <t>Produto</t>
        </is>
      </c>
      <c r="C298" s="121" t="inlineStr">
        <is>
          <t>Kimono de judô versão 2026 laranja tam. G</t>
        </is>
      </c>
      <c r="D298" s="109" t="n">
        <v>108.61</v>
      </c>
      <c r="E298" s="123" t="n">
        <v>50</v>
      </c>
      <c r="F298" s="109">
        <f>ROUND(D298*(1+(E298/100)),2)</f>
        <v/>
      </c>
      <c r="G298" t="n">
        <v>15</v>
      </c>
      <c r="H298" t="n">
        <v>5</v>
      </c>
    </row>
    <row r="299">
      <c r="A299" t="n">
        <v>298</v>
      </c>
      <c r="B299" t="inlineStr">
        <is>
          <t>Produto</t>
        </is>
      </c>
      <c r="C299" s="121" t="inlineStr">
        <is>
          <t>Skate leve rosa</t>
        </is>
      </c>
      <c r="D299" s="109" t="n">
        <v>112.22</v>
      </c>
      <c r="E299" s="123" t="n">
        <v>50</v>
      </c>
      <c r="F299" s="109">
        <f>ROUND(D299*(1+(E299/100)),2)</f>
        <v/>
      </c>
      <c r="G299" t="n">
        <v>15</v>
      </c>
      <c r="H299" t="n">
        <v>5</v>
      </c>
    </row>
    <row r="300">
      <c r="A300" t="n">
        <v>299</v>
      </c>
      <c r="B300" t="inlineStr">
        <is>
          <t>Produto</t>
        </is>
      </c>
      <c r="C300" s="121" t="inlineStr">
        <is>
          <t>Tapete de yoga com ajuste cinza</t>
        </is>
      </c>
      <c r="D300" s="109" t="n">
        <v>141.31</v>
      </c>
      <c r="E300" s="123" t="n">
        <v>50</v>
      </c>
      <c r="F300" s="109">
        <f>ROUND(D300*(1+(E300/100)),2)</f>
        <v/>
      </c>
      <c r="G300" t="n">
        <v>15</v>
      </c>
      <c r="H300" t="n">
        <v>5</v>
      </c>
    </row>
    <row r="301">
      <c r="A301" t="n">
        <v>300</v>
      </c>
      <c r="B301" t="inlineStr">
        <is>
          <t>Produto</t>
        </is>
      </c>
      <c r="C301" s="121" t="inlineStr">
        <is>
          <t>Bicicleta urbana ventilado verde</t>
        </is>
      </c>
      <c r="D301" s="109" t="n">
        <v>1631.16</v>
      </c>
      <c r="E301" s="123" t="n">
        <v>50</v>
      </c>
      <c r="F301" s="109">
        <f>ROUND(D301*(1+(E301/100)),2)</f>
        <v/>
      </c>
      <c r="G301" t="n">
        <v>15</v>
      </c>
      <c r="H301" t="n">
        <v>5</v>
      </c>
    </row>
    <row r="302">
      <c r="A302" t="n">
        <v>301</v>
      </c>
      <c r="B302" t="inlineStr">
        <is>
          <t>Produto</t>
        </is>
      </c>
      <c r="C302" s="121" t="inlineStr">
        <is>
          <t>Luva de ciclismo modelo avançado rosa tam. 40</t>
        </is>
      </c>
      <c r="D302" s="109" t="n">
        <v>96.42</v>
      </c>
      <c r="E302" s="123" t="n">
        <v>50</v>
      </c>
      <c r="F302" s="109">
        <f>ROUND(D302*(1+(E302/100)),2)</f>
        <v/>
      </c>
      <c r="G302" t="n">
        <v>15</v>
      </c>
      <c r="H302" t="n">
        <v>5</v>
      </c>
    </row>
    <row r="303">
      <c r="A303" t="n">
        <v>302</v>
      </c>
      <c r="B303" t="inlineStr">
        <is>
          <t>Produto</t>
        </is>
      </c>
      <c r="C303" s="121" t="inlineStr">
        <is>
          <t>Banco de musculação resistente laranja</t>
        </is>
      </c>
      <c r="D303" s="109" t="n">
        <v>1455.41</v>
      </c>
      <c r="E303" s="123" t="n">
        <v>50</v>
      </c>
      <c r="F303" s="109">
        <f>ROUND(D303*(1+(E303/100)),2)</f>
        <v/>
      </c>
      <c r="G303" t="n">
        <v>15</v>
      </c>
      <c r="H303" t="n">
        <v>5</v>
      </c>
    </row>
    <row r="304">
      <c r="A304" t="n">
        <v>303</v>
      </c>
      <c r="B304" t="inlineStr">
        <is>
          <t>Produto</t>
        </is>
      </c>
      <c r="C304" s="121" t="inlineStr">
        <is>
          <t>Short esportivo recreativo cinza tam. P</t>
        </is>
      </c>
      <c r="D304" s="109" t="n">
        <v>75.65000000000001</v>
      </c>
      <c r="E304" s="123" t="n">
        <v>50</v>
      </c>
      <c r="F304" s="109">
        <f>ROUND(D304*(1+(E304/100)),2)</f>
        <v/>
      </c>
      <c r="G304" t="n">
        <v>15</v>
      </c>
      <c r="H304" t="n">
        <v>5</v>
      </c>
    </row>
    <row r="305">
      <c r="A305" t="n">
        <v>304</v>
      </c>
      <c r="B305" t="inlineStr">
        <is>
          <t>Produto</t>
        </is>
      </c>
      <c r="C305" s="121" t="inlineStr">
        <is>
          <t>Tapete de yoga treino azul</t>
        </is>
      </c>
      <c r="D305" s="109" t="n">
        <v>68.41</v>
      </c>
      <c r="E305" s="123" t="n">
        <v>50</v>
      </c>
      <c r="F305" s="109">
        <f>ROUND(D305*(1+(E305/100)),2)</f>
        <v/>
      </c>
      <c r="G305" t="n">
        <v>15</v>
      </c>
      <c r="H305" t="n">
        <v>5</v>
      </c>
    </row>
    <row r="306">
      <c r="A306" t="n">
        <v>305</v>
      </c>
      <c r="B306" t="inlineStr">
        <is>
          <t>Produto</t>
        </is>
      </c>
      <c r="C306" s="121" t="inlineStr">
        <is>
          <t>Step de ginástica premium rosa</t>
        </is>
      </c>
      <c r="D306" s="109" t="n">
        <v>277.21</v>
      </c>
      <c r="E306" s="123" t="n">
        <v>50</v>
      </c>
      <c r="F306" s="109">
        <f>ROUND(D306*(1+(E306/100)),2)</f>
        <v/>
      </c>
      <c r="G306" t="n">
        <v>15</v>
      </c>
      <c r="H306" t="n">
        <v>5</v>
      </c>
    </row>
    <row r="307">
      <c r="A307" t="n">
        <v>306</v>
      </c>
      <c r="B307" t="inlineStr">
        <is>
          <t>Produto</t>
        </is>
      </c>
      <c r="C307" s="121" t="inlineStr">
        <is>
          <t>Chuteira society profissional verde tam. 40</t>
        </is>
      </c>
      <c r="D307" s="109" t="n">
        <v>378.41</v>
      </c>
      <c r="E307" s="123" t="n">
        <v>50</v>
      </c>
      <c r="F307" s="109">
        <f>ROUND(D307*(1+(E307/100)),2)</f>
        <v/>
      </c>
      <c r="G307" t="n">
        <v>15</v>
      </c>
      <c r="H307" t="n">
        <v>5</v>
      </c>
    </row>
    <row r="308">
      <c r="A308" t="n">
        <v>307</v>
      </c>
      <c r="B308" t="inlineStr">
        <is>
          <t>Produto</t>
        </is>
      </c>
      <c r="C308" s="121" t="inlineStr">
        <is>
          <t>Bola de basquete juvenil laranja</t>
        </is>
      </c>
      <c r="D308" s="109" t="n">
        <v>93.17</v>
      </c>
      <c r="E308" s="123" t="n">
        <v>50</v>
      </c>
      <c r="F308" s="109">
        <f>ROUND(D308*(1+(E308/100)),2)</f>
        <v/>
      </c>
      <c r="G308" t="n">
        <v>15</v>
      </c>
      <c r="H308" t="n">
        <v>5</v>
      </c>
    </row>
    <row r="309">
      <c r="A309" t="n">
        <v>308</v>
      </c>
      <c r="B309" t="inlineStr">
        <is>
          <t>Produto</t>
        </is>
      </c>
      <c r="C309" s="121" t="inlineStr">
        <is>
          <t>Meias esportivas profissional branco tam. GG</t>
        </is>
      </c>
      <c r="D309" s="109" t="n">
        <v>6.95</v>
      </c>
      <c r="E309" s="123" t="n">
        <v>50</v>
      </c>
      <c r="F309" s="109">
        <f>ROUND(D309*(1+(E309/100)),2)</f>
        <v/>
      </c>
      <c r="G309" t="n">
        <v>15</v>
      </c>
      <c r="H309" t="n">
        <v>5</v>
      </c>
    </row>
    <row r="310">
      <c r="A310" t="n">
        <v>309</v>
      </c>
      <c r="B310" t="inlineStr">
        <is>
          <t>Produto</t>
        </is>
      </c>
      <c r="C310" s="121" t="inlineStr">
        <is>
          <t>Tênis de corrida recreativo vermelho tam. P</t>
        </is>
      </c>
      <c r="D310" s="109" t="n">
        <v>236.25</v>
      </c>
      <c r="E310" s="123" t="n">
        <v>50</v>
      </c>
      <c r="F310" s="109">
        <f>ROUND(D310*(1+(E310/100)),2)</f>
        <v/>
      </c>
      <c r="G310" t="n">
        <v>15</v>
      </c>
      <c r="H310" t="n">
        <v>5</v>
      </c>
    </row>
    <row r="311">
      <c r="A311" t="n">
        <v>310</v>
      </c>
      <c r="B311" t="inlineStr">
        <is>
          <t>Produto</t>
        </is>
      </c>
      <c r="C311" s="121" t="inlineStr">
        <is>
          <t>Luva de ciclismo ergonômico rosa tam. 44</t>
        </is>
      </c>
      <c r="D311" s="109" t="n">
        <v>18.47</v>
      </c>
      <c r="E311" s="123" t="n">
        <v>50</v>
      </c>
      <c r="F311" s="109">
        <f>ROUND(D311*(1+(E311/100)),2)</f>
        <v/>
      </c>
      <c r="G311" t="n">
        <v>15</v>
      </c>
      <c r="H311" t="n">
        <v>5</v>
      </c>
    </row>
    <row r="312">
      <c r="A312" t="n">
        <v>311</v>
      </c>
      <c r="B312" t="inlineStr">
        <is>
          <t>Produto</t>
        </is>
      </c>
      <c r="C312" s="121" t="inlineStr">
        <is>
          <t>Raquete de badminton premium verde</t>
        </is>
      </c>
      <c r="D312" s="109" t="n">
        <v>205.28</v>
      </c>
      <c r="E312" s="123" t="n">
        <v>50</v>
      </c>
      <c r="F312" s="109">
        <f>ROUND(D312*(1+(E312/100)),2)</f>
        <v/>
      </c>
      <c r="G312" t="n">
        <v>15</v>
      </c>
      <c r="H312" t="n">
        <v>5</v>
      </c>
    </row>
    <row r="313">
      <c r="A313" t="n">
        <v>312</v>
      </c>
      <c r="B313" t="inlineStr">
        <is>
          <t>Produto</t>
        </is>
      </c>
      <c r="C313" s="121" t="inlineStr">
        <is>
          <t>Luva de goleiro resistente laranja tam. M</t>
        </is>
      </c>
      <c r="D313" s="109" t="n">
        <v>191.59</v>
      </c>
      <c r="E313" s="123" t="n">
        <v>50</v>
      </c>
      <c r="F313" s="109">
        <f>ROUND(D313*(1+(E313/100)),2)</f>
        <v/>
      </c>
      <c r="G313" t="n">
        <v>15</v>
      </c>
      <c r="H313" t="n">
        <v>5</v>
      </c>
    </row>
    <row r="314">
      <c r="A314" t="n">
        <v>313</v>
      </c>
      <c r="B314" t="inlineStr">
        <is>
          <t>Produto</t>
        </is>
      </c>
      <c r="C314" s="121" t="inlineStr">
        <is>
          <t>Meias esportivas treino preto tam. GG</t>
        </is>
      </c>
      <c r="D314" s="109" t="n">
        <v>21.05</v>
      </c>
      <c r="E314" s="123" t="n">
        <v>50</v>
      </c>
      <c r="F314" s="109">
        <f>ROUND(D314*(1+(E314/100)),2)</f>
        <v/>
      </c>
      <c r="G314" t="n">
        <v>15</v>
      </c>
      <c r="H314" t="n">
        <v>5</v>
      </c>
    </row>
    <row r="315">
      <c r="A315" t="n">
        <v>314</v>
      </c>
      <c r="B315" t="inlineStr">
        <is>
          <t>Produto</t>
        </is>
      </c>
      <c r="C315" s="121" t="inlineStr">
        <is>
          <t>Kimono de judô profissional azul tam. 40</t>
        </is>
      </c>
      <c r="D315" s="109" t="n">
        <v>238.96</v>
      </c>
      <c r="E315" s="123" t="n">
        <v>50</v>
      </c>
      <c r="F315" s="109">
        <f>ROUND(D315*(1+(E315/100)),2)</f>
        <v/>
      </c>
      <c r="G315" t="n">
        <v>15</v>
      </c>
      <c r="H315" t="n">
        <v>5</v>
      </c>
    </row>
    <row r="316">
      <c r="A316" t="n">
        <v>315</v>
      </c>
      <c r="B316" t="inlineStr">
        <is>
          <t>Produto</t>
        </is>
      </c>
      <c r="C316" s="121" t="inlineStr">
        <is>
          <t>Bola de basquete unissex verde</t>
        </is>
      </c>
      <c r="D316" s="109" t="n">
        <v>117.85</v>
      </c>
      <c r="E316" s="123" t="n">
        <v>50</v>
      </c>
      <c r="F316" s="109">
        <f>ROUND(D316*(1+(E316/100)),2)</f>
        <v/>
      </c>
      <c r="G316" t="n">
        <v>15</v>
      </c>
      <c r="H316" t="n">
        <v>5</v>
      </c>
    </row>
    <row r="317">
      <c r="A317" t="n">
        <v>316</v>
      </c>
      <c r="B317" t="inlineStr">
        <is>
          <t>Produto</t>
        </is>
      </c>
      <c r="C317" s="121" t="inlineStr">
        <is>
          <t>Garrafa squeeze adulto branco</t>
        </is>
      </c>
      <c r="D317" s="109" t="n">
        <v>21.21</v>
      </c>
      <c r="E317" s="123" t="n">
        <v>50</v>
      </c>
      <c r="F317" s="109">
        <f>ROUND(D317*(1+(E317/100)),2)</f>
        <v/>
      </c>
      <c r="G317" t="n">
        <v>15</v>
      </c>
      <c r="H317" t="n">
        <v>5</v>
      </c>
    </row>
    <row r="318">
      <c r="A318" t="n">
        <v>317</v>
      </c>
      <c r="B318" t="inlineStr">
        <is>
          <t>Produto</t>
        </is>
      </c>
      <c r="C318" s="121" t="inlineStr">
        <is>
          <t>Corda de pular profissional branco</t>
        </is>
      </c>
      <c r="D318" s="109" t="n">
        <v>14.42</v>
      </c>
      <c r="E318" s="123" t="n">
        <v>50</v>
      </c>
      <c r="F318" s="109">
        <f>ROUND(D318*(1+(E318/100)),2)</f>
        <v/>
      </c>
      <c r="G318" t="n">
        <v>15</v>
      </c>
      <c r="H318" t="n">
        <v>5</v>
      </c>
    </row>
    <row r="319">
      <c r="A319" t="n">
        <v>318</v>
      </c>
      <c r="B319" t="inlineStr">
        <is>
          <t>Produto</t>
        </is>
      </c>
      <c r="C319" s="121" t="inlineStr">
        <is>
          <t>Monitor cardíaco resistente preto</t>
        </is>
      </c>
      <c r="D319" s="109" t="n">
        <v>267.13</v>
      </c>
      <c r="E319" s="123" t="n">
        <v>50</v>
      </c>
      <c r="F319" s="109">
        <f>ROUND(D319*(1+(E319/100)),2)</f>
        <v/>
      </c>
      <c r="G319" t="n">
        <v>15</v>
      </c>
      <c r="H319" t="n">
        <v>5</v>
      </c>
    </row>
    <row r="320">
      <c r="A320" t="n">
        <v>319</v>
      </c>
      <c r="B320" t="inlineStr">
        <is>
          <t>Produto</t>
        </is>
      </c>
      <c r="C320" s="121" t="inlineStr">
        <is>
          <t>Luva de ciclismo para uso diário branco tam. 34</t>
        </is>
      </c>
      <c r="D320" s="109" t="n">
        <v>94.16</v>
      </c>
      <c r="E320" s="123" t="n">
        <v>50</v>
      </c>
      <c r="F320" s="109">
        <f>ROUND(D320*(1+(E320/100)),2)</f>
        <v/>
      </c>
      <c r="G320" t="n">
        <v>15</v>
      </c>
      <c r="H320" t="n">
        <v>5</v>
      </c>
    </row>
    <row r="321">
      <c r="A321" t="n">
        <v>320</v>
      </c>
      <c r="B321" t="inlineStr">
        <is>
          <t>Produto</t>
        </is>
      </c>
      <c r="C321" s="121" t="inlineStr">
        <is>
          <t>Colchonete de exercício modelo avançado verde</t>
        </is>
      </c>
      <c r="D321" s="109" t="n">
        <v>94.3</v>
      </c>
      <c r="E321" s="123" t="n">
        <v>50</v>
      </c>
      <c r="F321" s="109">
        <f>ROUND(D321*(1+(E321/100)),2)</f>
        <v/>
      </c>
      <c r="G321" t="n">
        <v>15</v>
      </c>
      <c r="H321" t="n">
        <v>5</v>
      </c>
    </row>
    <row r="322">
      <c r="A322" t="n">
        <v>321</v>
      </c>
      <c r="B322" t="inlineStr">
        <is>
          <t>Produto</t>
        </is>
      </c>
      <c r="C322" s="121" t="inlineStr">
        <is>
          <t>Touca de natação unissex branco tam. G</t>
        </is>
      </c>
      <c r="D322" s="109" t="n">
        <v>11.2</v>
      </c>
      <c r="E322" s="123" t="n">
        <v>50</v>
      </c>
      <c r="F322" s="109">
        <f>ROUND(D322*(1+(E322/100)),2)</f>
        <v/>
      </c>
      <c r="G322" t="n">
        <v>15</v>
      </c>
      <c r="H322" t="n">
        <v>5</v>
      </c>
    </row>
    <row r="323">
      <c r="A323" t="n">
        <v>322</v>
      </c>
      <c r="B323" t="inlineStr">
        <is>
          <t>Produto</t>
        </is>
      </c>
      <c r="C323" s="121" t="inlineStr">
        <is>
          <t>Caneleira de futebol leve rosa</t>
        </is>
      </c>
      <c r="D323" s="109" t="n">
        <v>88.45</v>
      </c>
      <c r="E323" s="123" t="n">
        <v>50</v>
      </c>
      <c r="F323" s="109">
        <f>ROUND(D323*(1+(E323/100)),2)</f>
        <v/>
      </c>
      <c r="G323" t="n">
        <v>15</v>
      </c>
      <c r="H323" t="n">
        <v>5</v>
      </c>
    </row>
    <row r="324">
      <c r="A324" t="n">
        <v>323</v>
      </c>
      <c r="B324" t="inlineStr">
        <is>
          <t>Produto</t>
        </is>
      </c>
      <c r="C324" s="121" t="inlineStr">
        <is>
          <t>Luva de ciclismo recreativo azul tam. 40</t>
        </is>
      </c>
      <c r="D324" s="109" t="n">
        <v>21.71</v>
      </c>
      <c r="E324" s="123" t="n">
        <v>50</v>
      </c>
      <c r="F324" s="109">
        <f>ROUND(D324*(1+(E324/100)),2)</f>
        <v/>
      </c>
      <c r="G324" t="n">
        <v>15</v>
      </c>
      <c r="H324" t="n">
        <v>5</v>
      </c>
    </row>
    <row r="325">
      <c r="A325" t="n">
        <v>324</v>
      </c>
      <c r="B325" t="inlineStr">
        <is>
          <t>Produto</t>
        </is>
      </c>
      <c r="C325" s="121" t="inlineStr">
        <is>
          <t>Short esportivo reforçado preto tam. 36</t>
        </is>
      </c>
      <c r="D325" s="109" t="n">
        <v>101.95</v>
      </c>
      <c r="E325" s="123" t="n">
        <v>50</v>
      </c>
      <c r="F325" s="109">
        <f>ROUND(D325*(1+(E325/100)),2)</f>
        <v/>
      </c>
      <c r="G325" t="n">
        <v>15</v>
      </c>
      <c r="H325" t="n">
        <v>5</v>
      </c>
    </row>
    <row r="326">
      <c r="A326" t="n">
        <v>325</v>
      </c>
      <c r="B326" t="inlineStr">
        <is>
          <t>Produto</t>
        </is>
      </c>
      <c r="C326" s="121" t="inlineStr">
        <is>
          <t>Relógio esportivo ventilado rosa</t>
        </is>
      </c>
      <c r="D326" s="109" t="n">
        <v>424.71</v>
      </c>
      <c r="E326" s="123" t="n">
        <v>50</v>
      </c>
      <c r="F326" s="109">
        <f>ROUND(D326*(1+(E326/100)),2)</f>
        <v/>
      </c>
      <c r="G326" t="n">
        <v>15</v>
      </c>
      <c r="H326" t="n">
        <v>5</v>
      </c>
    </row>
    <row r="327">
      <c r="A327" t="n">
        <v>326</v>
      </c>
      <c r="B327" t="inlineStr">
        <is>
          <t>Produto</t>
        </is>
      </c>
      <c r="C327" s="121" t="inlineStr">
        <is>
          <t>Step de ginástica iniciante branco</t>
        </is>
      </c>
      <c r="D327" s="109" t="n">
        <v>266.86</v>
      </c>
      <c r="E327" s="123" t="n">
        <v>50</v>
      </c>
      <c r="F327" s="109">
        <f>ROUND(D327*(1+(E327/100)),2)</f>
        <v/>
      </c>
      <c r="G327" t="n">
        <v>15</v>
      </c>
      <c r="H327" t="n">
        <v>5</v>
      </c>
    </row>
    <row r="328">
      <c r="A328" t="n">
        <v>327</v>
      </c>
      <c r="B328" t="inlineStr">
        <is>
          <t>Produto</t>
        </is>
      </c>
      <c r="C328" s="121" t="inlineStr">
        <is>
          <t>Raquete de tênis premium azul tam. 36</t>
        </is>
      </c>
      <c r="D328" s="109" t="n">
        <v>266.3</v>
      </c>
      <c r="E328" s="123" t="n">
        <v>50</v>
      </c>
      <c r="F328" s="109">
        <f>ROUND(D328*(1+(E328/100)),2)</f>
        <v/>
      </c>
      <c r="G328" t="n">
        <v>15</v>
      </c>
      <c r="H328" t="n">
        <v>5</v>
      </c>
    </row>
    <row r="329">
      <c r="A329" t="n">
        <v>328</v>
      </c>
      <c r="B329" t="inlineStr">
        <is>
          <t>Produto</t>
        </is>
      </c>
      <c r="C329" s="121" t="inlineStr">
        <is>
          <t>Elástico de resistência para uso diário branco</t>
        </is>
      </c>
      <c r="D329" s="109" t="n">
        <v>58.57</v>
      </c>
      <c r="E329" s="123" t="n">
        <v>50</v>
      </c>
      <c r="F329" s="109">
        <f>ROUND(D329*(1+(E329/100)),2)</f>
        <v/>
      </c>
      <c r="G329" t="n">
        <v>15</v>
      </c>
      <c r="H329" t="n">
        <v>5</v>
      </c>
    </row>
    <row r="330">
      <c r="A330" t="n">
        <v>329</v>
      </c>
      <c r="B330" t="inlineStr">
        <is>
          <t>Produto</t>
        </is>
      </c>
      <c r="C330" s="121" t="inlineStr">
        <is>
          <t>Óculos esportivos modelo avançado cinza</t>
        </is>
      </c>
      <c r="D330" s="109" t="n">
        <v>341.2</v>
      </c>
      <c r="E330" s="123" t="n">
        <v>50</v>
      </c>
      <c r="F330" s="109">
        <f>ROUND(D330*(1+(E330/100)),2)</f>
        <v/>
      </c>
      <c r="G330" t="n">
        <v>15</v>
      </c>
      <c r="H330" t="n">
        <v>5</v>
      </c>
    </row>
    <row r="331">
      <c r="A331" t="n">
        <v>330</v>
      </c>
      <c r="B331" t="inlineStr">
        <is>
          <t>Produto</t>
        </is>
      </c>
      <c r="C331" s="121" t="inlineStr">
        <is>
          <t>Bastão de caminhada profissional laranja</t>
        </is>
      </c>
      <c r="D331" s="109" t="n">
        <v>120.31</v>
      </c>
      <c r="E331" s="123" t="n">
        <v>50</v>
      </c>
      <c r="F331" s="109">
        <f>ROUND(D331*(1+(E331/100)),2)</f>
        <v/>
      </c>
      <c r="G331" t="n">
        <v>15</v>
      </c>
      <c r="H331" t="n">
        <v>5</v>
      </c>
    </row>
    <row r="332">
      <c r="A332" t="n">
        <v>331</v>
      </c>
      <c r="B332" t="inlineStr">
        <is>
          <t>Produto</t>
        </is>
      </c>
      <c r="C332" s="121" t="inlineStr">
        <is>
          <t>Regata esportiva iniciante branco tam. M</t>
        </is>
      </c>
      <c r="D332" s="109" t="n">
        <v>19.99</v>
      </c>
      <c r="E332" s="123" t="n">
        <v>50</v>
      </c>
      <c r="F332" s="109">
        <f>ROUND(D332*(1+(E332/100)),2)</f>
        <v/>
      </c>
      <c r="G332" t="n">
        <v>15</v>
      </c>
      <c r="H332" t="n">
        <v>5</v>
      </c>
    </row>
    <row r="333">
      <c r="A333" t="n">
        <v>332</v>
      </c>
      <c r="B333" t="inlineStr">
        <is>
          <t>Produto</t>
        </is>
      </c>
      <c r="C333" s="121" t="inlineStr">
        <is>
          <t>Prancha de natação iniciante rosa</t>
        </is>
      </c>
      <c r="D333" s="109" t="n">
        <v>72.17</v>
      </c>
      <c r="E333" s="123" t="n">
        <v>50</v>
      </c>
      <c r="F333" s="109">
        <f>ROUND(D333*(1+(E333/100)),2)</f>
        <v/>
      </c>
      <c r="G333" t="n">
        <v>15</v>
      </c>
      <c r="H333" t="n">
        <v>5</v>
      </c>
    </row>
    <row r="334">
      <c r="A334" t="n">
        <v>333</v>
      </c>
      <c r="B334" t="inlineStr">
        <is>
          <t>Produto</t>
        </is>
      </c>
      <c r="C334" s="121" t="inlineStr">
        <is>
          <t>Bicicleta ergométrica com ajuste branco</t>
        </is>
      </c>
      <c r="D334" s="109" t="n">
        <v>1540.36</v>
      </c>
      <c r="E334" s="123" t="n">
        <v>50</v>
      </c>
      <c r="F334" s="109">
        <f>ROUND(D334*(1+(E334/100)),2)</f>
        <v/>
      </c>
      <c r="G334" t="n">
        <v>15</v>
      </c>
      <c r="H334" t="n">
        <v>5</v>
      </c>
    </row>
    <row r="335">
      <c r="A335" t="n">
        <v>334</v>
      </c>
      <c r="B335" t="inlineStr">
        <is>
          <t>Produto</t>
        </is>
      </c>
      <c r="C335" s="121" t="inlineStr">
        <is>
          <t>Bastão de caminhada versão 2026 laranja</t>
        </is>
      </c>
      <c r="D335" s="109" t="n">
        <v>71.12</v>
      </c>
      <c r="E335" s="123" t="n">
        <v>50</v>
      </c>
      <c r="F335" s="109">
        <f>ROUND(D335*(1+(E335/100)),2)</f>
        <v/>
      </c>
      <c r="G335" t="n">
        <v>15</v>
      </c>
      <c r="H335" t="n">
        <v>5</v>
      </c>
    </row>
    <row r="336">
      <c r="A336" t="n">
        <v>335</v>
      </c>
      <c r="B336" t="inlineStr">
        <is>
          <t>Produto</t>
        </is>
      </c>
      <c r="C336" s="121" t="inlineStr">
        <is>
          <t>Raquete de tênis para uso diário branco tam. 42</t>
        </is>
      </c>
      <c r="D336" s="109" t="n">
        <v>443.27</v>
      </c>
      <c r="E336" s="123" t="n">
        <v>50</v>
      </c>
      <c r="F336" s="109">
        <f>ROUND(D336*(1+(E336/100)),2)</f>
        <v/>
      </c>
      <c r="G336" t="n">
        <v>15</v>
      </c>
      <c r="H336" t="n">
        <v>5</v>
      </c>
    </row>
    <row r="337">
      <c r="A337" t="n">
        <v>336</v>
      </c>
      <c r="B337" t="inlineStr">
        <is>
          <t>Produto</t>
        </is>
      </c>
      <c r="C337" s="121" t="inlineStr">
        <is>
          <t>Nadadeira adulto vermelho</t>
        </is>
      </c>
      <c r="D337" s="109" t="n">
        <v>156.33</v>
      </c>
      <c r="E337" s="123" t="n">
        <v>50</v>
      </c>
      <c r="F337" s="109">
        <f>ROUND(D337*(1+(E337/100)),2)</f>
        <v/>
      </c>
      <c r="G337" t="n">
        <v>15</v>
      </c>
      <c r="H337" t="n">
        <v>5</v>
      </c>
    </row>
    <row r="338">
      <c r="A338" t="n">
        <v>337</v>
      </c>
      <c r="B338" t="inlineStr">
        <is>
          <t>Produto</t>
        </is>
      </c>
      <c r="C338" s="121" t="inlineStr">
        <is>
          <t>Nadadeira juvenil vermelho</t>
        </is>
      </c>
      <c r="D338" s="109" t="n">
        <v>34.43</v>
      </c>
      <c r="E338" s="123" t="n">
        <v>50</v>
      </c>
      <c r="F338" s="109">
        <f>ROUND(D338*(1+(E338/100)),2)</f>
        <v/>
      </c>
      <c r="G338" t="n">
        <v>15</v>
      </c>
      <c r="H338" t="n">
        <v>5</v>
      </c>
    </row>
    <row r="339">
      <c r="A339" t="n">
        <v>338</v>
      </c>
      <c r="B339" t="inlineStr">
        <is>
          <t>Produto</t>
        </is>
      </c>
      <c r="C339" s="121" t="inlineStr">
        <is>
          <t>Banco de musculação modelo avançado laranja</t>
        </is>
      </c>
      <c r="D339" s="109" t="n">
        <v>1433.24</v>
      </c>
      <c r="E339" s="123" t="n">
        <v>50</v>
      </c>
      <c r="F339" s="109">
        <f>ROUND(D339*(1+(E339/100)),2)</f>
        <v/>
      </c>
      <c r="G339" t="n">
        <v>15</v>
      </c>
      <c r="H339" t="n">
        <v>5</v>
      </c>
    </row>
    <row r="340">
      <c r="A340" t="n">
        <v>339</v>
      </c>
      <c r="B340" t="inlineStr">
        <is>
          <t>Produto</t>
        </is>
      </c>
      <c r="C340" s="121" t="inlineStr">
        <is>
          <t>Bola de vôlei recreativo rosa</t>
        </is>
      </c>
      <c r="D340" s="109" t="n">
        <v>103.64</v>
      </c>
      <c r="E340" s="123" t="n">
        <v>50</v>
      </c>
      <c r="F340" s="109">
        <f>ROUND(D340*(1+(E340/100)),2)</f>
        <v/>
      </c>
      <c r="G340" t="n">
        <v>15</v>
      </c>
      <c r="H340" t="n">
        <v>5</v>
      </c>
    </row>
    <row r="341">
      <c r="A341" t="n">
        <v>340</v>
      </c>
      <c r="B341" t="inlineStr">
        <is>
          <t>Produto</t>
        </is>
      </c>
      <c r="C341" s="121" t="inlineStr">
        <is>
          <t>Tapete de yoga profissional vermelho</t>
        </is>
      </c>
      <c r="D341" s="109" t="n">
        <v>106.54</v>
      </c>
      <c r="E341" s="123" t="n">
        <v>50</v>
      </c>
      <c r="F341" s="109">
        <f>ROUND(D341*(1+(E341/100)),2)</f>
        <v/>
      </c>
      <c r="G341" t="n">
        <v>15</v>
      </c>
      <c r="H341" t="n">
        <v>5</v>
      </c>
    </row>
    <row r="342">
      <c r="A342" t="n">
        <v>341</v>
      </c>
      <c r="B342" t="inlineStr">
        <is>
          <t>Produto</t>
        </is>
      </c>
      <c r="C342" s="121" t="inlineStr">
        <is>
          <t>Elástico de resistência premium verde</t>
        </is>
      </c>
      <c r="D342" s="109" t="n">
        <v>57.88</v>
      </c>
      <c r="E342" s="123" t="n">
        <v>50</v>
      </c>
      <c r="F342" s="109">
        <f>ROUND(D342*(1+(E342/100)),2)</f>
        <v/>
      </c>
      <c r="G342" t="n">
        <v>15</v>
      </c>
      <c r="H342" t="n">
        <v>5</v>
      </c>
    </row>
    <row r="343">
      <c r="A343" t="n">
        <v>342</v>
      </c>
      <c r="B343" t="inlineStr">
        <is>
          <t>Produto</t>
        </is>
      </c>
      <c r="C343" s="121" t="inlineStr">
        <is>
          <t>Bola de basquete ergonômico laranja</t>
        </is>
      </c>
      <c r="D343" s="109" t="n">
        <v>140.08</v>
      </c>
      <c r="E343" s="123" t="n">
        <v>50</v>
      </c>
      <c r="F343" s="109">
        <f>ROUND(D343*(1+(E343/100)),2)</f>
        <v/>
      </c>
      <c r="G343" t="n">
        <v>15</v>
      </c>
      <c r="H343" t="n">
        <v>5</v>
      </c>
    </row>
    <row r="344">
      <c r="A344" t="n">
        <v>343</v>
      </c>
      <c r="B344" t="inlineStr">
        <is>
          <t>Produto</t>
        </is>
      </c>
      <c r="C344" s="121" t="inlineStr">
        <is>
          <t>Tênis para quadra premium rosa tam. GG</t>
        </is>
      </c>
      <c r="D344" s="109" t="n">
        <v>478.48</v>
      </c>
      <c r="E344" s="123" t="n">
        <v>50</v>
      </c>
      <c r="F344" s="109">
        <f>ROUND(D344*(1+(E344/100)),2)</f>
        <v/>
      </c>
      <c r="G344" t="n">
        <v>15</v>
      </c>
      <c r="H344" t="n">
        <v>5</v>
      </c>
    </row>
    <row r="345">
      <c r="A345" t="n">
        <v>344</v>
      </c>
      <c r="B345" t="inlineStr">
        <is>
          <t>Produto</t>
        </is>
      </c>
      <c r="C345" s="121" t="inlineStr">
        <is>
          <t>Garrafa squeeze reforçado azul</t>
        </is>
      </c>
      <c r="D345" s="109" t="n">
        <v>15.86</v>
      </c>
      <c r="E345" s="123" t="n">
        <v>50</v>
      </c>
      <c r="F345" s="109">
        <f>ROUND(D345*(1+(E345/100)),2)</f>
        <v/>
      </c>
      <c r="G345" t="n">
        <v>15</v>
      </c>
      <c r="H345" t="n">
        <v>5</v>
      </c>
    </row>
    <row r="346">
      <c r="A346" t="n">
        <v>345</v>
      </c>
      <c r="B346" t="inlineStr">
        <is>
          <t>Produto</t>
        </is>
      </c>
      <c r="C346" s="121" t="inlineStr">
        <is>
          <t>Raquete de beach tennis leve rosa</t>
        </is>
      </c>
      <c r="D346" s="109" t="n">
        <v>778.02</v>
      </c>
      <c r="E346" s="123" t="n">
        <v>50</v>
      </c>
      <c r="F346" s="109">
        <f>ROUND(D346*(1+(E346/100)),2)</f>
        <v/>
      </c>
      <c r="G346" t="n">
        <v>15</v>
      </c>
      <c r="H346" t="n">
        <v>5</v>
      </c>
    </row>
    <row r="347">
      <c r="A347" t="n">
        <v>346</v>
      </c>
      <c r="B347" t="inlineStr">
        <is>
          <t>Produto</t>
        </is>
      </c>
      <c r="C347" s="121" t="inlineStr">
        <is>
          <t>Nadadeira modelo avançado azul</t>
        </is>
      </c>
      <c r="D347" s="109" t="n">
        <v>109.74</v>
      </c>
      <c r="E347" s="123" t="n">
        <v>50</v>
      </c>
      <c r="F347" s="109">
        <f>ROUND(D347*(1+(E347/100)),2)</f>
        <v/>
      </c>
      <c r="G347" t="n">
        <v>15</v>
      </c>
      <c r="H347" t="n">
        <v>5</v>
      </c>
    </row>
    <row r="348">
      <c r="A348" t="n">
        <v>347</v>
      </c>
      <c r="B348" t="inlineStr">
        <is>
          <t>Produto</t>
        </is>
      </c>
      <c r="C348" s="121" t="inlineStr">
        <is>
          <t>Garrafa squeeze leve vermelho</t>
        </is>
      </c>
      <c r="D348" s="109" t="n">
        <v>49.42</v>
      </c>
      <c r="E348" s="123" t="n">
        <v>50</v>
      </c>
      <c r="F348" s="109">
        <f>ROUND(D348*(1+(E348/100)),2)</f>
        <v/>
      </c>
      <c r="G348" t="n">
        <v>15</v>
      </c>
      <c r="H348" t="n">
        <v>5</v>
      </c>
    </row>
    <row r="349">
      <c r="A349" t="n">
        <v>348</v>
      </c>
      <c r="B349" t="inlineStr">
        <is>
          <t>Produto</t>
        </is>
      </c>
      <c r="C349" s="121" t="inlineStr">
        <is>
          <t>Relógio esportivo treino verde</t>
        </is>
      </c>
      <c r="D349" s="109" t="n">
        <v>1200.52</v>
      </c>
      <c r="E349" s="123" t="n">
        <v>50</v>
      </c>
      <c r="F349" s="109">
        <f>ROUND(D349*(1+(E349/100)),2)</f>
        <v/>
      </c>
      <c r="G349" t="n">
        <v>15</v>
      </c>
      <c r="H349" t="n">
        <v>5</v>
      </c>
    </row>
    <row r="350">
      <c r="A350" t="n">
        <v>349</v>
      </c>
      <c r="B350" t="inlineStr">
        <is>
          <t>Produto</t>
        </is>
      </c>
      <c r="C350" s="121" t="inlineStr">
        <is>
          <t>Meias esportivas adulto branco tam. 42</t>
        </is>
      </c>
      <c r="D350" s="109" t="n">
        <v>26.54</v>
      </c>
      <c r="E350" s="123" t="n">
        <v>50</v>
      </c>
      <c r="F350" s="109">
        <f>ROUND(D350*(1+(E350/100)),2)</f>
        <v/>
      </c>
      <c r="G350" t="n">
        <v>15</v>
      </c>
      <c r="H350" t="n">
        <v>5</v>
      </c>
    </row>
    <row r="351">
      <c r="A351" t="n">
        <v>350</v>
      </c>
      <c r="B351" t="inlineStr">
        <is>
          <t>Produto</t>
        </is>
      </c>
      <c r="C351" s="121" t="inlineStr">
        <is>
          <t>Capacete de ciclismo recreativo azul</t>
        </is>
      </c>
      <c r="D351" s="109" t="n">
        <v>68.45</v>
      </c>
      <c r="E351" s="123" t="n">
        <v>50</v>
      </c>
      <c r="F351" s="109">
        <f>ROUND(D351*(1+(E351/100)),2)</f>
        <v/>
      </c>
      <c r="G351" t="n">
        <v>15</v>
      </c>
      <c r="H351" t="n">
        <v>5</v>
      </c>
    </row>
    <row r="352">
      <c r="A352" t="n">
        <v>351</v>
      </c>
      <c r="B352" t="inlineStr">
        <is>
          <t>Produto</t>
        </is>
      </c>
      <c r="C352" s="121" t="inlineStr">
        <is>
          <t>Elástico de resistência resistente laranja</t>
        </is>
      </c>
      <c r="D352" s="109" t="n">
        <v>47.89</v>
      </c>
      <c r="E352" s="123" t="n">
        <v>50</v>
      </c>
      <c r="F352" s="109">
        <f>ROUND(D352*(1+(E352/100)),2)</f>
        <v/>
      </c>
      <c r="G352" t="n">
        <v>15</v>
      </c>
      <c r="H352" t="n">
        <v>5</v>
      </c>
    </row>
    <row r="353">
      <c r="A353" t="n">
        <v>352</v>
      </c>
      <c r="B353" t="inlineStr">
        <is>
          <t>Produto</t>
        </is>
      </c>
      <c r="C353" s="121" t="inlineStr">
        <is>
          <t>Protetor bucal recreativo branco</t>
        </is>
      </c>
      <c r="D353" s="109" t="n">
        <v>41.7</v>
      </c>
      <c r="E353" s="123" t="n">
        <v>50</v>
      </c>
      <c r="F353" s="109">
        <f>ROUND(D353*(1+(E353/100)),2)</f>
        <v/>
      </c>
      <c r="G353" t="n">
        <v>15</v>
      </c>
      <c r="H353" t="n">
        <v>5</v>
      </c>
    </row>
    <row r="354">
      <c r="A354" t="n">
        <v>353</v>
      </c>
      <c r="B354" t="inlineStr">
        <is>
          <t>Produto</t>
        </is>
      </c>
      <c r="C354" s="121" t="inlineStr">
        <is>
          <t>Bicicleta urbana resistente branco</t>
        </is>
      </c>
      <c r="D354" s="109" t="n">
        <v>957.34</v>
      </c>
      <c r="E354" s="123" t="n">
        <v>50</v>
      </c>
      <c r="F354" s="109">
        <f>ROUND(D354*(1+(E354/100)),2)</f>
        <v/>
      </c>
      <c r="G354" t="n">
        <v>15</v>
      </c>
      <c r="H354" t="n">
        <v>5</v>
      </c>
    </row>
    <row r="355">
      <c r="A355" t="n">
        <v>354</v>
      </c>
      <c r="B355" t="inlineStr">
        <is>
          <t>Produto</t>
        </is>
      </c>
      <c r="C355" s="121" t="inlineStr">
        <is>
          <t>Banco de musculação unissex vermelho</t>
        </is>
      </c>
      <c r="D355" s="109" t="n">
        <v>1193.41</v>
      </c>
      <c r="E355" s="123" t="n">
        <v>50</v>
      </c>
      <c r="F355" s="109">
        <f>ROUND(D355*(1+(E355/100)),2)</f>
        <v/>
      </c>
      <c r="G355" t="n">
        <v>15</v>
      </c>
      <c r="H355" t="n">
        <v>5</v>
      </c>
    </row>
    <row r="356">
      <c r="A356" t="n">
        <v>355</v>
      </c>
      <c r="B356" t="inlineStr">
        <is>
          <t>Produto</t>
        </is>
      </c>
      <c r="C356" s="121" t="inlineStr">
        <is>
          <t>Chuteira de campo resistente preto tam. M</t>
        </is>
      </c>
      <c r="D356" s="109" t="n">
        <v>314.41</v>
      </c>
      <c r="E356" s="123" t="n">
        <v>50</v>
      </c>
      <c r="F356" s="109">
        <f>ROUND(D356*(1+(E356/100)),2)</f>
        <v/>
      </c>
      <c r="G356" t="n">
        <v>15</v>
      </c>
      <c r="H356" t="n">
        <v>5</v>
      </c>
    </row>
    <row r="357">
      <c r="A357" t="n">
        <v>356</v>
      </c>
      <c r="B357" t="inlineStr">
        <is>
          <t>Produto</t>
        </is>
      </c>
      <c r="C357" s="121" t="inlineStr">
        <is>
          <t>Coqueteleira leve branco</t>
        </is>
      </c>
      <c r="D357" s="109" t="n">
        <v>51.2</v>
      </c>
      <c r="E357" s="123" t="n">
        <v>50</v>
      </c>
      <c r="F357" s="109">
        <f>ROUND(D357*(1+(E357/100)),2)</f>
        <v/>
      </c>
      <c r="G357" t="n">
        <v>15</v>
      </c>
      <c r="H357" t="n">
        <v>5</v>
      </c>
    </row>
    <row r="358">
      <c r="A358" t="n">
        <v>357</v>
      </c>
      <c r="B358" t="inlineStr">
        <is>
          <t>Produto</t>
        </is>
      </c>
      <c r="C358" s="121" t="inlineStr">
        <is>
          <t>Jaqueta esportiva resistente cinza tam. M</t>
        </is>
      </c>
      <c r="D358" s="109" t="n">
        <v>115.59</v>
      </c>
      <c r="E358" s="123" t="n">
        <v>50</v>
      </c>
      <c r="F358" s="109">
        <f>ROUND(D358*(1+(E358/100)),2)</f>
        <v/>
      </c>
      <c r="G358" t="n">
        <v>15</v>
      </c>
      <c r="H358" t="n">
        <v>5</v>
      </c>
    </row>
    <row r="359">
      <c r="A359" t="n">
        <v>358</v>
      </c>
      <c r="B359" t="inlineStr">
        <is>
          <t>Produto</t>
        </is>
      </c>
      <c r="C359" s="121" t="inlineStr">
        <is>
          <t>Touca de natação premium vermelho tam. 34</t>
        </is>
      </c>
      <c r="D359" s="109" t="n">
        <v>40.28</v>
      </c>
      <c r="E359" s="123" t="n">
        <v>50</v>
      </c>
      <c r="F359" s="109">
        <f>ROUND(D359*(1+(E359/100)),2)</f>
        <v/>
      </c>
      <c r="G359" t="n">
        <v>15</v>
      </c>
      <c r="H359" t="n">
        <v>5</v>
      </c>
    </row>
    <row r="360">
      <c r="A360" t="n">
        <v>359</v>
      </c>
      <c r="B360" t="inlineStr">
        <is>
          <t>Produto</t>
        </is>
      </c>
      <c r="C360" s="121" t="inlineStr">
        <is>
          <t>Raquete de badminton leve vermelho</t>
        </is>
      </c>
      <c r="D360" s="109" t="n">
        <v>65.89</v>
      </c>
      <c r="E360" s="123" t="n">
        <v>50</v>
      </c>
      <c r="F360" s="109">
        <f>ROUND(D360*(1+(E360/100)),2)</f>
        <v/>
      </c>
      <c r="G360" t="n">
        <v>15</v>
      </c>
      <c r="H360" t="n">
        <v>5</v>
      </c>
    </row>
    <row r="361">
      <c r="A361" t="n">
        <v>360</v>
      </c>
      <c r="B361" t="inlineStr">
        <is>
          <t>Produto</t>
        </is>
      </c>
      <c r="C361" s="121" t="inlineStr">
        <is>
          <t>Kimono de judô modelo básico preto tam. P</t>
        </is>
      </c>
      <c r="D361" s="109" t="n">
        <v>84.31</v>
      </c>
      <c r="E361" s="123" t="n">
        <v>50</v>
      </c>
      <c r="F361" s="109">
        <f>ROUND(D361*(1+(E361/100)),2)</f>
        <v/>
      </c>
      <c r="G361" t="n">
        <v>15</v>
      </c>
      <c r="H361" t="n">
        <v>5</v>
      </c>
    </row>
    <row r="362">
      <c r="A362" t="n">
        <v>361</v>
      </c>
      <c r="B362" t="inlineStr">
        <is>
          <t>Produto</t>
        </is>
      </c>
      <c r="C362" s="121" t="inlineStr">
        <is>
          <t>Óculos de natação premium verde</t>
        </is>
      </c>
      <c r="D362" s="109" t="n">
        <v>117.78</v>
      </c>
      <c r="E362" s="123" t="n">
        <v>50</v>
      </c>
      <c r="F362" s="109">
        <f>ROUND(D362*(1+(E362/100)),2)</f>
        <v/>
      </c>
      <c r="G362" t="n">
        <v>15</v>
      </c>
      <c r="H362" t="n">
        <v>5</v>
      </c>
    </row>
    <row r="363">
      <c r="A363" t="n">
        <v>362</v>
      </c>
      <c r="B363" t="inlineStr">
        <is>
          <t>Produto</t>
        </is>
      </c>
      <c r="C363" s="121" t="inlineStr">
        <is>
          <t>Corda de pular adulto rosa</t>
        </is>
      </c>
      <c r="D363" s="109" t="n">
        <v>80.95</v>
      </c>
      <c r="E363" s="123" t="n">
        <v>50</v>
      </c>
      <c r="F363" s="109">
        <f>ROUND(D363*(1+(E363/100)),2)</f>
        <v/>
      </c>
      <c r="G363" t="n">
        <v>15</v>
      </c>
      <c r="H363" t="n">
        <v>5</v>
      </c>
    </row>
    <row r="364">
      <c r="A364" t="n">
        <v>363</v>
      </c>
      <c r="B364" t="inlineStr">
        <is>
          <t>Produto</t>
        </is>
      </c>
      <c r="C364" s="121" t="inlineStr">
        <is>
          <t>Caneleira de futebol iniciante rosa</t>
        </is>
      </c>
      <c r="D364" s="109" t="n">
        <v>31.04</v>
      </c>
      <c r="E364" s="123" t="n">
        <v>50</v>
      </c>
      <c r="F364" s="109">
        <f>ROUND(D364*(1+(E364/100)),2)</f>
        <v/>
      </c>
      <c r="G364" t="n">
        <v>15</v>
      </c>
      <c r="H364" t="n">
        <v>5</v>
      </c>
    </row>
    <row r="365">
      <c r="A365" t="n">
        <v>364</v>
      </c>
      <c r="B365" t="inlineStr">
        <is>
          <t>Produto</t>
        </is>
      </c>
      <c r="C365" s="121" t="inlineStr">
        <is>
          <t>Nadadeira iniciante rosa</t>
        </is>
      </c>
      <c r="D365" s="109" t="n">
        <v>35.32</v>
      </c>
      <c r="E365" s="123" t="n">
        <v>50</v>
      </c>
      <c r="F365" s="109">
        <f>ROUND(D365*(1+(E365/100)),2)</f>
        <v/>
      </c>
      <c r="G365" t="n">
        <v>15</v>
      </c>
      <c r="H365" t="n">
        <v>5</v>
      </c>
    </row>
    <row r="366">
      <c r="A366" t="n">
        <v>365</v>
      </c>
      <c r="B366" t="inlineStr">
        <is>
          <t>Produto</t>
        </is>
      </c>
      <c r="C366" s="121" t="inlineStr">
        <is>
          <t>Raquete de tênis com ajuste laranja tam. 40</t>
        </is>
      </c>
      <c r="D366" s="109" t="n">
        <v>279.66</v>
      </c>
      <c r="E366" s="123" t="n">
        <v>50</v>
      </c>
      <c r="F366" s="109">
        <f>ROUND(D366*(1+(E366/100)),2)</f>
        <v/>
      </c>
      <c r="G366" t="n">
        <v>15</v>
      </c>
      <c r="H366" t="n">
        <v>5</v>
      </c>
    </row>
    <row r="367">
      <c r="A367" t="n">
        <v>366</v>
      </c>
      <c r="B367" t="inlineStr">
        <is>
          <t>Produto</t>
        </is>
      </c>
      <c r="C367" s="121" t="inlineStr">
        <is>
          <t>Kettlebell recreativo branco</t>
        </is>
      </c>
      <c r="D367" s="109" t="n">
        <v>210.85</v>
      </c>
      <c r="E367" s="123" t="n">
        <v>50</v>
      </c>
      <c r="F367" s="109">
        <f>ROUND(D367*(1+(E367/100)),2)</f>
        <v/>
      </c>
      <c r="G367" t="n">
        <v>15</v>
      </c>
      <c r="H367" t="n">
        <v>5</v>
      </c>
    </row>
    <row r="368">
      <c r="A368" t="n">
        <v>367</v>
      </c>
      <c r="B368" t="inlineStr">
        <is>
          <t>Produto</t>
        </is>
      </c>
      <c r="C368" s="121" t="inlineStr">
        <is>
          <t>Halter para uso diário vermelho</t>
        </is>
      </c>
      <c r="D368" s="109" t="n">
        <v>116.91</v>
      </c>
      <c r="E368" s="123" t="n">
        <v>50</v>
      </c>
      <c r="F368" s="109">
        <f>ROUND(D368*(1+(E368/100)),2)</f>
        <v/>
      </c>
      <c r="G368" t="n">
        <v>15</v>
      </c>
      <c r="H368" t="n">
        <v>5</v>
      </c>
    </row>
    <row r="369">
      <c r="A369" t="n">
        <v>368</v>
      </c>
      <c r="B369" t="inlineStr">
        <is>
          <t>Produto</t>
        </is>
      </c>
      <c r="C369" s="121" t="inlineStr">
        <is>
          <t>Relógio esportivo treino branco</t>
        </is>
      </c>
      <c r="D369" s="109" t="n">
        <v>408.04</v>
      </c>
      <c r="E369" s="123" t="n">
        <v>50</v>
      </c>
      <c r="F369" s="109">
        <f>ROUND(D369*(1+(E369/100)),2)</f>
        <v/>
      </c>
      <c r="G369" t="n">
        <v>15</v>
      </c>
      <c r="H369" t="n">
        <v>5</v>
      </c>
    </row>
    <row r="370">
      <c r="A370" t="n">
        <v>369</v>
      </c>
      <c r="B370" t="inlineStr">
        <is>
          <t>Produto</t>
        </is>
      </c>
      <c r="C370" s="121" t="inlineStr">
        <is>
          <t>Tênis para quadra com ajuste verde tam. G</t>
        </is>
      </c>
      <c r="D370" s="109" t="n">
        <v>116.86</v>
      </c>
      <c r="E370" s="123" t="n">
        <v>50</v>
      </c>
      <c r="F370" s="109">
        <f>ROUND(D370*(1+(E370/100)),2)</f>
        <v/>
      </c>
      <c r="G370" t="n">
        <v>15</v>
      </c>
      <c r="H370" t="n">
        <v>5</v>
      </c>
    </row>
    <row r="371">
      <c r="A371" t="n">
        <v>370</v>
      </c>
      <c r="B371" t="inlineStr">
        <is>
          <t>Produto</t>
        </is>
      </c>
      <c r="C371" s="121" t="inlineStr">
        <is>
          <t>Garrafa squeeze versão 2026 laranja</t>
        </is>
      </c>
      <c r="D371" s="109" t="n">
        <v>21.6</v>
      </c>
      <c r="E371" s="123" t="n">
        <v>50</v>
      </c>
      <c r="F371" s="109">
        <f>ROUND(D371*(1+(E371/100)),2)</f>
        <v/>
      </c>
      <c r="G371" t="n">
        <v>15</v>
      </c>
      <c r="H371" t="n">
        <v>5</v>
      </c>
    </row>
    <row r="372">
      <c r="A372" t="n">
        <v>371</v>
      </c>
      <c r="B372" t="inlineStr">
        <is>
          <t>Produto</t>
        </is>
      </c>
      <c r="C372" s="121" t="inlineStr">
        <is>
          <t>Camiseta esportiva unissex branco tam. GG</t>
        </is>
      </c>
      <c r="D372" s="109" t="n">
        <v>95.78</v>
      </c>
      <c r="E372" s="123" t="n">
        <v>50</v>
      </c>
      <c r="F372" s="109">
        <f>ROUND(D372*(1+(E372/100)),2)</f>
        <v/>
      </c>
      <c r="G372" t="n">
        <v>15</v>
      </c>
      <c r="H372" t="n">
        <v>5</v>
      </c>
    </row>
    <row r="373">
      <c r="A373" t="n">
        <v>372</v>
      </c>
      <c r="B373" t="inlineStr">
        <is>
          <t>Produto</t>
        </is>
      </c>
      <c r="C373" s="121" t="inlineStr">
        <is>
          <t>Óculos esportivos com ajuste rosa</t>
        </is>
      </c>
      <c r="D373" s="109" t="n">
        <v>372.05</v>
      </c>
      <c r="E373" s="123" t="n">
        <v>50</v>
      </c>
      <c r="F373" s="109">
        <f>ROUND(D373*(1+(E373/100)),2)</f>
        <v/>
      </c>
      <c r="G373" t="n">
        <v>15</v>
      </c>
      <c r="H373" t="n">
        <v>5</v>
      </c>
    </row>
    <row r="374">
      <c r="A374" t="n">
        <v>373</v>
      </c>
      <c r="B374" t="inlineStr">
        <is>
          <t>Produto</t>
        </is>
      </c>
      <c r="C374" s="121" t="inlineStr">
        <is>
          <t>Óculos esportivos profissional laranja</t>
        </is>
      </c>
      <c r="D374" s="109" t="n">
        <v>224.09</v>
      </c>
      <c r="E374" s="123" t="n">
        <v>50</v>
      </c>
      <c r="F374" s="109">
        <f>ROUND(D374*(1+(E374/100)),2)</f>
        <v/>
      </c>
      <c r="G374" t="n">
        <v>15</v>
      </c>
      <c r="H374" t="n">
        <v>5</v>
      </c>
    </row>
    <row r="375">
      <c r="A375" t="n">
        <v>374</v>
      </c>
      <c r="B375" t="inlineStr">
        <is>
          <t>Produto</t>
        </is>
      </c>
      <c r="C375" s="121" t="inlineStr">
        <is>
          <t>Meias esportivas unissex branco tam. P</t>
        </is>
      </c>
      <c r="D375" s="109" t="n">
        <v>7.76</v>
      </c>
      <c r="E375" s="123" t="n">
        <v>50</v>
      </c>
      <c r="F375" s="109">
        <f>ROUND(D375*(1+(E375/100)),2)</f>
        <v/>
      </c>
      <c r="G375" t="n">
        <v>15</v>
      </c>
      <c r="H375" t="n">
        <v>5</v>
      </c>
    </row>
    <row r="376">
      <c r="A376" t="n">
        <v>375</v>
      </c>
      <c r="B376" t="inlineStr">
        <is>
          <t>Produto</t>
        </is>
      </c>
      <c r="C376" s="121" t="inlineStr">
        <is>
          <t>Óculos esportivos ergonômico cinza</t>
        </is>
      </c>
      <c r="D376" s="109" t="n">
        <v>236.47</v>
      </c>
      <c r="E376" s="123" t="n">
        <v>50</v>
      </c>
      <c r="F376" s="109">
        <f>ROUND(D376*(1+(E376/100)),2)</f>
        <v/>
      </c>
      <c r="G376" t="n">
        <v>15</v>
      </c>
      <c r="H376" t="n">
        <v>5</v>
      </c>
    </row>
    <row r="377">
      <c r="A377" t="n">
        <v>376</v>
      </c>
      <c r="B377" t="inlineStr">
        <is>
          <t>Produto</t>
        </is>
      </c>
      <c r="C377" s="121" t="inlineStr">
        <is>
          <t>Tênis de corrida recreativo cinza tam. 36</t>
        </is>
      </c>
      <c r="D377" s="109" t="n">
        <v>479.51</v>
      </c>
      <c r="E377" s="123" t="n">
        <v>50</v>
      </c>
      <c r="F377" s="109">
        <f>ROUND(D377*(1+(E377/100)),2)</f>
        <v/>
      </c>
      <c r="G377" t="n">
        <v>15</v>
      </c>
      <c r="H377" t="n">
        <v>5</v>
      </c>
    </row>
    <row r="378">
      <c r="A378" t="n">
        <v>377</v>
      </c>
      <c r="B378" t="inlineStr">
        <is>
          <t>Produto</t>
        </is>
      </c>
      <c r="C378" s="121" t="inlineStr">
        <is>
          <t>Tapete de yoga para uso diário preto</t>
        </is>
      </c>
      <c r="D378" s="109" t="n">
        <v>112.9</v>
      </c>
      <c r="E378" s="123" t="n">
        <v>50</v>
      </c>
      <c r="F378" s="109">
        <f>ROUND(D378*(1+(E378/100)),2)</f>
        <v/>
      </c>
      <c r="G378" t="n">
        <v>15</v>
      </c>
      <c r="H378" t="n">
        <v>5</v>
      </c>
    </row>
    <row r="379">
      <c r="A379" t="n">
        <v>378</v>
      </c>
      <c r="B379" t="inlineStr">
        <is>
          <t>Produto</t>
        </is>
      </c>
      <c r="C379" s="121" t="inlineStr">
        <is>
          <t>Short esportivo ventilado cinza tam. M</t>
        </is>
      </c>
      <c r="D379" s="109" t="n">
        <v>52.71</v>
      </c>
      <c r="E379" s="123" t="n">
        <v>50</v>
      </c>
      <c r="F379" s="109">
        <f>ROUND(D379*(1+(E379/100)),2)</f>
        <v/>
      </c>
      <c r="G379" t="n">
        <v>15</v>
      </c>
      <c r="H379" t="n">
        <v>5</v>
      </c>
    </row>
    <row r="380">
      <c r="A380" t="n">
        <v>379</v>
      </c>
      <c r="B380" t="inlineStr">
        <is>
          <t>Produto</t>
        </is>
      </c>
      <c r="C380" s="121" t="inlineStr">
        <is>
          <t>Bicicleta urbana premium azul</t>
        </is>
      </c>
      <c r="D380" s="109" t="n">
        <v>958.5700000000001</v>
      </c>
      <c r="E380" s="123" t="n">
        <v>50</v>
      </c>
      <c r="F380" s="109">
        <f>ROUND(D380*(1+(E380/100)),2)</f>
        <v/>
      </c>
      <c r="G380" t="n">
        <v>15</v>
      </c>
      <c r="H380" t="n">
        <v>5</v>
      </c>
    </row>
    <row r="381">
      <c r="A381" t="n">
        <v>380</v>
      </c>
      <c r="B381" t="inlineStr">
        <is>
          <t>Produto</t>
        </is>
      </c>
      <c r="C381" s="121" t="inlineStr">
        <is>
          <t>Tênis de corrida modelo avançado branco tam. 42</t>
        </is>
      </c>
      <c r="D381" s="109" t="n">
        <v>568.8099999999999</v>
      </c>
      <c r="E381" s="123" t="n">
        <v>50</v>
      </c>
      <c r="F381" s="109">
        <f>ROUND(D381*(1+(E381/100)),2)</f>
        <v/>
      </c>
      <c r="G381" t="n">
        <v>15</v>
      </c>
      <c r="H381" t="n">
        <v>5</v>
      </c>
    </row>
    <row r="382">
      <c r="A382" t="n">
        <v>381</v>
      </c>
      <c r="B382" t="inlineStr">
        <is>
          <t>Produto</t>
        </is>
      </c>
      <c r="C382" s="121" t="inlineStr">
        <is>
          <t>Step de ginástica reforçado laranja</t>
        </is>
      </c>
      <c r="D382" s="109" t="n">
        <v>179.96</v>
      </c>
      <c r="E382" s="123" t="n">
        <v>50</v>
      </c>
      <c r="F382" s="109">
        <f>ROUND(D382*(1+(E382/100)),2)</f>
        <v/>
      </c>
      <c r="G382" t="n">
        <v>15</v>
      </c>
      <c r="H382" t="n">
        <v>5</v>
      </c>
    </row>
    <row r="383">
      <c r="A383" t="n">
        <v>382</v>
      </c>
      <c r="B383" t="inlineStr">
        <is>
          <t>Produto</t>
        </is>
      </c>
      <c r="C383" s="121" t="inlineStr">
        <is>
          <t>Bola de vôlei recreativo branco</t>
        </is>
      </c>
      <c r="D383" s="109" t="n">
        <v>91.48</v>
      </c>
      <c r="E383" s="123" t="n">
        <v>50</v>
      </c>
      <c r="F383" s="109">
        <f>ROUND(D383*(1+(E383/100)),2)</f>
        <v/>
      </c>
      <c r="G383" t="n">
        <v>15</v>
      </c>
      <c r="H383" t="n">
        <v>5</v>
      </c>
    </row>
    <row r="384">
      <c r="A384" t="n">
        <v>383</v>
      </c>
      <c r="B384" t="inlineStr">
        <is>
          <t>Produto</t>
        </is>
      </c>
      <c r="C384" s="121" t="inlineStr">
        <is>
          <t>Monitor cardíaco recreativo vermelho</t>
        </is>
      </c>
      <c r="D384" s="109" t="n">
        <v>233.01</v>
      </c>
      <c r="E384" s="123" t="n">
        <v>50</v>
      </c>
      <c r="F384" s="109">
        <f>ROUND(D384*(1+(E384/100)),2)</f>
        <v/>
      </c>
      <c r="G384" t="n">
        <v>15</v>
      </c>
      <c r="H384" t="n">
        <v>5</v>
      </c>
    </row>
    <row r="385">
      <c r="A385" t="n">
        <v>384</v>
      </c>
      <c r="B385" t="inlineStr">
        <is>
          <t>Produto</t>
        </is>
      </c>
      <c r="C385" s="121" t="inlineStr">
        <is>
          <t>Kimono de judô leve laranja tam. 44</t>
        </is>
      </c>
      <c r="D385" s="109" t="n">
        <v>281.74</v>
      </c>
      <c r="E385" s="123" t="n">
        <v>50</v>
      </c>
      <c r="F385" s="109">
        <f>ROUND(D385*(1+(E385/100)),2)</f>
        <v/>
      </c>
      <c r="G385" t="n">
        <v>15</v>
      </c>
      <c r="H385" t="n">
        <v>5</v>
      </c>
    </row>
    <row r="386">
      <c r="A386" t="n">
        <v>385</v>
      </c>
      <c r="B386" t="inlineStr">
        <is>
          <t>Produto</t>
        </is>
      </c>
      <c r="C386" s="121" t="inlineStr">
        <is>
          <t>Coqueteleira modelo básico rosa</t>
        </is>
      </c>
      <c r="D386" s="109" t="n">
        <v>41.71</v>
      </c>
      <c r="E386" s="123" t="n">
        <v>50</v>
      </c>
      <c r="F386" s="109">
        <f>ROUND(D386*(1+(E386/100)),2)</f>
        <v/>
      </c>
      <c r="G386" t="n">
        <v>15</v>
      </c>
      <c r="H386" t="n">
        <v>5</v>
      </c>
    </row>
    <row r="387">
      <c r="A387" t="n">
        <v>386</v>
      </c>
      <c r="B387" t="inlineStr">
        <is>
          <t>Produto</t>
        </is>
      </c>
      <c r="C387" s="121" t="inlineStr">
        <is>
          <t>Coqueteleira adulto branco</t>
        </is>
      </c>
      <c r="D387" s="109" t="n">
        <v>25.85</v>
      </c>
      <c r="E387" s="123" t="n">
        <v>50</v>
      </c>
      <c r="F387" s="109">
        <f>ROUND(D387*(1+(E387/100)),2)</f>
        <v/>
      </c>
      <c r="G387" t="n">
        <v>15</v>
      </c>
      <c r="H387" t="n">
        <v>5</v>
      </c>
    </row>
    <row r="388">
      <c r="A388" t="n">
        <v>387</v>
      </c>
      <c r="B388" t="inlineStr">
        <is>
          <t>Produto</t>
        </is>
      </c>
      <c r="C388" s="121" t="inlineStr">
        <is>
          <t>Tênis para quadra unissex cinza tam. P</t>
        </is>
      </c>
      <c r="D388" s="109" t="n">
        <v>317.9</v>
      </c>
      <c r="E388" s="123" t="n">
        <v>50</v>
      </c>
      <c r="F388" s="109">
        <f>ROUND(D388*(1+(E388/100)),2)</f>
        <v/>
      </c>
      <c r="G388" t="n">
        <v>15</v>
      </c>
      <c r="H388" t="n">
        <v>5</v>
      </c>
    </row>
    <row r="389">
      <c r="A389" t="n">
        <v>388</v>
      </c>
      <c r="B389" t="inlineStr">
        <is>
          <t>Produto</t>
        </is>
      </c>
      <c r="C389" s="121" t="inlineStr">
        <is>
          <t>Mochila esportiva unissex verde</t>
        </is>
      </c>
      <c r="D389" s="109" t="n">
        <v>183.11</v>
      </c>
      <c r="E389" s="123" t="n">
        <v>50</v>
      </c>
      <c r="F389" s="109">
        <f>ROUND(D389*(1+(E389/100)),2)</f>
        <v/>
      </c>
      <c r="G389" t="n">
        <v>15</v>
      </c>
      <c r="H389" t="n">
        <v>5</v>
      </c>
    </row>
    <row r="390">
      <c r="A390" t="n">
        <v>389</v>
      </c>
      <c r="B390" t="inlineStr">
        <is>
          <t>Produto</t>
        </is>
      </c>
      <c r="C390" s="121" t="inlineStr">
        <is>
          <t>Luva de boxe leve laranja tam. G</t>
        </is>
      </c>
      <c r="D390" s="109" t="n">
        <v>253.93</v>
      </c>
      <c r="E390" s="123" t="n">
        <v>50</v>
      </c>
      <c r="F390" s="109">
        <f>ROUND(D390*(1+(E390/100)),2)</f>
        <v/>
      </c>
      <c r="G390" t="n">
        <v>15</v>
      </c>
      <c r="H390" t="n">
        <v>5</v>
      </c>
    </row>
    <row r="391">
      <c r="A391" t="n">
        <v>390</v>
      </c>
      <c r="B391" t="inlineStr">
        <is>
          <t>Produto</t>
        </is>
      </c>
      <c r="C391" s="121" t="inlineStr">
        <is>
          <t>Meias esportivas unissex azul tam. GG</t>
        </is>
      </c>
      <c r="D391" s="109" t="n">
        <v>6.62</v>
      </c>
      <c r="E391" s="123" t="n">
        <v>50</v>
      </c>
      <c r="F391" s="109">
        <f>ROUND(D391*(1+(E391/100)),2)</f>
        <v/>
      </c>
      <c r="G391" t="n">
        <v>15</v>
      </c>
      <c r="H391" t="n">
        <v>5</v>
      </c>
    </row>
    <row r="392">
      <c r="A392" t="n">
        <v>391</v>
      </c>
      <c r="B392" t="inlineStr">
        <is>
          <t>Produto</t>
        </is>
      </c>
      <c r="C392" s="121" t="inlineStr">
        <is>
          <t>Halter recreativo laranja</t>
        </is>
      </c>
      <c r="D392" s="109" t="n">
        <v>107.23</v>
      </c>
      <c r="E392" s="123" t="n">
        <v>50</v>
      </c>
      <c r="F392" s="109">
        <f>ROUND(D392*(1+(E392/100)),2)</f>
        <v/>
      </c>
      <c r="G392" t="n">
        <v>15</v>
      </c>
      <c r="H392" t="n">
        <v>5</v>
      </c>
    </row>
    <row r="393">
      <c r="A393" t="n">
        <v>392</v>
      </c>
      <c r="B393" t="inlineStr">
        <is>
          <t>Produto</t>
        </is>
      </c>
      <c r="C393" s="121" t="inlineStr">
        <is>
          <t>Corda de pular versão 2026 rosa</t>
        </is>
      </c>
      <c r="D393" s="109" t="n">
        <v>79.64</v>
      </c>
      <c r="E393" s="123" t="n">
        <v>50</v>
      </c>
      <c r="F393" s="109">
        <f>ROUND(D393*(1+(E393/100)),2)</f>
        <v/>
      </c>
      <c r="G393" t="n">
        <v>15</v>
      </c>
      <c r="H393" t="n">
        <v>5</v>
      </c>
    </row>
    <row r="394">
      <c r="A394" t="n">
        <v>393</v>
      </c>
      <c r="B394" t="inlineStr">
        <is>
          <t>Produto</t>
        </is>
      </c>
      <c r="C394" s="121" t="inlineStr">
        <is>
          <t>Bola de pilates recreativo verde</t>
        </is>
      </c>
      <c r="D394" s="109" t="n">
        <v>77.78</v>
      </c>
      <c r="E394" s="123" t="n">
        <v>50</v>
      </c>
      <c r="F394" s="109">
        <f>ROUND(D394*(1+(E394/100)),2)</f>
        <v/>
      </c>
      <c r="G394" t="n">
        <v>15</v>
      </c>
      <c r="H394" t="n">
        <v>5</v>
      </c>
    </row>
    <row r="395">
      <c r="A395" t="n">
        <v>394</v>
      </c>
      <c r="B395" t="inlineStr">
        <is>
          <t>Produto</t>
        </is>
      </c>
      <c r="C395" s="121" t="inlineStr">
        <is>
          <t>Prancha de natação resistente laranja</t>
        </is>
      </c>
      <c r="D395" s="109" t="n">
        <v>46.18</v>
      </c>
      <c r="E395" s="123" t="n">
        <v>50</v>
      </c>
      <c r="F395" s="109">
        <f>ROUND(D395*(1+(E395/100)),2)</f>
        <v/>
      </c>
      <c r="G395" t="n">
        <v>15</v>
      </c>
      <c r="H395" t="n">
        <v>5</v>
      </c>
    </row>
    <row r="396">
      <c r="A396" t="n">
        <v>395</v>
      </c>
      <c r="B396" t="inlineStr">
        <is>
          <t>Produto</t>
        </is>
      </c>
      <c r="C396" s="121" t="inlineStr">
        <is>
          <t>Regata esportiva ventilado branco tam. 42</t>
        </is>
      </c>
      <c r="D396" s="109" t="n">
        <v>37.26</v>
      </c>
      <c r="E396" s="123" t="n">
        <v>50</v>
      </c>
      <c r="F396" s="109">
        <f>ROUND(D396*(1+(E396/100)),2)</f>
        <v/>
      </c>
      <c r="G396" t="n">
        <v>15</v>
      </c>
      <c r="H396" t="n">
        <v>5</v>
      </c>
    </row>
    <row r="397">
      <c r="A397" t="n">
        <v>396</v>
      </c>
      <c r="B397" t="inlineStr">
        <is>
          <t>Produto</t>
        </is>
      </c>
      <c r="C397" s="121" t="inlineStr">
        <is>
          <t>Banco de musculação versão 2026 rosa</t>
        </is>
      </c>
      <c r="D397" s="109" t="n">
        <v>433.73</v>
      </c>
      <c r="E397" s="123" t="n">
        <v>50</v>
      </c>
      <c r="F397" s="109">
        <f>ROUND(D397*(1+(E397/100)),2)</f>
        <v/>
      </c>
      <c r="G397" t="n">
        <v>15</v>
      </c>
      <c r="H397" t="n">
        <v>5</v>
      </c>
    </row>
    <row r="398">
      <c r="A398" t="n">
        <v>397</v>
      </c>
      <c r="B398" t="inlineStr">
        <is>
          <t>Produto</t>
        </is>
      </c>
      <c r="C398" s="121" t="inlineStr">
        <is>
          <t>Meias esportivas ventilado cinza tam. GG</t>
        </is>
      </c>
      <c r="D398" s="109" t="n">
        <v>39.83</v>
      </c>
      <c r="E398" s="123" t="n">
        <v>50</v>
      </c>
      <c r="F398" s="109">
        <f>ROUND(D398*(1+(E398/100)),2)</f>
        <v/>
      </c>
      <c r="G398" t="n">
        <v>15</v>
      </c>
      <c r="H398" t="n">
        <v>5</v>
      </c>
    </row>
    <row r="399">
      <c r="A399" t="n">
        <v>398</v>
      </c>
      <c r="B399" t="inlineStr">
        <is>
          <t>Produto</t>
        </is>
      </c>
      <c r="C399" s="121" t="inlineStr">
        <is>
          <t>Coqueteleira reforçado rosa</t>
        </is>
      </c>
      <c r="D399" s="109" t="n">
        <v>25.25</v>
      </c>
      <c r="E399" s="123" t="n">
        <v>50</v>
      </c>
      <c r="F399" s="109">
        <f>ROUND(D399*(1+(E399/100)),2)</f>
        <v/>
      </c>
      <c r="G399" t="n">
        <v>15</v>
      </c>
      <c r="H399" t="n">
        <v>5</v>
      </c>
    </row>
    <row r="400">
      <c r="A400" t="n">
        <v>399</v>
      </c>
      <c r="B400" t="inlineStr">
        <is>
          <t>Produto</t>
        </is>
      </c>
      <c r="C400" s="121" t="inlineStr">
        <is>
          <t>Colchonete de exercício premium cinza</t>
        </is>
      </c>
      <c r="D400" s="109" t="n">
        <v>35.64</v>
      </c>
      <c r="E400" s="123" t="n">
        <v>50</v>
      </c>
      <c r="F400" s="109">
        <f>ROUND(D400*(1+(E400/100)),2)</f>
        <v/>
      </c>
      <c r="G400" t="n">
        <v>15</v>
      </c>
      <c r="H400" t="n">
        <v>5</v>
      </c>
    </row>
    <row r="401">
      <c r="A401" t="n">
        <v>400</v>
      </c>
      <c r="B401" t="inlineStr">
        <is>
          <t>Produto</t>
        </is>
      </c>
      <c r="C401" s="121" t="inlineStr">
        <is>
          <t>Nadadeira para uso diário laranja</t>
        </is>
      </c>
      <c r="D401" s="109" t="n">
        <v>151.61</v>
      </c>
      <c r="E401" s="123" t="n">
        <v>50</v>
      </c>
      <c r="F401" s="109">
        <f>ROUND(D401*(1+(E401/100)),2)</f>
        <v/>
      </c>
      <c r="G401" t="n">
        <v>15</v>
      </c>
      <c r="H401" t="n">
        <v>5</v>
      </c>
    </row>
    <row r="402">
      <c r="A402" t="n">
        <v>401</v>
      </c>
      <c r="B402" t="inlineStr">
        <is>
          <t>Produto</t>
        </is>
      </c>
      <c r="C402" s="121" t="inlineStr">
        <is>
          <t>Banco de musculação iniciante preto</t>
        </is>
      </c>
      <c r="D402" s="109" t="n">
        <v>559.61</v>
      </c>
      <c r="E402" s="123" t="n">
        <v>50</v>
      </c>
      <c r="F402" s="109">
        <f>ROUND(D402*(1+(E402/100)),2)</f>
        <v/>
      </c>
      <c r="G402" t="n">
        <v>15</v>
      </c>
      <c r="H402" t="n">
        <v>5</v>
      </c>
    </row>
    <row r="403">
      <c r="A403" t="n">
        <v>402</v>
      </c>
      <c r="B403" t="inlineStr">
        <is>
          <t>Produto</t>
        </is>
      </c>
      <c r="C403" s="121" t="inlineStr">
        <is>
          <t>Patins modelo avançado rosa</t>
        </is>
      </c>
      <c r="D403" s="109" t="n">
        <v>552.88</v>
      </c>
      <c r="E403" s="123" t="n">
        <v>50</v>
      </c>
      <c r="F403" s="109">
        <f>ROUND(D403*(1+(E403/100)),2)</f>
        <v/>
      </c>
      <c r="G403" t="n">
        <v>15</v>
      </c>
      <c r="H403" t="n">
        <v>5</v>
      </c>
    </row>
    <row r="404">
      <c r="A404" t="n">
        <v>403</v>
      </c>
      <c r="B404" t="inlineStr">
        <is>
          <t>Produto</t>
        </is>
      </c>
      <c r="C404" s="121" t="inlineStr">
        <is>
          <t>Bola de pilates reforçado verde</t>
        </is>
      </c>
      <c r="D404" s="109" t="n">
        <v>103.42</v>
      </c>
      <c r="E404" s="123" t="n">
        <v>50</v>
      </c>
      <c r="F404" s="109">
        <f>ROUND(D404*(1+(E404/100)),2)</f>
        <v/>
      </c>
      <c r="G404" t="n">
        <v>15</v>
      </c>
      <c r="H404" t="n">
        <v>5</v>
      </c>
    </row>
    <row r="405">
      <c r="A405" t="n">
        <v>404</v>
      </c>
      <c r="B405" t="inlineStr">
        <is>
          <t>Produto</t>
        </is>
      </c>
      <c r="C405" s="121" t="inlineStr">
        <is>
          <t>Bolsa de academia premium vermelho</t>
        </is>
      </c>
      <c r="D405" s="109" t="n">
        <v>46.33</v>
      </c>
      <c r="E405" s="123" t="n">
        <v>50</v>
      </c>
      <c r="F405" s="109">
        <f>ROUND(D405*(1+(E405/100)),2)</f>
        <v/>
      </c>
      <c r="G405" t="n">
        <v>15</v>
      </c>
      <c r="H405" t="n">
        <v>5</v>
      </c>
    </row>
    <row r="406">
      <c r="A406" t="n">
        <v>405</v>
      </c>
      <c r="B406" t="inlineStr">
        <is>
          <t>Produto</t>
        </is>
      </c>
      <c r="C406" s="121" t="inlineStr">
        <is>
          <t>Bola de pilates compacto verde</t>
        </is>
      </c>
      <c r="D406" s="109" t="n">
        <v>28.81</v>
      </c>
      <c r="E406" s="123" t="n">
        <v>50</v>
      </c>
      <c r="F406" s="109">
        <f>ROUND(D406*(1+(E406/100)),2)</f>
        <v/>
      </c>
      <c r="G406" t="n">
        <v>15</v>
      </c>
      <c r="H406" t="n">
        <v>5</v>
      </c>
    </row>
    <row r="407">
      <c r="A407" t="n">
        <v>406</v>
      </c>
      <c r="B407" t="inlineStr">
        <is>
          <t>Produto</t>
        </is>
      </c>
      <c r="C407" s="121" t="inlineStr">
        <is>
          <t>Monitor cardíaco compacto preto</t>
        </is>
      </c>
      <c r="D407" s="109" t="n">
        <v>108.65</v>
      </c>
      <c r="E407" s="123" t="n">
        <v>50</v>
      </c>
      <c r="F407" s="109">
        <f>ROUND(D407*(1+(E407/100)),2)</f>
        <v/>
      </c>
      <c r="G407" t="n">
        <v>15</v>
      </c>
      <c r="H407" t="n">
        <v>5</v>
      </c>
    </row>
    <row r="408">
      <c r="A408" t="n">
        <v>407</v>
      </c>
      <c r="B408" t="inlineStr">
        <is>
          <t>Produto</t>
        </is>
      </c>
      <c r="C408" s="121" t="inlineStr">
        <is>
          <t>Kettlebell treino vermelho</t>
        </is>
      </c>
      <c r="D408" s="109" t="n">
        <v>31.03</v>
      </c>
      <c r="E408" s="123" t="n">
        <v>50</v>
      </c>
      <c r="F408" s="109">
        <f>ROUND(D408*(1+(E408/100)),2)</f>
        <v/>
      </c>
      <c r="G408" t="n">
        <v>15</v>
      </c>
      <c r="H408" t="n">
        <v>5</v>
      </c>
    </row>
    <row r="409">
      <c r="A409" t="n">
        <v>408</v>
      </c>
      <c r="B409" t="inlineStr">
        <is>
          <t>Produto</t>
        </is>
      </c>
      <c r="C409" s="121" t="inlineStr">
        <is>
          <t>Luva de goleiro alta performance rosa tam. 40</t>
        </is>
      </c>
      <c r="D409" s="109" t="n">
        <v>164.45</v>
      </c>
      <c r="E409" s="123" t="n">
        <v>50</v>
      </c>
      <c r="F409" s="109">
        <f>ROUND(D409*(1+(E409/100)),2)</f>
        <v/>
      </c>
      <c r="G409" t="n">
        <v>15</v>
      </c>
      <c r="H409" t="n">
        <v>5</v>
      </c>
    </row>
    <row r="410">
      <c r="A410" t="n">
        <v>409</v>
      </c>
      <c r="B410" t="inlineStr">
        <is>
          <t>Produto</t>
        </is>
      </c>
      <c r="C410" s="121" t="inlineStr">
        <is>
          <t>Step de ginástica modelo básico cinza</t>
        </is>
      </c>
      <c r="D410" s="109" t="n">
        <v>214.96</v>
      </c>
      <c r="E410" s="123" t="n">
        <v>50</v>
      </c>
      <c r="F410" s="109">
        <f>ROUND(D410*(1+(E410/100)),2)</f>
        <v/>
      </c>
      <c r="G410" t="n">
        <v>15</v>
      </c>
      <c r="H410" t="n">
        <v>5</v>
      </c>
    </row>
    <row r="411">
      <c r="A411" t="n">
        <v>410</v>
      </c>
      <c r="B411" t="inlineStr">
        <is>
          <t>Produto</t>
        </is>
      </c>
      <c r="C411" s="121" t="inlineStr">
        <is>
          <t>Banco de musculação unissex verde</t>
        </is>
      </c>
      <c r="D411" s="109" t="n">
        <v>886.34</v>
      </c>
      <c r="E411" s="123" t="n">
        <v>50</v>
      </c>
      <c r="F411" s="109">
        <f>ROUND(D411*(1+(E411/100)),2)</f>
        <v/>
      </c>
      <c r="G411" t="n">
        <v>15</v>
      </c>
      <c r="H411" t="n">
        <v>5</v>
      </c>
    </row>
    <row r="412">
      <c r="A412" t="n">
        <v>411</v>
      </c>
      <c r="B412" t="inlineStr">
        <is>
          <t>Produto</t>
        </is>
      </c>
      <c r="C412" s="121" t="inlineStr">
        <is>
          <t>Bastão de caminhada leve laranja</t>
        </is>
      </c>
      <c r="D412" s="109" t="n">
        <v>162.28</v>
      </c>
      <c r="E412" s="123" t="n">
        <v>50</v>
      </c>
      <c r="F412" s="109">
        <f>ROUND(D412*(1+(E412/100)),2)</f>
        <v/>
      </c>
      <c r="G412" t="n">
        <v>15</v>
      </c>
      <c r="H412" t="n">
        <v>5</v>
      </c>
    </row>
    <row r="413">
      <c r="A413" t="n">
        <v>412</v>
      </c>
      <c r="B413" t="inlineStr">
        <is>
          <t>Produto</t>
        </is>
      </c>
      <c r="C413" s="121" t="inlineStr">
        <is>
          <t>Regata esportiva para uso diário rosa tam. G</t>
        </is>
      </c>
      <c r="D413" s="109" t="n">
        <v>73.94</v>
      </c>
      <c r="E413" s="123" t="n">
        <v>50</v>
      </c>
      <c r="F413" s="109">
        <f>ROUND(D413*(1+(E413/100)),2)</f>
        <v/>
      </c>
      <c r="G413" t="n">
        <v>15</v>
      </c>
      <c r="H413" t="n">
        <v>5</v>
      </c>
    </row>
    <row r="414">
      <c r="A414" t="n">
        <v>413</v>
      </c>
      <c r="B414" t="inlineStr">
        <is>
          <t>Produto</t>
        </is>
      </c>
      <c r="C414" s="121" t="inlineStr">
        <is>
          <t>Garrafa squeeze adulto cinza</t>
        </is>
      </c>
      <c r="D414" s="109" t="n">
        <v>37.91</v>
      </c>
      <c r="E414" s="123" t="n">
        <v>50</v>
      </c>
      <c r="F414" s="109">
        <f>ROUND(D414*(1+(E414/100)),2)</f>
        <v/>
      </c>
      <c r="G414" t="n">
        <v>15</v>
      </c>
      <c r="H414" t="n">
        <v>5</v>
      </c>
    </row>
    <row r="415">
      <c r="A415" t="n">
        <v>414</v>
      </c>
      <c r="B415" t="inlineStr">
        <is>
          <t>Produto</t>
        </is>
      </c>
      <c r="C415" s="121" t="inlineStr">
        <is>
          <t>Tênis de corrida iniciante rosa tam. 42</t>
        </is>
      </c>
      <c r="D415" s="109" t="n">
        <v>357.34</v>
      </c>
      <c r="E415" s="123" t="n">
        <v>50</v>
      </c>
      <c r="F415" s="109">
        <f>ROUND(D415*(1+(E415/100)),2)</f>
        <v/>
      </c>
      <c r="G415" t="n">
        <v>15</v>
      </c>
      <c r="H415" t="n">
        <v>5</v>
      </c>
    </row>
    <row r="416">
      <c r="A416" t="n">
        <v>415</v>
      </c>
      <c r="B416" t="inlineStr">
        <is>
          <t>Produto</t>
        </is>
      </c>
      <c r="C416" s="121" t="inlineStr">
        <is>
          <t>Chuteira de campo com ajuste cinza tam. GG</t>
        </is>
      </c>
      <c r="D416" s="109" t="n">
        <v>450.46</v>
      </c>
      <c r="E416" s="123" t="n">
        <v>50</v>
      </c>
      <c r="F416" s="109">
        <f>ROUND(D416*(1+(E416/100)),2)</f>
        <v/>
      </c>
      <c r="G416" t="n">
        <v>15</v>
      </c>
      <c r="H416" t="n">
        <v>5</v>
      </c>
    </row>
    <row r="417">
      <c r="A417" t="n">
        <v>416</v>
      </c>
      <c r="B417" t="inlineStr">
        <is>
          <t>Produto</t>
        </is>
      </c>
      <c r="C417" s="121" t="inlineStr">
        <is>
          <t>Kettlebell com ajuste cinza</t>
        </is>
      </c>
      <c r="D417" s="109" t="n">
        <v>180.85</v>
      </c>
      <c r="E417" s="123" t="n">
        <v>50</v>
      </c>
      <c r="F417" s="109">
        <f>ROUND(D417*(1+(E417/100)),2)</f>
        <v/>
      </c>
      <c r="G417" t="n">
        <v>15</v>
      </c>
      <c r="H417" t="n">
        <v>5</v>
      </c>
    </row>
    <row r="418">
      <c r="A418" t="n">
        <v>417</v>
      </c>
      <c r="B418" t="inlineStr">
        <is>
          <t>Produto</t>
        </is>
      </c>
      <c r="C418" s="121" t="inlineStr">
        <is>
          <t>Bola de futebol iniciante verde</t>
        </is>
      </c>
      <c r="D418" s="109" t="n">
        <v>56.26</v>
      </c>
      <c r="E418" s="123" t="n">
        <v>50</v>
      </c>
      <c r="F418" s="109">
        <f>ROUND(D418*(1+(E418/100)),2)</f>
        <v/>
      </c>
      <c r="G418" t="n">
        <v>15</v>
      </c>
      <c r="H418" t="n">
        <v>5</v>
      </c>
    </row>
    <row r="419">
      <c r="A419" t="n">
        <v>418</v>
      </c>
      <c r="B419" t="inlineStr">
        <is>
          <t>Produto</t>
        </is>
      </c>
      <c r="C419" s="121" t="inlineStr">
        <is>
          <t>Touca de natação alta performance branco tam. M</t>
        </is>
      </c>
      <c r="D419" s="109" t="n">
        <v>29.38</v>
      </c>
      <c r="E419" s="123" t="n">
        <v>50</v>
      </c>
      <c r="F419" s="109">
        <f>ROUND(D419*(1+(E419/100)),2)</f>
        <v/>
      </c>
      <c r="G419" t="n">
        <v>15</v>
      </c>
      <c r="H419" t="n">
        <v>5</v>
      </c>
    </row>
    <row r="420">
      <c r="A420" t="n">
        <v>419</v>
      </c>
      <c r="B420" t="inlineStr">
        <is>
          <t>Produto</t>
        </is>
      </c>
      <c r="C420" s="121" t="inlineStr">
        <is>
          <t>Tênis de corrida recreativo rosa tam. 36</t>
        </is>
      </c>
      <c r="D420" s="109" t="n">
        <v>567.21</v>
      </c>
      <c r="E420" s="123" t="n">
        <v>50</v>
      </c>
      <c r="F420" s="109">
        <f>ROUND(D420*(1+(E420/100)),2)</f>
        <v/>
      </c>
      <c r="G420" t="n">
        <v>15</v>
      </c>
      <c r="H420" t="n">
        <v>5</v>
      </c>
    </row>
    <row r="421">
      <c r="A421" t="n">
        <v>420</v>
      </c>
      <c r="B421" t="inlineStr">
        <is>
          <t>Produto</t>
        </is>
      </c>
      <c r="C421" s="121" t="inlineStr">
        <is>
          <t>Bola de futebol para uso diário verde</t>
        </is>
      </c>
      <c r="D421" s="109" t="n">
        <v>96.95</v>
      </c>
      <c r="E421" s="123" t="n">
        <v>50</v>
      </c>
      <c r="F421" s="109">
        <f>ROUND(D421*(1+(E421/100)),2)</f>
        <v/>
      </c>
      <c r="G421" t="n">
        <v>15</v>
      </c>
      <c r="H421" t="n">
        <v>5</v>
      </c>
    </row>
    <row r="422">
      <c r="A422" t="n">
        <v>421</v>
      </c>
      <c r="B422" t="inlineStr">
        <is>
          <t>Produto</t>
        </is>
      </c>
      <c r="C422" s="121" t="inlineStr">
        <is>
          <t>Bolsa de academia iniciante preto</t>
        </is>
      </c>
      <c r="D422" s="109" t="n">
        <v>69.17</v>
      </c>
      <c r="E422" s="123" t="n">
        <v>50</v>
      </c>
      <c r="F422" s="109">
        <f>ROUND(D422*(1+(E422/100)),2)</f>
        <v/>
      </c>
      <c r="G422" t="n">
        <v>15</v>
      </c>
      <c r="H422" t="n">
        <v>5</v>
      </c>
    </row>
    <row r="423">
      <c r="A423" t="n">
        <v>422</v>
      </c>
      <c r="B423" t="inlineStr">
        <is>
          <t>Produto</t>
        </is>
      </c>
      <c r="C423" s="121" t="inlineStr">
        <is>
          <t>Tapete de yoga juvenil azul</t>
        </is>
      </c>
      <c r="D423" s="109" t="n">
        <v>96.54000000000001</v>
      </c>
      <c r="E423" s="123" t="n">
        <v>50</v>
      </c>
      <c r="F423" s="109">
        <f>ROUND(D423*(1+(E423/100)),2)</f>
        <v/>
      </c>
      <c r="G423" t="n">
        <v>15</v>
      </c>
      <c r="H423" t="n">
        <v>5</v>
      </c>
    </row>
    <row r="424">
      <c r="A424" t="n">
        <v>423</v>
      </c>
      <c r="B424" t="inlineStr">
        <is>
          <t>Produto</t>
        </is>
      </c>
      <c r="C424" s="121" t="inlineStr">
        <is>
          <t>Camiseta esportiva resistente cinza tam. M</t>
        </is>
      </c>
      <c r="D424" s="109" t="n">
        <v>83.09</v>
      </c>
      <c r="E424" s="123" t="n">
        <v>50</v>
      </c>
      <c r="F424" s="109">
        <f>ROUND(D424*(1+(E424/100)),2)</f>
        <v/>
      </c>
      <c r="G424" t="n">
        <v>15</v>
      </c>
      <c r="H424" t="n">
        <v>5</v>
      </c>
    </row>
    <row r="425">
      <c r="A425" t="n">
        <v>424</v>
      </c>
      <c r="B425" t="inlineStr">
        <is>
          <t>Produto</t>
        </is>
      </c>
      <c r="C425" s="121" t="inlineStr">
        <is>
          <t>Garrafa squeeze versão 2026 verde</t>
        </is>
      </c>
      <c r="D425" s="109" t="n">
        <v>20.12</v>
      </c>
      <c r="E425" s="123" t="n">
        <v>50</v>
      </c>
      <c r="F425" s="109">
        <f>ROUND(D425*(1+(E425/100)),2)</f>
        <v/>
      </c>
      <c r="G425" t="n">
        <v>15</v>
      </c>
      <c r="H425" t="n">
        <v>5</v>
      </c>
    </row>
    <row r="426">
      <c r="A426" t="n">
        <v>425</v>
      </c>
      <c r="B426" t="inlineStr">
        <is>
          <t>Produto</t>
        </is>
      </c>
      <c r="C426" s="121" t="inlineStr">
        <is>
          <t>Chuteira de campo recreativo rosa tam. 44</t>
        </is>
      </c>
      <c r="D426" s="109" t="n">
        <v>246.8</v>
      </c>
      <c r="E426" s="123" t="n">
        <v>50</v>
      </c>
      <c r="F426" s="109">
        <f>ROUND(D426*(1+(E426/100)),2)</f>
        <v/>
      </c>
      <c r="G426" t="n">
        <v>15</v>
      </c>
      <c r="H426" t="n">
        <v>5</v>
      </c>
    </row>
    <row r="427">
      <c r="A427" t="n">
        <v>426</v>
      </c>
      <c r="B427" t="inlineStr">
        <is>
          <t>Produto</t>
        </is>
      </c>
      <c r="C427" s="121" t="inlineStr">
        <is>
          <t>Skate ergonômico verde</t>
        </is>
      </c>
      <c r="D427" s="109" t="n">
        <v>478.49</v>
      </c>
      <c r="E427" s="123" t="n">
        <v>50</v>
      </c>
      <c r="F427" s="109">
        <f>ROUND(D427*(1+(E427/100)),2)</f>
        <v/>
      </c>
      <c r="G427" t="n">
        <v>15</v>
      </c>
      <c r="H427" t="n">
        <v>5</v>
      </c>
    </row>
    <row r="428">
      <c r="A428" t="n">
        <v>427</v>
      </c>
      <c r="B428" t="inlineStr">
        <is>
          <t>Produto</t>
        </is>
      </c>
      <c r="C428" s="121" t="inlineStr">
        <is>
          <t>Nadadeira profissional rosa</t>
        </is>
      </c>
      <c r="D428" s="109" t="n">
        <v>106.34</v>
      </c>
      <c r="E428" s="123" t="n">
        <v>50</v>
      </c>
      <c r="F428" s="109">
        <f>ROUND(D428*(1+(E428/100)),2)</f>
        <v/>
      </c>
      <c r="G428" t="n">
        <v>15</v>
      </c>
      <c r="H428" t="n">
        <v>5</v>
      </c>
    </row>
    <row r="429">
      <c r="A429" t="n">
        <v>428</v>
      </c>
      <c r="B429" t="inlineStr">
        <is>
          <t>Produto</t>
        </is>
      </c>
      <c r="C429" s="121" t="inlineStr">
        <is>
          <t>Tapete de yoga unissex azul</t>
        </is>
      </c>
      <c r="D429" s="109" t="n">
        <v>33.58</v>
      </c>
      <c r="E429" s="123" t="n">
        <v>50</v>
      </c>
      <c r="F429" s="109">
        <f>ROUND(D429*(1+(E429/100)),2)</f>
        <v/>
      </c>
      <c r="G429" t="n">
        <v>15</v>
      </c>
      <c r="H429" t="n">
        <v>5</v>
      </c>
    </row>
    <row r="430">
      <c r="A430" t="n">
        <v>429</v>
      </c>
      <c r="B430" t="inlineStr">
        <is>
          <t>Produto</t>
        </is>
      </c>
      <c r="C430" s="121" t="inlineStr">
        <is>
          <t>Luva de goleiro reforçado vermelho tam. G</t>
        </is>
      </c>
      <c r="D430" s="109" t="n">
        <v>94.81</v>
      </c>
      <c r="E430" s="123" t="n">
        <v>50</v>
      </c>
      <c r="F430" s="109">
        <f>ROUND(D430*(1+(E430/100)),2)</f>
        <v/>
      </c>
      <c r="G430" t="n">
        <v>15</v>
      </c>
      <c r="H430" t="n">
        <v>5</v>
      </c>
    </row>
    <row r="431">
      <c r="A431" t="n">
        <v>430</v>
      </c>
      <c r="B431" t="inlineStr">
        <is>
          <t>Produto</t>
        </is>
      </c>
      <c r="C431" s="121" t="inlineStr">
        <is>
          <t>Monitor cardíaco treino verde</t>
        </is>
      </c>
      <c r="D431" s="109" t="n">
        <v>445.38</v>
      </c>
      <c r="E431" s="123" t="n">
        <v>50</v>
      </c>
      <c r="F431" s="109">
        <f>ROUND(D431*(1+(E431/100)),2)</f>
        <v/>
      </c>
      <c r="G431" t="n">
        <v>15</v>
      </c>
      <c r="H431" t="n">
        <v>5</v>
      </c>
    </row>
    <row r="432">
      <c r="A432" t="n">
        <v>431</v>
      </c>
      <c r="B432" t="inlineStr">
        <is>
          <t>Produto</t>
        </is>
      </c>
      <c r="C432" s="121" t="inlineStr">
        <is>
          <t>Óculos esportivos resistente rosa</t>
        </is>
      </c>
      <c r="D432" s="109" t="n">
        <v>344.18</v>
      </c>
      <c r="E432" s="123" t="n">
        <v>50</v>
      </c>
      <c r="F432" s="109">
        <f>ROUND(D432*(1+(E432/100)),2)</f>
        <v/>
      </c>
      <c r="G432" t="n">
        <v>15</v>
      </c>
      <c r="H432" t="n">
        <v>5</v>
      </c>
    </row>
    <row r="433">
      <c r="A433" t="n">
        <v>432</v>
      </c>
      <c r="B433" t="inlineStr">
        <is>
          <t>Produto</t>
        </is>
      </c>
      <c r="C433" s="121" t="inlineStr">
        <is>
          <t>Capacete de ciclismo resistente laranja</t>
        </is>
      </c>
      <c r="D433" s="109" t="n">
        <v>190.46</v>
      </c>
      <c r="E433" s="123" t="n">
        <v>50</v>
      </c>
      <c r="F433" s="109">
        <f>ROUND(D433*(1+(E433/100)),2)</f>
        <v/>
      </c>
      <c r="G433" t="n">
        <v>15</v>
      </c>
      <c r="H433" t="n">
        <v>5</v>
      </c>
    </row>
    <row r="434">
      <c r="A434" t="n">
        <v>433</v>
      </c>
      <c r="B434" t="inlineStr">
        <is>
          <t>Produto</t>
        </is>
      </c>
      <c r="C434" s="121" t="inlineStr">
        <is>
          <t>Raquete de tênis com ajuste cinza tam. P</t>
        </is>
      </c>
      <c r="D434" s="109" t="n">
        <v>246.37</v>
      </c>
      <c r="E434" s="123" t="n">
        <v>50</v>
      </c>
      <c r="F434" s="109">
        <f>ROUND(D434*(1+(E434/100)),2)</f>
        <v/>
      </c>
      <c r="G434" t="n">
        <v>15</v>
      </c>
      <c r="H434" t="n">
        <v>5</v>
      </c>
    </row>
    <row r="435">
      <c r="A435" t="n">
        <v>434</v>
      </c>
      <c r="B435" t="inlineStr">
        <is>
          <t>Produto</t>
        </is>
      </c>
      <c r="C435" s="121" t="inlineStr">
        <is>
          <t>Bola de futebol unissex azul</t>
        </is>
      </c>
      <c r="D435" s="109" t="n">
        <v>36.73</v>
      </c>
      <c r="E435" s="123" t="n">
        <v>50</v>
      </c>
      <c r="F435" s="109">
        <f>ROUND(D435*(1+(E435/100)),2)</f>
        <v/>
      </c>
      <c r="G435" t="n">
        <v>15</v>
      </c>
      <c r="H435" t="n">
        <v>5</v>
      </c>
    </row>
    <row r="436">
      <c r="A436" t="n">
        <v>435</v>
      </c>
      <c r="B436" t="inlineStr">
        <is>
          <t>Produto</t>
        </is>
      </c>
      <c r="C436" s="121" t="inlineStr">
        <is>
          <t>Colchonete de exercício ventilado preto</t>
        </is>
      </c>
      <c r="D436" s="109" t="n">
        <v>113.66</v>
      </c>
      <c r="E436" s="123" t="n">
        <v>50</v>
      </c>
      <c r="F436" s="109">
        <f>ROUND(D436*(1+(E436/100)),2)</f>
        <v/>
      </c>
      <c r="G436" t="n">
        <v>15</v>
      </c>
      <c r="H436" t="n">
        <v>5</v>
      </c>
    </row>
    <row r="437">
      <c r="A437" t="n">
        <v>436</v>
      </c>
      <c r="B437" t="inlineStr">
        <is>
          <t>Produto</t>
        </is>
      </c>
      <c r="C437" s="121" t="inlineStr">
        <is>
          <t>Raquete de beach tennis juvenil cinza</t>
        </is>
      </c>
      <c r="D437" s="109" t="n">
        <v>364.96</v>
      </c>
      <c r="E437" s="123" t="n">
        <v>50</v>
      </c>
      <c r="F437" s="109">
        <f>ROUND(D437*(1+(E437/100)),2)</f>
        <v/>
      </c>
      <c r="G437" t="n">
        <v>15</v>
      </c>
      <c r="H437" t="n">
        <v>5</v>
      </c>
    </row>
    <row r="438">
      <c r="A438" t="n">
        <v>437</v>
      </c>
      <c r="B438" t="inlineStr">
        <is>
          <t>Produto</t>
        </is>
      </c>
      <c r="C438" s="121" t="inlineStr">
        <is>
          <t>Banco de musculação alta performance branco</t>
        </is>
      </c>
      <c r="D438" s="109" t="n">
        <v>1490.51</v>
      </c>
      <c r="E438" s="123" t="n">
        <v>50</v>
      </c>
      <c r="F438" s="109">
        <f>ROUND(D438*(1+(E438/100)),2)</f>
        <v/>
      </c>
      <c r="G438" t="n">
        <v>15</v>
      </c>
      <c r="H438" t="n">
        <v>5</v>
      </c>
    </row>
    <row r="439">
      <c r="A439" t="n">
        <v>438</v>
      </c>
      <c r="B439" t="inlineStr">
        <is>
          <t>Produto</t>
        </is>
      </c>
      <c r="C439" s="121" t="inlineStr">
        <is>
          <t>Bloco para yoga para uso diário laranja</t>
        </is>
      </c>
      <c r="D439" s="109" t="n">
        <v>12.07</v>
      </c>
      <c r="E439" s="123" t="n">
        <v>50</v>
      </c>
      <c r="F439" s="109">
        <f>ROUND(D439*(1+(E439/100)),2)</f>
        <v/>
      </c>
      <c r="G439" t="n">
        <v>15</v>
      </c>
      <c r="H439" t="n">
        <v>5</v>
      </c>
    </row>
    <row r="440">
      <c r="A440" t="n">
        <v>439</v>
      </c>
      <c r="B440" t="inlineStr">
        <is>
          <t>Produto</t>
        </is>
      </c>
      <c r="C440" s="121" t="inlineStr">
        <is>
          <t>Prancha de natação recreativo branco</t>
        </is>
      </c>
      <c r="D440" s="109" t="n">
        <v>28.61</v>
      </c>
      <c r="E440" s="123" t="n">
        <v>50</v>
      </c>
      <c r="F440" s="109">
        <f>ROUND(D440*(1+(E440/100)),2)</f>
        <v/>
      </c>
      <c r="G440" t="n">
        <v>15</v>
      </c>
      <c r="H440" t="n">
        <v>5</v>
      </c>
    </row>
    <row r="441">
      <c r="A441" t="n">
        <v>440</v>
      </c>
      <c r="B441" t="inlineStr">
        <is>
          <t>Produto</t>
        </is>
      </c>
      <c r="C441" s="121" t="inlineStr">
        <is>
          <t>Caneleira de futebol resistente vermelho</t>
        </is>
      </c>
      <c r="D441" s="109" t="n">
        <v>68.70999999999999</v>
      </c>
      <c r="E441" s="123" t="n">
        <v>50</v>
      </c>
      <c r="F441" s="109">
        <f>ROUND(D441*(1+(E441/100)),2)</f>
        <v/>
      </c>
      <c r="G441" t="n">
        <v>15</v>
      </c>
      <c r="H441" t="n">
        <v>5</v>
      </c>
    </row>
    <row r="442">
      <c r="A442" t="n">
        <v>441</v>
      </c>
      <c r="B442" t="inlineStr">
        <is>
          <t>Produto</t>
        </is>
      </c>
      <c r="C442" s="121" t="inlineStr">
        <is>
          <t>Jaqueta esportiva adulto cinza tam. 40</t>
        </is>
      </c>
      <c r="D442" s="109" t="n">
        <v>219.62</v>
      </c>
      <c r="E442" s="123" t="n">
        <v>50</v>
      </c>
      <c r="F442" s="109">
        <f>ROUND(D442*(1+(E442/100)),2)</f>
        <v/>
      </c>
      <c r="G442" t="n">
        <v>15</v>
      </c>
      <c r="H442" t="n">
        <v>5</v>
      </c>
    </row>
    <row r="443">
      <c r="A443" t="n">
        <v>442</v>
      </c>
      <c r="B443" t="inlineStr">
        <is>
          <t>Produto</t>
        </is>
      </c>
      <c r="C443" s="121" t="inlineStr">
        <is>
          <t>Caneleira de futebol ventilado laranja</t>
        </is>
      </c>
      <c r="D443" s="109" t="n">
        <v>76.16</v>
      </c>
      <c r="E443" s="123" t="n">
        <v>50</v>
      </c>
      <c r="F443" s="109">
        <f>ROUND(D443*(1+(E443/100)),2)</f>
        <v/>
      </c>
      <c r="G443" t="n">
        <v>15</v>
      </c>
      <c r="H443" t="n">
        <v>5</v>
      </c>
    </row>
    <row r="444">
      <c r="A444" t="n">
        <v>443</v>
      </c>
      <c r="B444" t="inlineStr">
        <is>
          <t>Produto</t>
        </is>
      </c>
      <c r="C444" s="121" t="inlineStr">
        <is>
          <t>Meias esportivas modelo avançado vermelho tam. 34</t>
        </is>
      </c>
      <c r="D444" s="109" t="n">
        <v>12.73</v>
      </c>
      <c r="E444" s="123" t="n">
        <v>50</v>
      </c>
      <c r="F444" s="109">
        <f>ROUND(D444*(1+(E444/100)),2)</f>
        <v/>
      </c>
      <c r="G444" t="n">
        <v>15</v>
      </c>
      <c r="H444" t="n">
        <v>5</v>
      </c>
    </row>
    <row r="445">
      <c r="A445" t="n">
        <v>444</v>
      </c>
      <c r="B445" t="inlineStr">
        <is>
          <t>Produto</t>
        </is>
      </c>
      <c r="C445" s="121" t="inlineStr">
        <is>
          <t>Bastão de caminhada juvenil laranja</t>
        </is>
      </c>
      <c r="D445" s="109" t="n">
        <v>122.18</v>
      </c>
      <c r="E445" s="123" t="n">
        <v>50</v>
      </c>
      <c r="F445" s="109">
        <f>ROUND(D445*(1+(E445/100)),2)</f>
        <v/>
      </c>
      <c r="G445" t="n">
        <v>15</v>
      </c>
      <c r="H445" t="n">
        <v>5</v>
      </c>
    </row>
    <row r="446">
      <c r="A446" t="n">
        <v>445</v>
      </c>
      <c r="B446" t="inlineStr">
        <is>
          <t>Produto</t>
        </is>
      </c>
      <c r="C446" s="121" t="inlineStr">
        <is>
          <t>Bola de basquete reforçado azul</t>
        </is>
      </c>
      <c r="D446" s="109" t="n">
        <v>47.44</v>
      </c>
      <c r="E446" s="123" t="n">
        <v>50</v>
      </c>
      <c r="F446" s="109">
        <f>ROUND(D446*(1+(E446/100)),2)</f>
        <v/>
      </c>
      <c r="G446" t="n">
        <v>15</v>
      </c>
      <c r="H446" t="n">
        <v>5</v>
      </c>
    </row>
    <row r="447">
      <c r="A447" t="n">
        <v>446</v>
      </c>
      <c r="B447" t="inlineStr">
        <is>
          <t>Produto</t>
        </is>
      </c>
      <c r="C447" s="121" t="inlineStr">
        <is>
          <t>Bola de vôlei versão 2026 preto</t>
        </is>
      </c>
      <c r="D447" s="109" t="n">
        <v>44.5</v>
      </c>
      <c r="E447" s="123" t="n">
        <v>50</v>
      </c>
      <c r="F447" s="109">
        <f>ROUND(D447*(1+(E447/100)),2)</f>
        <v/>
      </c>
      <c r="G447" t="n">
        <v>15</v>
      </c>
      <c r="H447" t="n">
        <v>5</v>
      </c>
    </row>
    <row r="448">
      <c r="A448" t="n">
        <v>447</v>
      </c>
      <c r="B448" t="inlineStr">
        <is>
          <t>Produto</t>
        </is>
      </c>
      <c r="C448" s="121" t="inlineStr">
        <is>
          <t>Bola de vôlei com ajuste verde</t>
        </is>
      </c>
      <c r="D448" s="109" t="n">
        <v>69.28</v>
      </c>
      <c r="E448" s="123" t="n">
        <v>50</v>
      </c>
      <c r="F448" s="109">
        <f>ROUND(D448*(1+(E448/100)),2)</f>
        <v/>
      </c>
      <c r="G448" t="n">
        <v>15</v>
      </c>
      <c r="H448" t="n">
        <v>5</v>
      </c>
    </row>
    <row r="449">
      <c r="A449" t="n">
        <v>448</v>
      </c>
      <c r="B449" t="inlineStr">
        <is>
          <t>Produto</t>
        </is>
      </c>
      <c r="C449" s="121" t="inlineStr">
        <is>
          <t>Step de ginástica recreativo cinza</t>
        </is>
      </c>
      <c r="D449" s="109" t="n">
        <v>116.14</v>
      </c>
      <c r="E449" s="123" t="n">
        <v>50</v>
      </c>
      <c r="F449" s="109">
        <f>ROUND(D449*(1+(E449/100)),2)</f>
        <v/>
      </c>
      <c r="G449" t="n">
        <v>15</v>
      </c>
      <c r="H449" t="n">
        <v>5</v>
      </c>
    </row>
    <row r="450">
      <c r="A450" t="n">
        <v>449</v>
      </c>
      <c r="B450" t="inlineStr">
        <is>
          <t>Produto</t>
        </is>
      </c>
      <c r="C450" s="121" t="inlineStr">
        <is>
          <t>Bastão de caminhada modelo básico branco</t>
        </is>
      </c>
      <c r="D450" s="109" t="n">
        <v>65.48</v>
      </c>
      <c r="E450" s="123" t="n">
        <v>50</v>
      </c>
      <c r="F450" s="109">
        <f>ROUND(D450*(1+(E450/100)),2)</f>
        <v/>
      </c>
      <c r="G450" t="n">
        <v>15</v>
      </c>
      <c r="H450" t="n">
        <v>5</v>
      </c>
    </row>
    <row r="451">
      <c r="A451" t="n">
        <v>450</v>
      </c>
      <c r="B451" t="inlineStr">
        <is>
          <t>Produto</t>
        </is>
      </c>
      <c r="C451" s="121" t="inlineStr">
        <is>
          <t>Chuteira society compacto laranja tam. 34</t>
        </is>
      </c>
      <c r="D451" s="109" t="n">
        <v>158.99</v>
      </c>
      <c r="E451" s="123" t="n">
        <v>50</v>
      </c>
      <c r="F451" s="109">
        <f>ROUND(D451*(1+(E451/100)),2)</f>
        <v/>
      </c>
      <c r="G451" t="n">
        <v>15</v>
      </c>
      <c r="H451" t="n">
        <v>5</v>
      </c>
    </row>
    <row r="452">
      <c r="A452" t="n">
        <v>451</v>
      </c>
      <c r="B452" t="inlineStr">
        <is>
          <t>Produto</t>
        </is>
      </c>
      <c r="C452" s="121" t="inlineStr">
        <is>
          <t>Luva de goleiro leve laranja tam. 42</t>
        </is>
      </c>
      <c r="D452" s="109" t="n">
        <v>130.99</v>
      </c>
      <c r="E452" s="123" t="n">
        <v>50</v>
      </c>
      <c r="F452" s="109">
        <f>ROUND(D452*(1+(E452/100)),2)</f>
        <v/>
      </c>
      <c r="G452" t="n">
        <v>15</v>
      </c>
      <c r="H452" t="n">
        <v>5</v>
      </c>
    </row>
    <row r="453">
      <c r="A453" t="n">
        <v>452</v>
      </c>
      <c r="B453" t="inlineStr">
        <is>
          <t>Produto</t>
        </is>
      </c>
      <c r="C453" s="121" t="inlineStr">
        <is>
          <t>Colchonete de exercício resistente branco</t>
        </is>
      </c>
      <c r="D453" s="109" t="n">
        <v>90.79000000000001</v>
      </c>
      <c r="E453" s="123" t="n">
        <v>50</v>
      </c>
      <c r="F453" s="109">
        <f>ROUND(D453*(1+(E453/100)),2)</f>
        <v/>
      </c>
      <c r="G453" t="n">
        <v>15</v>
      </c>
      <c r="H453" t="n">
        <v>5</v>
      </c>
    </row>
    <row r="454">
      <c r="A454" t="n">
        <v>453</v>
      </c>
      <c r="B454" t="inlineStr">
        <is>
          <t>Produto</t>
        </is>
      </c>
      <c r="C454" s="121" t="inlineStr">
        <is>
          <t>Corda de pular iniciante laranja</t>
        </is>
      </c>
      <c r="D454" s="109" t="n">
        <v>23.83</v>
      </c>
      <c r="E454" s="123" t="n">
        <v>50</v>
      </c>
      <c r="F454" s="109">
        <f>ROUND(D454*(1+(E454/100)),2)</f>
        <v/>
      </c>
      <c r="G454" t="n">
        <v>15</v>
      </c>
      <c r="H454" t="n">
        <v>5</v>
      </c>
    </row>
    <row r="455">
      <c r="A455" t="n">
        <v>454</v>
      </c>
      <c r="B455" t="inlineStr">
        <is>
          <t>Produto</t>
        </is>
      </c>
      <c r="C455" s="121" t="inlineStr">
        <is>
          <t>Caneleira de futebol compacto verde</t>
        </is>
      </c>
      <c r="D455" s="109" t="n">
        <v>35.4</v>
      </c>
      <c r="E455" s="123" t="n">
        <v>50</v>
      </c>
      <c r="F455" s="109">
        <f>ROUND(D455*(1+(E455/100)),2)</f>
        <v/>
      </c>
      <c r="G455" t="n">
        <v>15</v>
      </c>
      <c r="H455" t="n">
        <v>5</v>
      </c>
    </row>
    <row r="456">
      <c r="A456" t="n">
        <v>455</v>
      </c>
      <c r="B456" t="inlineStr">
        <is>
          <t>Produto</t>
        </is>
      </c>
      <c r="C456" s="121" t="inlineStr">
        <is>
          <t>Patins com ajuste preto</t>
        </is>
      </c>
      <c r="D456" s="109" t="n">
        <v>491.11</v>
      </c>
      <c r="E456" s="123" t="n">
        <v>50</v>
      </c>
      <c r="F456" s="109">
        <f>ROUND(D456*(1+(E456/100)),2)</f>
        <v/>
      </c>
      <c r="G456" t="n">
        <v>15</v>
      </c>
      <c r="H456" t="n">
        <v>5</v>
      </c>
    </row>
    <row r="457">
      <c r="A457" t="n">
        <v>456</v>
      </c>
      <c r="B457" t="inlineStr">
        <is>
          <t>Produto</t>
        </is>
      </c>
      <c r="C457" s="121" t="inlineStr">
        <is>
          <t>Corda de pular resistente vermelho</t>
        </is>
      </c>
      <c r="D457" s="109" t="n">
        <v>40.4</v>
      </c>
      <c r="E457" s="123" t="n">
        <v>50</v>
      </c>
      <c r="F457" s="109">
        <f>ROUND(D457*(1+(E457/100)),2)</f>
        <v/>
      </c>
      <c r="G457" t="n">
        <v>15</v>
      </c>
      <c r="H457" t="n">
        <v>5</v>
      </c>
    </row>
    <row r="458">
      <c r="A458" t="n">
        <v>457</v>
      </c>
      <c r="B458" t="inlineStr">
        <is>
          <t>Produto</t>
        </is>
      </c>
      <c r="C458" s="121" t="inlineStr">
        <is>
          <t>Mochila esportiva modelo básico azul</t>
        </is>
      </c>
      <c r="D458" s="109" t="n">
        <v>224.08</v>
      </c>
      <c r="E458" s="123" t="n">
        <v>50</v>
      </c>
      <c r="F458" s="109">
        <f>ROUND(D458*(1+(E458/100)),2)</f>
        <v/>
      </c>
      <c r="G458" t="n">
        <v>15</v>
      </c>
      <c r="H458" t="n">
        <v>5</v>
      </c>
    </row>
    <row r="459">
      <c r="A459" t="n">
        <v>458</v>
      </c>
      <c r="B459" t="inlineStr">
        <is>
          <t>Produto</t>
        </is>
      </c>
      <c r="C459" s="121" t="inlineStr">
        <is>
          <t>Tapete de yoga ventilado verde</t>
        </is>
      </c>
      <c r="D459" s="109" t="n">
        <v>31.98</v>
      </c>
      <c r="E459" s="123" t="n">
        <v>50</v>
      </c>
      <c r="F459" s="109">
        <f>ROUND(D459*(1+(E459/100)),2)</f>
        <v/>
      </c>
      <c r="G459" t="n">
        <v>15</v>
      </c>
      <c r="H459" t="n">
        <v>5</v>
      </c>
    </row>
    <row r="460">
      <c r="A460" t="n">
        <v>459</v>
      </c>
      <c r="B460" t="inlineStr">
        <is>
          <t>Produto</t>
        </is>
      </c>
      <c r="C460" s="121" t="inlineStr">
        <is>
          <t>Bloco para yoga versão 2026 preto</t>
        </is>
      </c>
      <c r="D460" s="109" t="n">
        <v>43.01</v>
      </c>
      <c r="E460" s="123" t="n">
        <v>50</v>
      </c>
      <c r="F460" s="109">
        <f>ROUND(D460*(1+(E460/100)),2)</f>
        <v/>
      </c>
      <c r="G460" t="n">
        <v>15</v>
      </c>
      <c r="H460" t="n">
        <v>5</v>
      </c>
    </row>
    <row r="461">
      <c r="A461" t="n">
        <v>460</v>
      </c>
      <c r="B461" t="inlineStr">
        <is>
          <t>Produto</t>
        </is>
      </c>
      <c r="C461" s="121" t="inlineStr">
        <is>
          <t>Short esportivo ventilado verde tam. 40</t>
        </is>
      </c>
      <c r="D461" s="109" t="n">
        <v>36.74</v>
      </c>
      <c r="E461" s="123" t="n">
        <v>50</v>
      </c>
      <c r="F461" s="109">
        <f>ROUND(D461*(1+(E461/100)),2)</f>
        <v/>
      </c>
      <c r="G461" t="n">
        <v>15</v>
      </c>
      <c r="H461" t="n">
        <v>5</v>
      </c>
    </row>
    <row r="462">
      <c r="A462" t="n">
        <v>461</v>
      </c>
      <c r="B462" t="inlineStr">
        <is>
          <t>Produto</t>
        </is>
      </c>
      <c r="C462" s="121" t="inlineStr">
        <is>
          <t>Kettlebell adulto verde</t>
        </is>
      </c>
      <c r="D462" s="109" t="n">
        <v>226.75</v>
      </c>
      <c r="E462" s="123" t="n">
        <v>50</v>
      </c>
      <c r="F462" s="109">
        <f>ROUND(D462*(1+(E462/100)),2)</f>
        <v/>
      </c>
      <c r="G462" t="n">
        <v>15</v>
      </c>
      <c r="H462" t="n">
        <v>5</v>
      </c>
    </row>
    <row r="463">
      <c r="A463" t="n">
        <v>462</v>
      </c>
      <c r="B463" t="inlineStr">
        <is>
          <t>Produto</t>
        </is>
      </c>
      <c r="C463" s="121" t="inlineStr">
        <is>
          <t>Bola de pilates ergonômico verde</t>
        </is>
      </c>
      <c r="D463" s="109" t="n">
        <v>90.72</v>
      </c>
      <c r="E463" s="123" t="n">
        <v>50</v>
      </c>
      <c r="F463" s="109">
        <f>ROUND(D463*(1+(E463/100)),2)</f>
        <v/>
      </c>
      <c r="G463" t="n">
        <v>15</v>
      </c>
      <c r="H463" t="n">
        <v>5</v>
      </c>
    </row>
    <row r="464">
      <c r="A464" t="n">
        <v>463</v>
      </c>
      <c r="B464" t="inlineStr">
        <is>
          <t>Produto</t>
        </is>
      </c>
      <c r="C464" s="121" t="inlineStr">
        <is>
          <t>Patins para uso diário verde</t>
        </is>
      </c>
      <c r="D464" s="109" t="n">
        <v>484.31</v>
      </c>
      <c r="E464" s="123" t="n">
        <v>50</v>
      </c>
      <c r="F464" s="109">
        <f>ROUND(D464*(1+(E464/100)),2)</f>
        <v/>
      </c>
      <c r="G464" t="n">
        <v>15</v>
      </c>
      <c r="H464" t="n">
        <v>5</v>
      </c>
    </row>
    <row r="465">
      <c r="A465" t="n">
        <v>464</v>
      </c>
      <c r="B465" t="inlineStr">
        <is>
          <t>Produto</t>
        </is>
      </c>
      <c r="C465" s="121" t="inlineStr">
        <is>
          <t>Banco de musculação para uso diário rosa</t>
        </is>
      </c>
      <c r="D465" s="109" t="n">
        <v>884.36</v>
      </c>
      <c r="E465" s="123" t="n">
        <v>50</v>
      </c>
      <c r="F465" s="109">
        <f>ROUND(D465*(1+(E465/100)),2)</f>
        <v/>
      </c>
      <c r="G465" t="n">
        <v>15</v>
      </c>
      <c r="H465" t="n">
        <v>5</v>
      </c>
    </row>
    <row r="466">
      <c r="A466" t="n">
        <v>465</v>
      </c>
      <c r="B466" t="inlineStr">
        <is>
          <t>Produto</t>
        </is>
      </c>
      <c r="C466" s="121" t="inlineStr">
        <is>
          <t>Colchonete de exercício premium branco</t>
        </is>
      </c>
      <c r="D466" s="109" t="n">
        <v>73.17</v>
      </c>
      <c r="E466" s="123" t="n">
        <v>50</v>
      </c>
      <c r="F466" s="109">
        <f>ROUND(D466*(1+(E466/100)),2)</f>
        <v/>
      </c>
      <c r="G466" t="n">
        <v>15</v>
      </c>
      <c r="H466" t="n">
        <v>5</v>
      </c>
    </row>
    <row r="467">
      <c r="A467" t="n">
        <v>466</v>
      </c>
      <c r="B467" t="inlineStr">
        <is>
          <t>Produto</t>
        </is>
      </c>
      <c r="C467" s="121" t="inlineStr">
        <is>
          <t>Óculos esportivos treino rosa</t>
        </is>
      </c>
      <c r="D467" s="109" t="n">
        <v>325.55</v>
      </c>
      <c r="E467" s="123" t="n">
        <v>50</v>
      </c>
      <c r="F467" s="109">
        <f>ROUND(D467*(1+(E467/100)),2)</f>
        <v/>
      </c>
      <c r="G467" t="n">
        <v>15</v>
      </c>
      <c r="H467" t="n">
        <v>5</v>
      </c>
    </row>
    <row r="468">
      <c r="A468" t="n">
        <v>467</v>
      </c>
      <c r="B468" t="inlineStr">
        <is>
          <t>Produto</t>
        </is>
      </c>
      <c r="C468" s="121" t="inlineStr">
        <is>
          <t>Halter modelo avançado branco</t>
        </is>
      </c>
      <c r="D468" s="109" t="n">
        <v>69.06</v>
      </c>
      <c r="E468" s="123" t="n">
        <v>50</v>
      </c>
      <c r="F468" s="109">
        <f>ROUND(D468*(1+(E468/100)),2)</f>
        <v/>
      </c>
      <c r="G468" t="n">
        <v>15</v>
      </c>
      <c r="H468" t="n">
        <v>5</v>
      </c>
    </row>
    <row r="469">
      <c r="A469" t="n">
        <v>468</v>
      </c>
      <c r="B469" t="inlineStr">
        <is>
          <t>Produto</t>
        </is>
      </c>
      <c r="C469" s="121" t="inlineStr">
        <is>
          <t>Protetor bucal recreativo preto</t>
        </is>
      </c>
      <c r="D469" s="109" t="n">
        <v>22.24</v>
      </c>
      <c r="E469" s="123" t="n">
        <v>50</v>
      </c>
      <c r="F469" s="109">
        <f>ROUND(D469*(1+(E469/100)),2)</f>
        <v/>
      </c>
      <c r="G469" t="n">
        <v>15</v>
      </c>
      <c r="H469" t="n">
        <v>5</v>
      </c>
    </row>
    <row r="470">
      <c r="A470" t="n">
        <v>469</v>
      </c>
      <c r="B470" t="inlineStr">
        <is>
          <t>Produto</t>
        </is>
      </c>
      <c r="C470" s="121" t="inlineStr">
        <is>
          <t>Luva de boxe alta performance cinza tam. G</t>
        </is>
      </c>
      <c r="D470" s="109" t="n">
        <v>92.56</v>
      </c>
      <c r="E470" s="123" t="n">
        <v>50</v>
      </c>
      <c r="F470" s="109">
        <f>ROUND(D470*(1+(E470/100)),2)</f>
        <v/>
      </c>
      <c r="G470" t="n">
        <v>15</v>
      </c>
      <c r="H470" t="n">
        <v>5</v>
      </c>
    </row>
    <row r="471">
      <c r="A471" t="n">
        <v>470</v>
      </c>
      <c r="B471" t="inlineStr">
        <is>
          <t>Produto</t>
        </is>
      </c>
      <c r="C471" s="121" t="inlineStr">
        <is>
          <t>Jaqueta esportiva unissex verde tam. 40</t>
        </is>
      </c>
      <c r="D471" s="109" t="n">
        <v>189.4</v>
      </c>
      <c r="E471" s="123" t="n">
        <v>50</v>
      </c>
      <c r="F471" s="109">
        <f>ROUND(D471*(1+(E471/100)),2)</f>
        <v/>
      </c>
      <c r="G471" t="n">
        <v>15</v>
      </c>
      <c r="H471" t="n">
        <v>5</v>
      </c>
    </row>
    <row r="472">
      <c r="A472" t="n">
        <v>471</v>
      </c>
      <c r="B472" t="inlineStr">
        <is>
          <t>Produto</t>
        </is>
      </c>
      <c r="C472" s="121" t="inlineStr">
        <is>
          <t>Nadadeira premium rosa</t>
        </is>
      </c>
      <c r="D472" s="109" t="n">
        <v>174.71</v>
      </c>
      <c r="E472" s="123" t="n">
        <v>50</v>
      </c>
      <c r="F472" s="109">
        <f>ROUND(D472*(1+(E472/100)),2)</f>
        <v/>
      </c>
      <c r="G472" t="n">
        <v>15</v>
      </c>
      <c r="H472" t="n">
        <v>5</v>
      </c>
    </row>
    <row r="473">
      <c r="A473" t="n">
        <v>472</v>
      </c>
      <c r="B473" t="inlineStr">
        <is>
          <t>Produto</t>
        </is>
      </c>
      <c r="C473" s="121" t="inlineStr">
        <is>
          <t>Óculos de natação com ajuste vermelho</t>
        </is>
      </c>
      <c r="D473" s="109" t="n">
        <v>113.06</v>
      </c>
      <c r="E473" s="123" t="n">
        <v>50</v>
      </c>
      <c r="F473" s="109">
        <f>ROUND(D473*(1+(E473/100)),2)</f>
        <v/>
      </c>
      <c r="G473" t="n">
        <v>15</v>
      </c>
      <c r="H473" t="n">
        <v>5</v>
      </c>
    </row>
    <row r="474">
      <c r="A474" t="n">
        <v>473</v>
      </c>
      <c r="B474" t="inlineStr">
        <is>
          <t>Produto</t>
        </is>
      </c>
      <c r="C474" s="121" t="inlineStr">
        <is>
          <t>Colchonete de exercício recreativo rosa</t>
        </is>
      </c>
      <c r="D474" s="109" t="n">
        <v>41.61</v>
      </c>
      <c r="E474" s="123" t="n">
        <v>50</v>
      </c>
      <c r="F474" s="109">
        <f>ROUND(D474*(1+(E474/100)),2)</f>
        <v/>
      </c>
      <c r="G474" t="n">
        <v>15</v>
      </c>
      <c r="H474" t="n">
        <v>5</v>
      </c>
    </row>
    <row r="475">
      <c r="A475" t="n">
        <v>474</v>
      </c>
      <c r="B475" t="inlineStr">
        <is>
          <t>Produto</t>
        </is>
      </c>
      <c r="C475" s="121" t="inlineStr">
        <is>
          <t>Caneleira de futebol resistente preto</t>
        </is>
      </c>
      <c r="D475" s="109" t="n">
        <v>77.39</v>
      </c>
      <c r="E475" s="123" t="n">
        <v>50</v>
      </c>
      <c r="F475" s="109">
        <f>ROUND(D475*(1+(E475/100)),2)</f>
        <v/>
      </c>
      <c r="G475" t="n">
        <v>15</v>
      </c>
      <c r="H475" t="n">
        <v>5</v>
      </c>
    </row>
    <row r="476">
      <c r="A476" t="n">
        <v>475</v>
      </c>
      <c r="B476" t="inlineStr">
        <is>
          <t>Produto</t>
        </is>
      </c>
      <c r="C476" s="121" t="inlineStr">
        <is>
          <t>Raquete de beach tennis adulto laranja</t>
        </is>
      </c>
      <c r="D476" s="109" t="n">
        <v>174.46</v>
      </c>
      <c r="E476" s="123" t="n">
        <v>50</v>
      </c>
      <c r="F476" s="109">
        <f>ROUND(D476*(1+(E476/100)),2)</f>
        <v/>
      </c>
      <c r="G476" t="n">
        <v>15</v>
      </c>
      <c r="H476" t="n">
        <v>5</v>
      </c>
    </row>
    <row r="477">
      <c r="A477" t="n">
        <v>476</v>
      </c>
      <c r="B477" t="inlineStr">
        <is>
          <t>Produto</t>
        </is>
      </c>
      <c r="C477" s="121" t="inlineStr">
        <is>
          <t>Touca de natação profissional vermelho tam. P</t>
        </is>
      </c>
      <c r="D477" s="109" t="n">
        <v>20.09</v>
      </c>
      <c r="E477" s="123" t="n">
        <v>50</v>
      </c>
      <c r="F477" s="109">
        <f>ROUND(D477*(1+(E477/100)),2)</f>
        <v/>
      </c>
      <c r="G477" t="n">
        <v>15</v>
      </c>
      <c r="H477" t="n">
        <v>5</v>
      </c>
    </row>
    <row r="478">
      <c r="A478" t="n">
        <v>477</v>
      </c>
      <c r="B478" t="inlineStr">
        <is>
          <t>Produto</t>
        </is>
      </c>
      <c r="C478" s="121" t="inlineStr">
        <is>
          <t>Capacete de ciclismo juvenil rosa</t>
        </is>
      </c>
      <c r="D478" s="109" t="n">
        <v>253.64</v>
      </c>
      <c r="E478" s="123" t="n">
        <v>50</v>
      </c>
      <c r="F478" s="109">
        <f>ROUND(D478*(1+(E478/100)),2)</f>
        <v/>
      </c>
      <c r="G478" t="n">
        <v>15</v>
      </c>
      <c r="H478" t="n">
        <v>5</v>
      </c>
    </row>
    <row r="479">
      <c r="A479" t="n">
        <v>478</v>
      </c>
      <c r="B479" t="inlineStr">
        <is>
          <t>Produto</t>
        </is>
      </c>
      <c r="C479" s="121" t="inlineStr">
        <is>
          <t>Bola de basquete ventilado laranja</t>
        </is>
      </c>
      <c r="D479" s="109" t="n">
        <v>37.29</v>
      </c>
      <c r="E479" s="123" t="n">
        <v>50</v>
      </c>
      <c r="F479" s="109">
        <f>ROUND(D479*(1+(E479/100)),2)</f>
        <v/>
      </c>
      <c r="G479" t="n">
        <v>15</v>
      </c>
      <c r="H479" t="n">
        <v>5</v>
      </c>
    </row>
    <row r="480">
      <c r="A480" t="n">
        <v>479</v>
      </c>
      <c r="B480" t="inlineStr">
        <is>
          <t>Produto</t>
        </is>
      </c>
      <c r="C480" s="121" t="inlineStr">
        <is>
          <t>Monitor cardíaco ventilado cinza</t>
        </is>
      </c>
      <c r="D480" s="109" t="n">
        <v>63.3</v>
      </c>
      <c r="E480" s="123" t="n">
        <v>50</v>
      </c>
      <c r="F480" s="109">
        <f>ROUND(D480*(1+(E480/100)),2)</f>
        <v/>
      </c>
      <c r="G480" t="n">
        <v>15</v>
      </c>
      <c r="H480" t="n">
        <v>5</v>
      </c>
    </row>
    <row r="481">
      <c r="A481" t="n">
        <v>480</v>
      </c>
      <c r="B481" t="inlineStr">
        <is>
          <t>Produto</t>
        </is>
      </c>
      <c r="C481" s="121" t="inlineStr">
        <is>
          <t>Skate leve azul</t>
        </is>
      </c>
      <c r="D481" s="109" t="n">
        <v>558.14</v>
      </c>
      <c r="E481" s="123" t="n">
        <v>50</v>
      </c>
      <c r="F481" s="109">
        <f>ROUND(D481*(1+(E481/100)),2)</f>
        <v/>
      </c>
      <c r="G481" t="n">
        <v>15</v>
      </c>
      <c r="H481" t="n">
        <v>5</v>
      </c>
    </row>
    <row r="482">
      <c r="A482" t="n">
        <v>481</v>
      </c>
      <c r="B482" t="inlineStr">
        <is>
          <t>Produto</t>
        </is>
      </c>
      <c r="C482" s="121" t="inlineStr">
        <is>
          <t>Monitor cardíaco compacto verde</t>
        </is>
      </c>
      <c r="D482" s="109" t="n">
        <v>392.34</v>
      </c>
      <c r="E482" s="123" t="n">
        <v>50</v>
      </c>
      <c r="F482" s="109">
        <f>ROUND(D482*(1+(E482/100)),2)</f>
        <v/>
      </c>
      <c r="G482" t="n">
        <v>15</v>
      </c>
      <c r="H482" t="n">
        <v>5</v>
      </c>
    </row>
    <row r="483">
      <c r="A483" t="n">
        <v>482</v>
      </c>
      <c r="B483" t="inlineStr">
        <is>
          <t>Produto</t>
        </is>
      </c>
      <c r="C483" s="121" t="inlineStr">
        <is>
          <t>Mochila esportiva premium laranja</t>
        </is>
      </c>
      <c r="D483" s="109" t="n">
        <v>52.06</v>
      </c>
      <c r="E483" s="123" t="n">
        <v>50</v>
      </c>
      <c r="F483" s="109">
        <f>ROUND(D483*(1+(E483/100)),2)</f>
        <v/>
      </c>
      <c r="G483" t="n">
        <v>15</v>
      </c>
      <c r="H483" t="n">
        <v>5</v>
      </c>
    </row>
    <row r="484">
      <c r="A484" t="n">
        <v>483</v>
      </c>
      <c r="B484" t="inlineStr">
        <is>
          <t>Produto</t>
        </is>
      </c>
      <c r="C484" s="121" t="inlineStr">
        <is>
          <t>Elástico de resistência unissex verde</t>
        </is>
      </c>
      <c r="D484" s="109" t="n">
        <v>59.43</v>
      </c>
      <c r="E484" s="123" t="n">
        <v>50</v>
      </c>
      <c r="F484" s="109">
        <f>ROUND(D484*(1+(E484/100)),2)</f>
        <v/>
      </c>
      <c r="G484" t="n">
        <v>15</v>
      </c>
      <c r="H484" t="n">
        <v>5</v>
      </c>
    </row>
    <row r="485">
      <c r="A485" t="n">
        <v>484</v>
      </c>
      <c r="B485" t="inlineStr">
        <is>
          <t>Produto</t>
        </is>
      </c>
      <c r="C485" s="121" t="inlineStr">
        <is>
          <t>Jaqueta esportiva profissional preto tam. M</t>
        </is>
      </c>
      <c r="D485" s="109" t="n">
        <v>153.64</v>
      </c>
      <c r="E485" s="123" t="n">
        <v>50</v>
      </c>
      <c r="F485" s="109">
        <f>ROUND(D485*(1+(E485/100)),2)</f>
        <v/>
      </c>
      <c r="G485" t="n">
        <v>15</v>
      </c>
      <c r="H485" t="n">
        <v>5</v>
      </c>
    </row>
    <row r="486">
      <c r="A486" t="n">
        <v>485</v>
      </c>
      <c r="B486" t="inlineStr">
        <is>
          <t>Produto</t>
        </is>
      </c>
      <c r="C486" s="121" t="inlineStr">
        <is>
          <t>Bloco para yoga ergonômico preto</t>
        </is>
      </c>
      <c r="D486" s="109" t="n">
        <v>33.77</v>
      </c>
      <c r="E486" s="123" t="n">
        <v>50</v>
      </c>
      <c r="F486" s="109">
        <f>ROUND(D486*(1+(E486/100)),2)</f>
        <v/>
      </c>
      <c r="G486" t="n">
        <v>15</v>
      </c>
      <c r="H486" t="n">
        <v>5</v>
      </c>
    </row>
    <row r="487">
      <c r="A487" t="n">
        <v>486</v>
      </c>
      <c r="B487" t="inlineStr">
        <is>
          <t>Produto</t>
        </is>
      </c>
      <c r="C487" s="121" t="inlineStr">
        <is>
          <t>Skate profissional rosa</t>
        </is>
      </c>
      <c r="D487" s="109" t="n">
        <v>521.0599999999999</v>
      </c>
      <c r="E487" s="123" t="n">
        <v>50</v>
      </c>
      <c r="F487" s="109">
        <f>ROUND(D487*(1+(E487/100)),2)</f>
        <v/>
      </c>
      <c r="G487" t="n">
        <v>15</v>
      </c>
      <c r="H487" t="n">
        <v>5</v>
      </c>
    </row>
    <row r="488">
      <c r="A488" t="n">
        <v>487</v>
      </c>
      <c r="B488" t="inlineStr">
        <is>
          <t>Produto</t>
        </is>
      </c>
      <c r="C488" s="121" t="inlineStr">
        <is>
          <t>Óculos de natação unissex azul</t>
        </is>
      </c>
      <c r="D488" s="109" t="n">
        <v>135.42</v>
      </c>
      <c r="E488" s="123" t="n">
        <v>50</v>
      </c>
      <c r="F488" s="109">
        <f>ROUND(D488*(1+(E488/100)),2)</f>
        <v/>
      </c>
      <c r="G488" t="n">
        <v>15</v>
      </c>
      <c r="H488" t="n">
        <v>5</v>
      </c>
    </row>
    <row r="489">
      <c r="A489" t="n">
        <v>488</v>
      </c>
      <c r="B489" t="inlineStr">
        <is>
          <t>Produto</t>
        </is>
      </c>
      <c r="C489" s="121" t="inlineStr">
        <is>
          <t>Bola de vôlei reforçado rosa</t>
        </is>
      </c>
      <c r="D489" s="109" t="n">
        <v>46.71</v>
      </c>
      <c r="E489" s="123" t="n">
        <v>50</v>
      </c>
      <c r="F489" s="109">
        <f>ROUND(D489*(1+(E489/100)),2)</f>
        <v/>
      </c>
      <c r="G489" t="n">
        <v>15</v>
      </c>
      <c r="H489" t="n">
        <v>5</v>
      </c>
    </row>
    <row r="490">
      <c r="A490" t="n">
        <v>489</v>
      </c>
      <c r="B490" t="inlineStr">
        <is>
          <t>Produto</t>
        </is>
      </c>
      <c r="C490" s="121" t="inlineStr">
        <is>
          <t>Raquete de beach tennis ventilado preto</t>
        </is>
      </c>
      <c r="D490" s="109" t="n">
        <v>203.84</v>
      </c>
      <c r="E490" s="123" t="n">
        <v>50</v>
      </c>
      <c r="F490" s="109">
        <f>ROUND(D490*(1+(E490/100)),2)</f>
        <v/>
      </c>
      <c r="G490" t="n">
        <v>15</v>
      </c>
      <c r="H490" t="n">
        <v>5</v>
      </c>
    </row>
    <row r="491">
      <c r="A491" t="n">
        <v>490</v>
      </c>
      <c r="B491" t="inlineStr">
        <is>
          <t>Produto</t>
        </is>
      </c>
      <c r="C491" s="121" t="inlineStr">
        <is>
          <t>Halter reforçado vermelho</t>
        </is>
      </c>
      <c r="D491" s="109" t="n">
        <v>115.75</v>
      </c>
      <c r="E491" s="123" t="n">
        <v>50</v>
      </c>
      <c r="F491" s="109">
        <f>ROUND(D491*(1+(E491/100)),2)</f>
        <v/>
      </c>
      <c r="G491" t="n">
        <v>15</v>
      </c>
      <c r="H491" t="n">
        <v>5</v>
      </c>
    </row>
    <row r="492">
      <c r="A492" t="n">
        <v>491</v>
      </c>
      <c r="B492" t="inlineStr">
        <is>
          <t>Produto</t>
        </is>
      </c>
      <c r="C492" s="121" t="inlineStr">
        <is>
          <t>Patins profissional cinza</t>
        </is>
      </c>
      <c r="D492" s="109" t="n">
        <v>227.16</v>
      </c>
      <c r="E492" s="123" t="n">
        <v>50</v>
      </c>
      <c r="F492" s="109">
        <f>ROUND(D492*(1+(E492/100)),2)</f>
        <v/>
      </c>
      <c r="G492" t="n">
        <v>15</v>
      </c>
      <c r="H492" t="n">
        <v>5</v>
      </c>
    </row>
    <row r="493">
      <c r="A493" t="n">
        <v>492</v>
      </c>
      <c r="B493" t="inlineStr">
        <is>
          <t>Produto</t>
        </is>
      </c>
      <c r="C493" s="121" t="inlineStr">
        <is>
          <t>Meias esportivas para uso diário branco tam. 38</t>
        </is>
      </c>
      <c r="D493" s="109" t="n">
        <v>33.14</v>
      </c>
      <c r="E493" s="123" t="n">
        <v>50</v>
      </c>
      <c r="F493" s="109">
        <f>ROUND(D493*(1+(E493/100)),2)</f>
        <v/>
      </c>
      <c r="G493" t="n">
        <v>15</v>
      </c>
      <c r="H493" t="n">
        <v>5</v>
      </c>
    </row>
    <row r="494">
      <c r="A494" t="n">
        <v>493</v>
      </c>
      <c r="B494" t="inlineStr">
        <is>
          <t>Produto</t>
        </is>
      </c>
      <c r="C494" s="121" t="inlineStr">
        <is>
          <t>Chuteira de campo resistente branco tam. P</t>
        </is>
      </c>
      <c r="D494" s="109" t="n">
        <v>117.65</v>
      </c>
      <c r="E494" s="123" t="n">
        <v>50</v>
      </c>
      <c r="F494" s="109">
        <f>ROUND(D494*(1+(E494/100)),2)</f>
        <v/>
      </c>
      <c r="G494" t="n">
        <v>15</v>
      </c>
      <c r="H494" t="n">
        <v>5</v>
      </c>
    </row>
    <row r="495">
      <c r="A495" t="n">
        <v>494</v>
      </c>
      <c r="B495" t="inlineStr">
        <is>
          <t>Produto</t>
        </is>
      </c>
      <c r="C495" s="121" t="inlineStr">
        <is>
          <t>Jaqueta esportiva modelo básico laranja tam. 36</t>
        </is>
      </c>
      <c r="D495" s="109" t="n">
        <v>61.23</v>
      </c>
      <c r="E495" s="123" t="n">
        <v>50</v>
      </c>
      <c r="F495" s="109">
        <f>ROUND(D495*(1+(E495/100)),2)</f>
        <v/>
      </c>
      <c r="G495" t="n">
        <v>15</v>
      </c>
      <c r="H495" t="n">
        <v>5</v>
      </c>
    </row>
    <row r="496">
      <c r="A496" t="n">
        <v>495</v>
      </c>
      <c r="B496" t="inlineStr">
        <is>
          <t>Produto</t>
        </is>
      </c>
      <c r="C496" s="121" t="inlineStr">
        <is>
          <t>Bolsa de academia ergonômico verde</t>
        </is>
      </c>
      <c r="D496" s="109" t="n">
        <v>83.31</v>
      </c>
      <c r="E496" s="123" t="n">
        <v>50</v>
      </c>
      <c r="F496" s="109">
        <f>ROUND(D496*(1+(E496/100)),2)</f>
        <v/>
      </c>
      <c r="G496" t="n">
        <v>15</v>
      </c>
      <c r="H496" t="n">
        <v>5</v>
      </c>
    </row>
    <row r="497">
      <c r="A497" t="n">
        <v>496</v>
      </c>
      <c r="B497" t="inlineStr">
        <is>
          <t>Produto</t>
        </is>
      </c>
      <c r="C497" s="121" t="inlineStr">
        <is>
          <t>Bloco para yoga leve laranja</t>
        </is>
      </c>
      <c r="D497" s="109" t="n">
        <v>12.28</v>
      </c>
      <c r="E497" s="123" t="n">
        <v>50</v>
      </c>
      <c r="F497" s="109">
        <f>ROUND(D497*(1+(E497/100)),2)</f>
        <v/>
      </c>
      <c r="G497" t="n">
        <v>15</v>
      </c>
      <c r="H497" t="n">
        <v>5</v>
      </c>
    </row>
    <row r="498">
      <c r="A498" t="n">
        <v>497</v>
      </c>
      <c r="B498" t="inlineStr">
        <is>
          <t>Produto</t>
        </is>
      </c>
      <c r="C498" s="121" t="inlineStr">
        <is>
          <t>Kimono de judô compacto azul tam. M</t>
        </is>
      </c>
      <c r="D498" s="109" t="n">
        <v>140.33</v>
      </c>
      <c r="E498" s="123" t="n">
        <v>50</v>
      </c>
      <c r="F498" s="109">
        <f>ROUND(D498*(1+(E498/100)),2)</f>
        <v/>
      </c>
      <c r="G498" t="n">
        <v>15</v>
      </c>
      <c r="H498" t="n">
        <v>5</v>
      </c>
    </row>
    <row r="499">
      <c r="A499" t="n">
        <v>498</v>
      </c>
      <c r="B499" t="inlineStr">
        <is>
          <t>Produto</t>
        </is>
      </c>
      <c r="C499" s="121" t="inlineStr">
        <is>
          <t>Bloco para yoga para uso diário branco</t>
        </is>
      </c>
      <c r="D499" s="109" t="n">
        <v>23.01</v>
      </c>
      <c r="E499" s="123" t="n">
        <v>50</v>
      </c>
      <c r="F499" s="109">
        <f>ROUND(D499*(1+(E499/100)),2)</f>
        <v/>
      </c>
      <c r="G499" t="n">
        <v>15</v>
      </c>
      <c r="H499" t="n">
        <v>5</v>
      </c>
    </row>
    <row r="500">
      <c r="A500" t="n">
        <v>499</v>
      </c>
      <c r="B500" t="inlineStr">
        <is>
          <t>Produto</t>
        </is>
      </c>
      <c r="C500" s="121" t="inlineStr">
        <is>
          <t>Raquete de badminton iniciante rosa</t>
        </is>
      </c>
      <c r="D500" s="109" t="n">
        <v>105.52</v>
      </c>
      <c r="E500" s="123" t="n">
        <v>50</v>
      </c>
      <c r="F500" s="109">
        <f>ROUND(D500*(1+(E500/100)),2)</f>
        <v/>
      </c>
      <c r="G500" t="n">
        <v>15</v>
      </c>
      <c r="H500" t="n">
        <v>5</v>
      </c>
    </row>
    <row r="501">
      <c r="A501" t="n">
        <v>500</v>
      </c>
      <c r="B501" t="inlineStr">
        <is>
          <t>Produto</t>
        </is>
      </c>
      <c r="C501" s="121" t="inlineStr">
        <is>
          <t>Bolsa de academia recreativo azul</t>
        </is>
      </c>
      <c r="D501" s="109" t="n">
        <v>58.05</v>
      </c>
      <c r="E501" s="123" t="n">
        <v>50</v>
      </c>
      <c r="F501" s="109">
        <f>ROUND(D501*(1+(E501/100)),2)</f>
        <v/>
      </c>
      <c r="G501" t="n">
        <v>15</v>
      </c>
      <c r="H501" t="n">
        <v>5</v>
      </c>
    </row>
    <row r="502">
      <c r="A502" t="n">
        <v>501</v>
      </c>
      <c r="B502" t="inlineStr">
        <is>
          <t>Produto</t>
        </is>
      </c>
      <c r="C502" s="121" t="inlineStr">
        <is>
          <t>Bicicleta urbana ventilado laranja</t>
        </is>
      </c>
      <c r="D502" s="109" t="n">
        <v>864.1900000000001</v>
      </c>
      <c r="E502" s="123" t="n">
        <v>50</v>
      </c>
      <c r="F502" s="109">
        <f>ROUND(D502*(1+(E502/100)),2)</f>
        <v/>
      </c>
      <c r="G502" t="n">
        <v>15</v>
      </c>
      <c r="H502" t="n">
        <v>5</v>
      </c>
    </row>
    <row r="503">
      <c r="A503" t="n">
        <v>502</v>
      </c>
      <c r="B503" t="inlineStr">
        <is>
          <t>Produto</t>
        </is>
      </c>
      <c r="C503" s="121" t="inlineStr">
        <is>
          <t>Raquete de badminton ventilado azul</t>
        </is>
      </c>
      <c r="D503" s="109" t="n">
        <v>155.29</v>
      </c>
      <c r="E503" s="123" t="n">
        <v>50</v>
      </c>
      <c r="F503" s="109">
        <f>ROUND(D503*(1+(E503/100)),2)</f>
        <v/>
      </c>
      <c r="G503" t="n">
        <v>15</v>
      </c>
      <c r="H503" t="n">
        <v>5</v>
      </c>
    </row>
    <row r="504">
      <c r="A504" t="n">
        <v>503</v>
      </c>
      <c r="B504" t="inlineStr">
        <is>
          <t>Produto</t>
        </is>
      </c>
      <c r="C504" s="121" t="inlineStr">
        <is>
          <t>Halter adulto cinza</t>
        </is>
      </c>
      <c r="D504" s="109" t="n">
        <v>69.05</v>
      </c>
      <c r="E504" s="123" t="n">
        <v>50</v>
      </c>
      <c r="F504" s="109">
        <f>ROUND(D504*(1+(E504/100)),2)</f>
        <v/>
      </c>
      <c r="G504" t="n">
        <v>15</v>
      </c>
      <c r="H504" t="n">
        <v>5</v>
      </c>
    </row>
    <row r="505">
      <c r="A505" t="n">
        <v>504</v>
      </c>
      <c r="B505" t="inlineStr">
        <is>
          <t>Produto</t>
        </is>
      </c>
      <c r="C505" s="121" t="inlineStr">
        <is>
          <t>Banco de musculação ventilado verde</t>
        </is>
      </c>
      <c r="D505" s="109" t="n">
        <v>934.9299999999999</v>
      </c>
      <c r="E505" s="123" t="n">
        <v>50</v>
      </c>
      <c r="F505" s="109">
        <f>ROUND(D505*(1+(E505/100)),2)</f>
        <v/>
      </c>
      <c r="G505" t="n">
        <v>15</v>
      </c>
      <c r="H505" t="n">
        <v>5</v>
      </c>
    </row>
    <row r="506">
      <c r="A506" t="n">
        <v>505</v>
      </c>
      <c r="B506" t="inlineStr">
        <is>
          <t>Produto</t>
        </is>
      </c>
      <c r="C506" s="121" t="inlineStr">
        <is>
          <t>Camiseta esportiva leve vermelho tam. 34</t>
        </is>
      </c>
      <c r="D506" s="109" t="n">
        <v>48.65</v>
      </c>
      <c r="E506" s="123" t="n">
        <v>50</v>
      </c>
      <c r="F506" s="109">
        <f>ROUND(D506*(1+(E506/100)),2)</f>
        <v/>
      </c>
      <c r="G506" t="n">
        <v>15</v>
      </c>
      <c r="H506" t="n">
        <v>5</v>
      </c>
    </row>
    <row r="507">
      <c r="A507" t="n">
        <v>506</v>
      </c>
      <c r="B507" t="inlineStr">
        <is>
          <t>Produto</t>
        </is>
      </c>
      <c r="C507" s="121" t="inlineStr">
        <is>
          <t>Óculos esportivos profissional vermelho</t>
        </is>
      </c>
      <c r="D507" s="109" t="n">
        <v>196.07</v>
      </c>
      <c r="E507" s="123" t="n">
        <v>50</v>
      </c>
      <c r="F507" s="109">
        <f>ROUND(D507*(1+(E507/100)),2)</f>
        <v/>
      </c>
      <c r="G507" t="n">
        <v>15</v>
      </c>
      <c r="H507" t="n">
        <v>5</v>
      </c>
    </row>
    <row r="508">
      <c r="A508" t="n">
        <v>507</v>
      </c>
      <c r="B508" t="inlineStr">
        <is>
          <t>Produto</t>
        </is>
      </c>
      <c r="C508" s="121" t="inlineStr">
        <is>
          <t>Corda de pular ergonômico azul</t>
        </is>
      </c>
      <c r="D508" s="109" t="n">
        <v>38.19</v>
      </c>
      <c r="E508" s="123" t="n">
        <v>50</v>
      </c>
      <c r="F508" s="109">
        <f>ROUND(D508*(1+(E508/100)),2)</f>
        <v/>
      </c>
      <c r="G508" t="n">
        <v>15</v>
      </c>
      <c r="H508" t="n">
        <v>5</v>
      </c>
    </row>
    <row r="509">
      <c r="A509" t="n">
        <v>508</v>
      </c>
      <c r="B509" t="inlineStr">
        <is>
          <t>Produto</t>
        </is>
      </c>
      <c r="C509" s="121" t="inlineStr">
        <is>
          <t>Meias esportivas versão 2026 verde tam. 40</t>
        </is>
      </c>
      <c r="D509" s="109" t="n">
        <v>9.789999999999999</v>
      </c>
      <c r="E509" s="123" t="n">
        <v>50</v>
      </c>
      <c r="F509" s="109">
        <f>ROUND(D509*(1+(E509/100)),2)</f>
        <v/>
      </c>
      <c r="G509" t="n">
        <v>15</v>
      </c>
      <c r="H509" t="n">
        <v>5</v>
      </c>
    </row>
    <row r="510">
      <c r="A510" t="n">
        <v>509</v>
      </c>
      <c r="B510" t="inlineStr">
        <is>
          <t>Produto</t>
        </is>
      </c>
      <c r="C510" s="121" t="inlineStr">
        <is>
          <t>Coqueteleira para uso diário branco</t>
        </is>
      </c>
      <c r="D510" s="109" t="n">
        <v>47.29</v>
      </c>
      <c r="E510" s="123" t="n">
        <v>50</v>
      </c>
      <c r="F510" s="109">
        <f>ROUND(D510*(1+(E510/100)),2)</f>
        <v/>
      </c>
      <c r="G510" t="n">
        <v>15</v>
      </c>
      <c r="H510" t="n">
        <v>5</v>
      </c>
    </row>
    <row r="511">
      <c r="A511" t="n">
        <v>510</v>
      </c>
      <c r="B511" t="inlineStr">
        <is>
          <t>Produto</t>
        </is>
      </c>
      <c r="C511" s="121" t="inlineStr">
        <is>
          <t>Bloco para yoga com ajuste branco</t>
        </is>
      </c>
      <c r="D511" s="109" t="n">
        <v>25.73</v>
      </c>
      <c r="E511" s="123" t="n">
        <v>50</v>
      </c>
      <c r="F511" s="109">
        <f>ROUND(D511*(1+(E511/100)),2)</f>
        <v/>
      </c>
      <c r="G511" t="n">
        <v>15</v>
      </c>
      <c r="H511" t="n">
        <v>5</v>
      </c>
    </row>
    <row r="512">
      <c r="A512" t="n">
        <v>511</v>
      </c>
      <c r="B512" t="inlineStr">
        <is>
          <t>Produto</t>
        </is>
      </c>
      <c r="C512" s="121" t="inlineStr">
        <is>
          <t>Óculos de natação recreativo cinza</t>
        </is>
      </c>
      <c r="D512" s="109" t="n">
        <v>56.19</v>
      </c>
      <c r="E512" s="123" t="n">
        <v>50</v>
      </c>
      <c r="F512" s="109">
        <f>ROUND(D512*(1+(E512/100)),2)</f>
        <v/>
      </c>
      <c r="G512" t="n">
        <v>15</v>
      </c>
      <c r="H512" t="n">
        <v>5</v>
      </c>
    </row>
    <row r="513">
      <c r="A513" t="n">
        <v>512</v>
      </c>
      <c r="B513" t="inlineStr">
        <is>
          <t>Produto</t>
        </is>
      </c>
      <c r="C513" s="121" t="inlineStr">
        <is>
          <t>Skate ergonômico branco</t>
        </is>
      </c>
      <c r="D513" s="109" t="n">
        <v>180.53</v>
      </c>
      <c r="E513" s="123" t="n">
        <v>50</v>
      </c>
      <c r="F513" s="109">
        <f>ROUND(D513*(1+(E513/100)),2)</f>
        <v/>
      </c>
      <c r="G513" t="n">
        <v>15</v>
      </c>
      <c r="H513" t="n">
        <v>5</v>
      </c>
    </row>
    <row r="514">
      <c r="A514" t="n">
        <v>513</v>
      </c>
      <c r="B514" t="inlineStr">
        <is>
          <t>Produto</t>
        </is>
      </c>
      <c r="C514" s="121" t="inlineStr">
        <is>
          <t>Elástico de resistência iniciante rosa</t>
        </is>
      </c>
      <c r="D514" s="109" t="n">
        <v>58.26</v>
      </c>
      <c r="E514" s="123" t="n">
        <v>50</v>
      </c>
      <c r="F514" s="109">
        <f>ROUND(D514*(1+(E514/100)),2)</f>
        <v/>
      </c>
      <c r="G514" t="n">
        <v>15</v>
      </c>
      <c r="H514" t="n">
        <v>5</v>
      </c>
    </row>
    <row r="515">
      <c r="A515" t="n">
        <v>514</v>
      </c>
      <c r="B515" t="inlineStr">
        <is>
          <t>Produto</t>
        </is>
      </c>
      <c r="C515" s="121" t="inlineStr">
        <is>
          <t>Meias esportivas para uso diário cinza tam. 38</t>
        </is>
      </c>
      <c r="D515" s="109" t="n">
        <v>19.08</v>
      </c>
      <c r="E515" s="123" t="n">
        <v>50</v>
      </c>
      <c r="F515" s="109">
        <f>ROUND(D515*(1+(E515/100)),2)</f>
        <v/>
      </c>
      <c r="G515" t="n">
        <v>15</v>
      </c>
      <c r="H515" t="n">
        <v>5</v>
      </c>
    </row>
    <row r="516">
      <c r="A516" t="n">
        <v>515</v>
      </c>
      <c r="B516" t="inlineStr">
        <is>
          <t>Produto</t>
        </is>
      </c>
      <c r="C516" s="121" t="inlineStr">
        <is>
          <t>Protetor bucal unissex vermelho</t>
        </is>
      </c>
      <c r="D516" s="109" t="n">
        <v>43.71</v>
      </c>
      <c r="E516" s="123" t="n">
        <v>50</v>
      </c>
      <c r="F516" s="109">
        <f>ROUND(D516*(1+(E516/100)),2)</f>
        <v/>
      </c>
      <c r="G516" t="n">
        <v>15</v>
      </c>
      <c r="H516" t="n">
        <v>5</v>
      </c>
    </row>
    <row r="517">
      <c r="A517" t="n">
        <v>516</v>
      </c>
      <c r="B517" t="inlineStr">
        <is>
          <t>Produto</t>
        </is>
      </c>
      <c r="C517" s="121" t="inlineStr">
        <is>
          <t>Luva de goleiro com ajuste verde tam. 40</t>
        </is>
      </c>
      <c r="D517" s="109" t="n">
        <v>196.24</v>
      </c>
      <c r="E517" s="123" t="n">
        <v>50</v>
      </c>
      <c r="F517" s="109">
        <f>ROUND(D517*(1+(E517/100)),2)</f>
        <v/>
      </c>
      <c r="G517" t="n">
        <v>15</v>
      </c>
      <c r="H517" t="n">
        <v>5</v>
      </c>
    </row>
    <row r="518">
      <c r="A518" t="n">
        <v>517</v>
      </c>
      <c r="B518" t="inlineStr">
        <is>
          <t>Produto</t>
        </is>
      </c>
      <c r="C518" s="121" t="inlineStr">
        <is>
          <t>Skate alta performance rosa</t>
        </is>
      </c>
      <c r="D518" s="109" t="n">
        <v>160.92</v>
      </c>
      <c r="E518" s="123" t="n">
        <v>50</v>
      </c>
      <c r="F518" s="109">
        <f>ROUND(D518*(1+(E518/100)),2)</f>
        <v/>
      </c>
      <c r="G518" t="n">
        <v>15</v>
      </c>
      <c r="H518" t="n">
        <v>5</v>
      </c>
    </row>
    <row r="519">
      <c r="A519" t="n">
        <v>518</v>
      </c>
      <c r="B519" t="inlineStr">
        <is>
          <t>Produto</t>
        </is>
      </c>
      <c r="C519" s="121" t="inlineStr">
        <is>
          <t>Coqueteleira premium vermelho</t>
        </is>
      </c>
      <c r="D519" s="109" t="n">
        <v>41.98</v>
      </c>
      <c r="E519" s="123" t="n">
        <v>50</v>
      </c>
      <c r="F519" s="109">
        <f>ROUND(D519*(1+(E519/100)),2)</f>
        <v/>
      </c>
      <c r="G519" t="n">
        <v>15</v>
      </c>
      <c r="H519" t="n">
        <v>5</v>
      </c>
    </row>
    <row r="520">
      <c r="A520" t="n">
        <v>519</v>
      </c>
      <c r="B520" t="inlineStr">
        <is>
          <t>Produto</t>
        </is>
      </c>
      <c r="C520" s="121" t="inlineStr">
        <is>
          <t>Bloco para yoga com ajuste rosa</t>
        </is>
      </c>
      <c r="D520" s="109" t="n">
        <v>31.65</v>
      </c>
      <c r="E520" s="123" t="n">
        <v>50</v>
      </c>
      <c r="F520" s="109">
        <f>ROUND(D520*(1+(E520/100)),2)</f>
        <v/>
      </c>
      <c r="G520" t="n">
        <v>15</v>
      </c>
      <c r="H520" t="n">
        <v>5</v>
      </c>
    </row>
    <row r="521">
      <c r="A521" t="n">
        <v>520</v>
      </c>
      <c r="B521" t="inlineStr">
        <is>
          <t>Produto</t>
        </is>
      </c>
      <c r="C521" s="121" t="inlineStr">
        <is>
          <t>Caneleira de futebol alta performance preto</t>
        </is>
      </c>
      <c r="D521" s="109" t="n">
        <v>73.61</v>
      </c>
      <c r="E521" s="123" t="n">
        <v>50</v>
      </c>
      <c r="F521" s="109">
        <f>ROUND(D521*(1+(E521/100)),2)</f>
        <v/>
      </c>
      <c r="G521" t="n">
        <v>15</v>
      </c>
      <c r="H521" t="n">
        <v>5</v>
      </c>
    </row>
    <row r="522">
      <c r="A522" t="n">
        <v>521</v>
      </c>
      <c r="B522" t="inlineStr">
        <is>
          <t>Produto</t>
        </is>
      </c>
      <c r="C522" s="121" t="inlineStr">
        <is>
          <t>Tapete de yoga versão 2026 azul</t>
        </is>
      </c>
      <c r="D522" s="109" t="n">
        <v>41</v>
      </c>
      <c r="E522" s="123" t="n">
        <v>50</v>
      </c>
      <c r="F522" s="109">
        <f>ROUND(D522*(1+(E522/100)),2)</f>
        <v/>
      </c>
      <c r="G522" t="n">
        <v>15</v>
      </c>
      <c r="H522" t="n">
        <v>5</v>
      </c>
    </row>
    <row r="523">
      <c r="A523" t="n">
        <v>522</v>
      </c>
      <c r="B523" t="inlineStr">
        <is>
          <t>Produto</t>
        </is>
      </c>
      <c r="C523" s="121" t="inlineStr">
        <is>
          <t>Meias esportivas leve preto tam. 44</t>
        </is>
      </c>
      <c r="D523" s="109" t="n">
        <v>41.35</v>
      </c>
      <c r="E523" s="123" t="n">
        <v>50</v>
      </c>
      <c r="F523" s="109">
        <f>ROUND(D523*(1+(E523/100)),2)</f>
        <v/>
      </c>
      <c r="G523" t="n">
        <v>15</v>
      </c>
      <c r="H523" t="n">
        <v>5</v>
      </c>
    </row>
    <row r="524">
      <c r="A524" t="n">
        <v>523</v>
      </c>
      <c r="B524" t="inlineStr">
        <is>
          <t>Produto</t>
        </is>
      </c>
      <c r="C524" s="121" t="inlineStr">
        <is>
          <t>Nadadeira modelo básico laranja</t>
        </is>
      </c>
      <c r="D524" s="109" t="n">
        <v>40.47</v>
      </c>
      <c r="E524" s="123" t="n">
        <v>50</v>
      </c>
      <c r="F524" s="109">
        <f>ROUND(D524*(1+(E524/100)),2)</f>
        <v/>
      </c>
      <c r="G524" t="n">
        <v>15</v>
      </c>
      <c r="H524" t="n">
        <v>5</v>
      </c>
    </row>
    <row r="525">
      <c r="A525" t="n">
        <v>524</v>
      </c>
      <c r="B525" t="inlineStr">
        <is>
          <t>Produto</t>
        </is>
      </c>
      <c r="C525" s="121" t="inlineStr">
        <is>
          <t>Tênis de corrida compacto verde tam. 40</t>
        </is>
      </c>
      <c r="D525" s="109" t="n">
        <v>280.74</v>
      </c>
      <c r="E525" s="123" t="n">
        <v>50</v>
      </c>
      <c r="F525" s="109">
        <f>ROUND(D525*(1+(E525/100)),2)</f>
        <v/>
      </c>
      <c r="G525" t="n">
        <v>15</v>
      </c>
      <c r="H525" t="n">
        <v>5</v>
      </c>
    </row>
    <row r="526">
      <c r="A526" t="n">
        <v>525</v>
      </c>
      <c r="B526" t="inlineStr">
        <is>
          <t>Produto</t>
        </is>
      </c>
      <c r="C526" s="121" t="inlineStr">
        <is>
          <t>Capacete de ciclismo resistente vermelho</t>
        </is>
      </c>
      <c r="D526" s="109" t="n">
        <v>155.57</v>
      </c>
      <c r="E526" s="123" t="n">
        <v>50</v>
      </c>
      <c r="F526" s="109">
        <f>ROUND(D526*(1+(E526/100)),2)</f>
        <v/>
      </c>
      <c r="G526" t="n">
        <v>15</v>
      </c>
      <c r="H526" t="n">
        <v>5</v>
      </c>
    </row>
    <row r="527">
      <c r="A527" t="n">
        <v>526</v>
      </c>
      <c r="B527" t="inlineStr">
        <is>
          <t>Produto</t>
        </is>
      </c>
      <c r="C527" s="121" t="inlineStr">
        <is>
          <t>Bola de basquete treino cinza</t>
        </is>
      </c>
      <c r="D527" s="109" t="n">
        <v>83.36</v>
      </c>
      <c r="E527" s="123" t="n">
        <v>50</v>
      </c>
      <c r="F527" s="109">
        <f>ROUND(D527*(1+(E527/100)),2)</f>
        <v/>
      </c>
      <c r="G527" t="n">
        <v>15</v>
      </c>
      <c r="H527" t="n">
        <v>5</v>
      </c>
    </row>
    <row r="528">
      <c r="A528" t="n">
        <v>527</v>
      </c>
      <c r="B528" t="inlineStr">
        <is>
          <t>Produto</t>
        </is>
      </c>
      <c r="C528" s="121" t="inlineStr">
        <is>
          <t>Raquete de badminton recreativo branco</t>
        </is>
      </c>
      <c r="D528" s="109" t="n">
        <v>95.44</v>
      </c>
      <c r="E528" s="123" t="n">
        <v>50</v>
      </c>
      <c r="F528" s="109">
        <f>ROUND(D528*(1+(E528/100)),2)</f>
        <v/>
      </c>
      <c r="G528" t="n">
        <v>15</v>
      </c>
      <c r="H528" t="n">
        <v>5</v>
      </c>
    </row>
    <row r="529">
      <c r="A529" t="n">
        <v>528</v>
      </c>
      <c r="B529" t="inlineStr">
        <is>
          <t>Produto</t>
        </is>
      </c>
      <c r="C529" s="121" t="inlineStr">
        <is>
          <t>Capacete de ciclismo resistente rosa</t>
        </is>
      </c>
      <c r="D529" s="109" t="n">
        <v>156.61</v>
      </c>
      <c r="E529" s="123" t="n">
        <v>50</v>
      </c>
      <c r="F529" s="109">
        <f>ROUND(D529*(1+(E529/100)),2)</f>
        <v/>
      </c>
      <c r="G529" t="n">
        <v>15</v>
      </c>
      <c r="H529" t="n">
        <v>5</v>
      </c>
    </row>
    <row r="530">
      <c r="A530" t="n">
        <v>529</v>
      </c>
      <c r="B530" t="inlineStr">
        <is>
          <t>Produto</t>
        </is>
      </c>
      <c r="C530" s="121" t="inlineStr">
        <is>
          <t>Tênis de corrida com ajuste branco tam. M</t>
        </is>
      </c>
      <c r="D530" s="109" t="n">
        <v>243.07</v>
      </c>
      <c r="E530" s="123" t="n">
        <v>50</v>
      </c>
      <c r="F530" s="109">
        <f>ROUND(D530*(1+(E530/100)),2)</f>
        <v/>
      </c>
      <c r="G530" t="n">
        <v>15</v>
      </c>
      <c r="H530" t="n">
        <v>5</v>
      </c>
    </row>
    <row r="531">
      <c r="A531" t="n">
        <v>530</v>
      </c>
      <c r="B531" t="inlineStr">
        <is>
          <t>Produto</t>
        </is>
      </c>
      <c r="C531" s="121" t="inlineStr">
        <is>
          <t>Patins adulto branco</t>
        </is>
      </c>
      <c r="D531" s="109" t="n">
        <v>547.6</v>
      </c>
      <c r="E531" s="123" t="n">
        <v>50</v>
      </c>
      <c r="F531" s="109">
        <f>ROUND(D531*(1+(E531/100)),2)</f>
        <v/>
      </c>
      <c r="G531" t="n">
        <v>15</v>
      </c>
      <c r="H531" t="n">
        <v>5</v>
      </c>
    </row>
    <row r="532">
      <c r="A532" t="n">
        <v>531</v>
      </c>
      <c r="B532" t="inlineStr">
        <is>
          <t>Produto</t>
        </is>
      </c>
      <c r="C532" s="121" t="inlineStr">
        <is>
          <t>Nadadeira compacto vermelho</t>
        </is>
      </c>
      <c r="D532" s="109" t="n">
        <v>110.04</v>
      </c>
      <c r="E532" s="123" t="n">
        <v>50</v>
      </c>
      <c r="F532" s="109">
        <f>ROUND(D532*(1+(E532/100)),2)</f>
        <v/>
      </c>
      <c r="G532" t="n">
        <v>15</v>
      </c>
      <c r="H532" t="n">
        <v>5</v>
      </c>
    </row>
    <row r="533">
      <c r="A533" t="n">
        <v>532</v>
      </c>
      <c r="B533" t="inlineStr">
        <is>
          <t>Produto</t>
        </is>
      </c>
      <c r="C533" s="121" t="inlineStr">
        <is>
          <t>Kettlebell alta performance rosa</t>
        </is>
      </c>
      <c r="D533" s="109" t="n">
        <v>78.63</v>
      </c>
      <c r="E533" s="123" t="n">
        <v>50</v>
      </c>
      <c r="F533" s="109">
        <f>ROUND(D533*(1+(E533/100)),2)</f>
        <v/>
      </c>
      <c r="G533" t="n">
        <v>15</v>
      </c>
      <c r="H533" t="n">
        <v>5</v>
      </c>
    </row>
    <row r="534">
      <c r="A534" t="n">
        <v>533</v>
      </c>
      <c r="B534" t="inlineStr">
        <is>
          <t>Produto</t>
        </is>
      </c>
      <c r="C534" s="121" t="inlineStr">
        <is>
          <t>Elástico de resistência leve laranja</t>
        </is>
      </c>
      <c r="D534" s="109" t="n">
        <v>28.39</v>
      </c>
      <c r="E534" s="123" t="n">
        <v>50</v>
      </c>
      <c r="F534" s="109">
        <f>ROUND(D534*(1+(E534/100)),2)</f>
        <v/>
      </c>
      <c r="G534" t="n">
        <v>15</v>
      </c>
      <c r="H534" t="n">
        <v>5</v>
      </c>
    </row>
    <row r="535">
      <c r="A535" t="n">
        <v>534</v>
      </c>
      <c r="B535" t="inlineStr">
        <is>
          <t>Produto</t>
        </is>
      </c>
      <c r="C535" s="121" t="inlineStr">
        <is>
          <t>Bola de pilates reforçado rosa</t>
        </is>
      </c>
      <c r="D535" s="109" t="n">
        <v>80.79000000000001</v>
      </c>
      <c r="E535" s="123" t="n">
        <v>50</v>
      </c>
      <c r="F535" s="109">
        <f>ROUND(D535*(1+(E535/100)),2)</f>
        <v/>
      </c>
      <c r="G535" t="n">
        <v>15</v>
      </c>
      <c r="H535" t="n">
        <v>5</v>
      </c>
    </row>
    <row r="536">
      <c r="A536" t="n">
        <v>535</v>
      </c>
      <c r="B536" t="inlineStr">
        <is>
          <t>Produto</t>
        </is>
      </c>
      <c r="C536" s="121" t="inlineStr">
        <is>
          <t>Bloco para yoga reforçado verde</t>
        </is>
      </c>
      <c r="D536" s="109" t="n">
        <v>19.79</v>
      </c>
      <c r="E536" s="123" t="n">
        <v>50</v>
      </c>
      <c r="F536" s="109">
        <f>ROUND(D536*(1+(E536/100)),2)</f>
        <v/>
      </c>
      <c r="G536" t="n">
        <v>15</v>
      </c>
      <c r="H536" t="n">
        <v>5</v>
      </c>
    </row>
    <row r="537">
      <c r="A537" t="n">
        <v>536</v>
      </c>
      <c r="B537" t="inlineStr">
        <is>
          <t>Produto</t>
        </is>
      </c>
      <c r="C537" s="121" t="inlineStr">
        <is>
          <t>Patins unissex azul</t>
        </is>
      </c>
      <c r="D537" s="109" t="n">
        <v>647.61</v>
      </c>
      <c r="E537" s="123" t="n">
        <v>50</v>
      </c>
      <c r="F537" s="109">
        <f>ROUND(D537*(1+(E537/100)),2)</f>
        <v/>
      </c>
      <c r="G537" t="n">
        <v>15</v>
      </c>
      <c r="H537" t="n">
        <v>5</v>
      </c>
    </row>
    <row r="538">
      <c r="A538" t="n">
        <v>537</v>
      </c>
      <c r="B538" t="inlineStr">
        <is>
          <t>Produto</t>
        </is>
      </c>
      <c r="C538" s="121" t="inlineStr">
        <is>
          <t>Caneleira de futebol modelo avançado branco</t>
        </is>
      </c>
      <c r="D538" s="109" t="n">
        <v>27.31</v>
      </c>
      <c r="E538" s="123" t="n">
        <v>50</v>
      </c>
      <c r="F538" s="109">
        <f>ROUND(D538*(1+(E538/100)),2)</f>
        <v/>
      </c>
      <c r="G538" t="n">
        <v>15</v>
      </c>
      <c r="H538" t="n">
        <v>5</v>
      </c>
    </row>
    <row r="539">
      <c r="A539" t="n">
        <v>538</v>
      </c>
      <c r="B539" t="inlineStr">
        <is>
          <t>Produto</t>
        </is>
      </c>
      <c r="C539" s="121" t="inlineStr">
        <is>
          <t>Tênis para quadra ergonômico branco tam. 44</t>
        </is>
      </c>
      <c r="D539" s="109" t="n">
        <v>234.17</v>
      </c>
      <c r="E539" s="123" t="n">
        <v>50</v>
      </c>
      <c r="F539" s="109">
        <f>ROUND(D539*(1+(E539/100)),2)</f>
        <v/>
      </c>
      <c r="G539" t="n">
        <v>15</v>
      </c>
      <c r="H539" t="n">
        <v>5</v>
      </c>
    </row>
    <row r="540">
      <c r="A540" t="n">
        <v>539</v>
      </c>
      <c r="B540" t="inlineStr">
        <is>
          <t>Produto</t>
        </is>
      </c>
      <c r="C540" s="121" t="inlineStr">
        <is>
          <t>Elástico de resistência treino branco</t>
        </is>
      </c>
      <c r="D540" s="109" t="n">
        <v>26.11</v>
      </c>
      <c r="E540" s="123" t="n">
        <v>50</v>
      </c>
      <c r="F540" s="109">
        <f>ROUND(D540*(1+(E540/100)),2)</f>
        <v/>
      </c>
      <c r="G540" t="n">
        <v>15</v>
      </c>
      <c r="H540" t="n">
        <v>5</v>
      </c>
    </row>
    <row r="541">
      <c r="A541" t="n">
        <v>540</v>
      </c>
      <c r="B541" t="inlineStr">
        <is>
          <t>Produto</t>
        </is>
      </c>
      <c r="C541" s="121" t="inlineStr">
        <is>
          <t>Capacete de ciclismo leve cinza</t>
        </is>
      </c>
      <c r="D541" s="109" t="n">
        <v>334.57</v>
      </c>
      <c r="E541" s="123" t="n">
        <v>50</v>
      </c>
      <c r="F541" s="109">
        <f>ROUND(D541*(1+(E541/100)),2)</f>
        <v/>
      </c>
      <c r="G541" t="n">
        <v>15</v>
      </c>
      <c r="H541" t="n">
        <v>5</v>
      </c>
    </row>
    <row r="542">
      <c r="A542" t="n">
        <v>541</v>
      </c>
      <c r="B542" t="inlineStr">
        <is>
          <t>Produto</t>
        </is>
      </c>
      <c r="C542" s="121" t="inlineStr">
        <is>
          <t>Luva de boxe recreativo branco tam. M</t>
        </is>
      </c>
      <c r="D542" s="109" t="n">
        <v>103.49</v>
      </c>
      <c r="E542" s="123" t="n">
        <v>50</v>
      </c>
      <c r="F542" s="109">
        <f>ROUND(D542*(1+(E542/100)),2)</f>
        <v/>
      </c>
      <c r="G542" t="n">
        <v>15</v>
      </c>
      <c r="H542" t="n">
        <v>5</v>
      </c>
    </row>
    <row r="543">
      <c r="A543" t="n">
        <v>542</v>
      </c>
      <c r="B543" t="inlineStr">
        <is>
          <t>Produto</t>
        </is>
      </c>
      <c r="C543" s="121" t="inlineStr">
        <is>
          <t>Tênis para quadra modelo avançado vermelho tam. 42</t>
        </is>
      </c>
      <c r="D543" s="109" t="n">
        <v>234.1</v>
      </c>
      <c r="E543" s="123" t="n">
        <v>50</v>
      </c>
      <c r="F543" s="109">
        <f>ROUND(D543*(1+(E543/100)),2)</f>
        <v/>
      </c>
      <c r="G543" t="n">
        <v>15</v>
      </c>
      <c r="H543" t="n">
        <v>5</v>
      </c>
    </row>
    <row r="544">
      <c r="A544" t="n">
        <v>543</v>
      </c>
      <c r="B544" t="inlineStr">
        <is>
          <t>Produto</t>
        </is>
      </c>
      <c r="C544" s="121" t="inlineStr">
        <is>
          <t>Saco de pancadas unissex laranja</t>
        </is>
      </c>
      <c r="D544" s="109" t="n">
        <v>399.14</v>
      </c>
      <c r="E544" s="123" t="n">
        <v>50</v>
      </c>
      <c r="F544" s="109">
        <f>ROUND(D544*(1+(E544/100)),2)</f>
        <v/>
      </c>
      <c r="G544" t="n">
        <v>15</v>
      </c>
      <c r="H544" t="n">
        <v>5</v>
      </c>
    </row>
    <row r="545">
      <c r="A545" t="n">
        <v>544</v>
      </c>
      <c r="B545" t="inlineStr">
        <is>
          <t>Produto</t>
        </is>
      </c>
      <c r="C545" s="121" t="inlineStr">
        <is>
          <t>Óculos esportivos leve vermelho</t>
        </is>
      </c>
      <c r="D545" s="109" t="n">
        <v>217.84</v>
      </c>
      <c r="E545" s="123" t="n">
        <v>50</v>
      </c>
      <c r="F545" s="109">
        <f>ROUND(D545*(1+(E545/100)),2)</f>
        <v/>
      </c>
      <c r="G545" t="n">
        <v>15</v>
      </c>
      <c r="H545" t="n">
        <v>5</v>
      </c>
    </row>
    <row r="546">
      <c r="A546" t="n">
        <v>545</v>
      </c>
      <c r="B546" t="inlineStr">
        <is>
          <t>Produto</t>
        </is>
      </c>
      <c r="C546" s="121" t="inlineStr">
        <is>
          <t>Chuteira de campo modelo básico rosa tam. 44</t>
        </is>
      </c>
      <c r="D546" s="109" t="n">
        <v>97.03</v>
      </c>
      <c r="E546" s="123" t="n">
        <v>50</v>
      </c>
      <c r="F546" s="109">
        <f>ROUND(D546*(1+(E546/100)),2)</f>
        <v/>
      </c>
      <c r="G546" t="n">
        <v>15</v>
      </c>
      <c r="H546" t="n">
        <v>5</v>
      </c>
    </row>
    <row r="547">
      <c r="A547" t="n">
        <v>546</v>
      </c>
      <c r="B547" t="inlineStr">
        <is>
          <t>Produto</t>
        </is>
      </c>
      <c r="C547" s="121" t="inlineStr">
        <is>
          <t>Colchonete de exercício ergonômico vermelho</t>
        </is>
      </c>
      <c r="D547" s="109" t="n">
        <v>42.67</v>
      </c>
      <c r="E547" s="123" t="n">
        <v>50</v>
      </c>
      <c r="F547" s="109">
        <f>ROUND(D547*(1+(E547/100)),2)</f>
        <v/>
      </c>
      <c r="G547" t="n">
        <v>15</v>
      </c>
      <c r="H547" t="n">
        <v>5</v>
      </c>
    </row>
    <row r="548">
      <c r="A548" t="n">
        <v>547</v>
      </c>
      <c r="B548" t="inlineStr">
        <is>
          <t>Produto</t>
        </is>
      </c>
      <c r="C548" s="121" t="inlineStr">
        <is>
          <t>Bloco para yoga resistente rosa</t>
        </is>
      </c>
      <c r="D548" s="109" t="n">
        <v>24.89</v>
      </c>
      <c r="E548" s="123" t="n">
        <v>50</v>
      </c>
      <c r="F548" s="109">
        <f>ROUND(D548*(1+(E548/100)),2)</f>
        <v/>
      </c>
      <c r="G548" t="n">
        <v>15</v>
      </c>
      <c r="H548" t="n">
        <v>5</v>
      </c>
    </row>
    <row r="549">
      <c r="A549" t="n">
        <v>548</v>
      </c>
      <c r="B549" t="inlineStr">
        <is>
          <t>Produto</t>
        </is>
      </c>
      <c r="C549" s="121" t="inlineStr">
        <is>
          <t>Óculos esportivos com ajuste rosa</t>
        </is>
      </c>
      <c r="D549" s="109" t="n">
        <v>90.17</v>
      </c>
      <c r="E549" s="123" t="n">
        <v>50</v>
      </c>
      <c r="F549" s="109">
        <f>ROUND(D549*(1+(E549/100)),2)</f>
        <v/>
      </c>
      <c r="G549" t="n">
        <v>15</v>
      </c>
      <c r="H549" t="n">
        <v>5</v>
      </c>
    </row>
    <row r="550">
      <c r="A550" t="n">
        <v>549</v>
      </c>
      <c r="B550" t="inlineStr">
        <is>
          <t>Produto</t>
        </is>
      </c>
      <c r="C550" s="121" t="inlineStr">
        <is>
          <t>Protetor bucal compacto cinza</t>
        </is>
      </c>
      <c r="D550" s="109" t="n">
        <v>10.61</v>
      </c>
      <c r="E550" s="123" t="n">
        <v>50</v>
      </c>
      <c r="F550" s="109">
        <f>ROUND(D550*(1+(E550/100)),2)</f>
        <v/>
      </c>
      <c r="G550" t="n">
        <v>15</v>
      </c>
      <c r="H550" t="n">
        <v>5</v>
      </c>
    </row>
    <row r="551">
      <c r="A551" t="n">
        <v>550</v>
      </c>
      <c r="B551" t="inlineStr">
        <is>
          <t>Produto</t>
        </is>
      </c>
      <c r="C551" s="121" t="inlineStr">
        <is>
          <t>Jaqueta esportiva iniciante vermelho tam. 40</t>
        </is>
      </c>
      <c r="D551" s="109" t="n">
        <v>193.09</v>
      </c>
      <c r="E551" s="123" t="n">
        <v>50</v>
      </c>
      <c r="F551" s="109">
        <f>ROUND(D551*(1+(E551/100)),2)</f>
        <v/>
      </c>
      <c r="G551" t="n">
        <v>15</v>
      </c>
      <c r="H551" t="n">
        <v>5</v>
      </c>
    </row>
    <row r="552">
      <c r="A552" t="n">
        <v>551</v>
      </c>
      <c r="B552" t="inlineStr">
        <is>
          <t>Produto</t>
        </is>
      </c>
      <c r="C552" s="121" t="inlineStr">
        <is>
          <t>Banco de musculação ventilado azul</t>
        </is>
      </c>
      <c r="D552" s="109" t="n">
        <v>935.92</v>
      </c>
      <c r="E552" s="123" t="n">
        <v>50</v>
      </c>
      <c r="F552" s="109">
        <f>ROUND(D552*(1+(E552/100)),2)</f>
        <v/>
      </c>
      <c r="G552" t="n">
        <v>15</v>
      </c>
      <c r="H552" t="n">
        <v>5</v>
      </c>
    </row>
    <row r="553">
      <c r="A553" t="n">
        <v>552</v>
      </c>
      <c r="B553" t="inlineStr">
        <is>
          <t>Produto</t>
        </is>
      </c>
      <c r="C553" s="121" t="inlineStr">
        <is>
          <t>Bolsa de academia modelo avançado preto</t>
        </is>
      </c>
      <c r="D553" s="109" t="n">
        <v>143.94</v>
      </c>
      <c r="E553" s="123" t="n">
        <v>50</v>
      </c>
      <c r="F553" s="109">
        <f>ROUND(D553*(1+(E553/100)),2)</f>
        <v/>
      </c>
      <c r="G553" t="n">
        <v>15</v>
      </c>
      <c r="H553" t="n">
        <v>5</v>
      </c>
    </row>
    <row r="554">
      <c r="A554" t="n">
        <v>553</v>
      </c>
      <c r="B554" t="inlineStr">
        <is>
          <t>Produto</t>
        </is>
      </c>
      <c r="C554" s="121" t="inlineStr">
        <is>
          <t>Bicicleta urbana reforçado laranja</t>
        </is>
      </c>
      <c r="D554" s="109" t="n">
        <v>860.9299999999999</v>
      </c>
      <c r="E554" s="123" t="n">
        <v>50</v>
      </c>
      <c r="F554" s="109">
        <f>ROUND(D554*(1+(E554/100)),2)</f>
        <v/>
      </c>
      <c r="G554" t="n">
        <v>15</v>
      </c>
      <c r="H554" t="n">
        <v>5</v>
      </c>
    </row>
    <row r="555">
      <c r="A555" t="n">
        <v>554</v>
      </c>
      <c r="B555" t="inlineStr">
        <is>
          <t>Produto</t>
        </is>
      </c>
      <c r="C555" s="121" t="inlineStr">
        <is>
          <t>Óculos de natação iniciante preto</t>
        </is>
      </c>
      <c r="D555" s="109" t="n">
        <v>74</v>
      </c>
      <c r="E555" s="123" t="n">
        <v>50</v>
      </c>
      <c r="F555" s="109">
        <f>ROUND(D555*(1+(E555/100)),2)</f>
        <v/>
      </c>
      <c r="G555" t="n">
        <v>15</v>
      </c>
      <c r="H555" t="n">
        <v>5</v>
      </c>
    </row>
    <row r="556">
      <c r="A556" t="n">
        <v>555</v>
      </c>
      <c r="B556" t="inlineStr">
        <is>
          <t>Produto</t>
        </is>
      </c>
      <c r="C556" s="121" t="inlineStr">
        <is>
          <t>Colchonete de exercício com ajuste azul</t>
        </is>
      </c>
      <c r="D556" s="109" t="n">
        <v>98.40000000000001</v>
      </c>
      <c r="E556" s="123" t="n">
        <v>50</v>
      </c>
      <c r="F556" s="109">
        <f>ROUND(D556*(1+(E556/100)),2)</f>
        <v/>
      </c>
      <c r="G556" t="n">
        <v>15</v>
      </c>
      <c r="H556" t="n">
        <v>5</v>
      </c>
    </row>
    <row r="557">
      <c r="A557" t="n">
        <v>556</v>
      </c>
      <c r="B557" t="inlineStr">
        <is>
          <t>Produto</t>
        </is>
      </c>
      <c r="C557" s="121" t="inlineStr">
        <is>
          <t>Meias esportivas unissex branco tam. 44</t>
        </is>
      </c>
      <c r="D557" s="109" t="n">
        <v>28.72</v>
      </c>
      <c r="E557" s="123" t="n">
        <v>50</v>
      </c>
      <c r="F557" s="109">
        <f>ROUND(D557*(1+(E557/100)),2)</f>
        <v/>
      </c>
      <c r="G557" t="n">
        <v>15</v>
      </c>
      <c r="H557" t="n">
        <v>5</v>
      </c>
    </row>
    <row r="558">
      <c r="A558" t="n">
        <v>557</v>
      </c>
      <c r="B558" t="inlineStr">
        <is>
          <t>Produto</t>
        </is>
      </c>
      <c r="C558" s="121" t="inlineStr">
        <is>
          <t>Camiseta esportiva recreativo verde tam. GG</t>
        </is>
      </c>
      <c r="D558" s="109" t="n">
        <v>100.09</v>
      </c>
      <c r="E558" s="123" t="n">
        <v>50</v>
      </c>
      <c r="F558" s="109">
        <f>ROUND(D558*(1+(E558/100)),2)</f>
        <v/>
      </c>
      <c r="G558" t="n">
        <v>15</v>
      </c>
      <c r="H558" t="n">
        <v>5</v>
      </c>
    </row>
    <row r="559">
      <c r="A559" t="n">
        <v>558</v>
      </c>
      <c r="B559" t="inlineStr">
        <is>
          <t>Produto</t>
        </is>
      </c>
      <c r="C559" s="121" t="inlineStr">
        <is>
          <t>Protetor bucal ventilado cinza</t>
        </is>
      </c>
      <c r="D559" s="109" t="n">
        <v>39.38</v>
      </c>
      <c r="E559" s="123" t="n">
        <v>50</v>
      </c>
      <c r="F559" s="109">
        <f>ROUND(D559*(1+(E559/100)),2)</f>
        <v/>
      </c>
      <c r="G559" t="n">
        <v>15</v>
      </c>
      <c r="H559" t="n">
        <v>5</v>
      </c>
    </row>
    <row r="560">
      <c r="A560" t="n">
        <v>559</v>
      </c>
      <c r="B560" t="inlineStr">
        <is>
          <t>Produto</t>
        </is>
      </c>
      <c r="C560" s="121" t="inlineStr">
        <is>
          <t>Camiseta esportiva iniciante cinza tam. 44</t>
        </is>
      </c>
      <c r="D560" s="109" t="n">
        <v>45.21</v>
      </c>
      <c r="E560" s="123" t="n">
        <v>50</v>
      </c>
      <c r="F560" s="109">
        <f>ROUND(D560*(1+(E560/100)),2)</f>
        <v/>
      </c>
      <c r="G560" t="n">
        <v>15</v>
      </c>
      <c r="H560" t="n">
        <v>5</v>
      </c>
    </row>
    <row r="561">
      <c r="A561" t="n">
        <v>560</v>
      </c>
      <c r="B561" t="inlineStr">
        <is>
          <t>Produto</t>
        </is>
      </c>
      <c r="C561" s="121" t="inlineStr">
        <is>
          <t>Relógio esportivo recreativo laranja</t>
        </is>
      </c>
      <c r="D561" s="109" t="n">
        <v>1382.96</v>
      </c>
      <c r="E561" s="123" t="n">
        <v>50</v>
      </c>
      <c r="F561" s="109">
        <f>ROUND(D561*(1+(E561/100)),2)</f>
        <v/>
      </c>
      <c r="G561" t="n">
        <v>15</v>
      </c>
      <c r="H561" t="n">
        <v>5</v>
      </c>
    </row>
    <row r="562">
      <c r="A562" t="n">
        <v>561</v>
      </c>
      <c r="B562" t="inlineStr">
        <is>
          <t>Produto</t>
        </is>
      </c>
      <c r="C562" s="121" t="inlineStr">
        <is>
          <t>Bolsa de academia recreativo verde</t>
        </is>
      </c>
      <c r="D562" s="109" t="n">
        <v>51.88</v>
      </c>
      <c r="E562" s="123" t="n">
        <v>50</v>
      </c>
      <c r="F562" s="109">
        <f>ROUND(D562*(1+(E562/100)),2)</f>
        <v/>
      </c>
      <c r="G562" t="n">
        <v>15</v>
      </c>
      <c r="H562" t="n">
        <v>5</v>
      </c>
    </row>
    <row r="563">
      <c r="A563" t="n">
        <v>562</v>
      </c>
      <c r="B563" t="inlineStr">
        <is>
          <t>Produto</t>
        </is>
      </c>
      <c r="C563" s="121" t="inlineStr">
        <is>
          <t>Halter para uso diário rosa</t>
        </is>
      </c>
      <c r="D563" s="109" t="n">
        <v>31.56</v>
      </c>
      <c r="E563" s="123" t="n">
        <v>50</v>
      </c>
      <c r="F563" s="109">
        <f>ROUND(D563*(1+(E563/100)),2)</f>
        <v/>
      </c>
      <c r="G563" t="n">
        <v>15</v>
      </c>
      <c r="H563" t="n">
        <v>5</v>
      </c>
    </row>
    <row r="564">
      <c r="A564" t="n">
        <v>563</v>
      </c>
      <c r="B564" t="inlineStr">
        <is>
          <t>Produto</t>
        </is>
      </c>
      <c r="C564" s="121" t="inlineStr">
        <is>
          <t>Touca de natação alta performance laranja tam. 40</t>
        </is>
      </c>
      <c r="D564" s="109" t="n">
        <v>12.79</v>
      </c>
      <c r="E564" s="123" t="n">
        <v>50</v>
      </c>
      <c r="F564" s="109">
        <f>ROUND(D564*(1+(E564/100)),2)</f>
        <v/>
      </c>
      <c r="G564" t="n">
        <v>15</v>
      </c>
      <c r="H564" t="n">
        <v>5</v>
      </c>
    </row>
    <row r="565">
      <c r="A565" t="n">
        <v>564</v>
      </c>
      <c r="B565" t="inlineStr">
        <is>
          <t>Produto</t>
        </is>
      </c>
      <c r="C565" s="121" t="inlineStr">
        <is>
          <t>Banco de musculação para uso diário cinza</t>
        </is>
      </c>
      <c r="D565" s="109" t="n">
        <v>1096.95</v>
      </c>
      <c r="E565" s="123" t="n">
        <v>50</v>
      </c>
      <c r="F565" s="109">
        <f>ROUND(D565*(1+(E565/100)),2)</f>
        <v/>
      </c>
      <c r="G565" t="n">
        <v>15</v>
      </c>
      <c r="H565" t="n">
        <v>5</v>
      </c>
    </row>
    <row r="566">
      <c r="A566" t="n">
        <v>565</v>
      </c>
      <c r="B566" t="inlineStr">
        <is>
          <t>Produto</t>
        </is>
      </c>
      <c r="C566" s="121" t="inlineStr">
        <is>
          <t>Tapete de yoga ergonômico branco</t>
        </is>
      </c>
      <c r="D566" s="109" t="n">
        <v>114.73</v>
      </c>
      <c r="E566" s="123" t="n">
        <v>50</v>
      </c>
      <c r="F566" s="109">
        <f>ROUND(D566*(1+(E566/100)),2)</f>
        <v/>
      </c>
      <c r="G566" t="n">
        <v>15</v>
      </c>
      <c r="H566" t="n">
        <v>5</v>
      </c>
    </row>
    <row r="567">
      <c r="A567" t="n">
        <v>566</v>
      </c>
      <c r="B567" t="inlineStr">
        <is>
          <t>Produto</t>
        </is>
      </c>
      <c r="C567" s="121" t="inlineStr">
        <is>
          <t>Banco de musculação com ajuste branco</t>
        </is>
      </c>
      <c r="D567" s="109" t="n">
        <v>1302.08</v>
      </c>
      <c r="E567" s="123" t="n">
        <v>50</v>
      </c>
      <c r="F567" s="109">
        <f>ROUND(D567*(1+(E567/100)),2)</f>
        <v/>
      </c>
      <c r="G567" t="n">
        <v>15</v>
      </c>
      <c r="H567" t="n">
        <v>5</v>
      </c>
    </row>
    <row r="568">
      <c r="A568" t="n">
        <v>567</v>
      </c>
      <c r="B568" t="inlineStr">
        <is>
          <t>Produto</t>
        </is>
      </c>
      <c r="C568" s="121" t="inlineStr">
        <is>
          <t>Caneleira de futebol reforçado laranja</t>
        </is>
      </c>
      <c r="D568" s="109" t="n">
        <v>76.28</v>
      </c>
      <c r="E568" s="123" t="n">
        <v>50</v>
      </c>
      <c r="F568" s="109">
        <f>ROUND(D568*(1+(E568/100)),2)</f>
        <v/>
      </c>
      <c r="G568" t="n">
        <v>15</v>
      </c>
      <c r="H568" t="n">
        <v>5</v>
      </c>
    </row>
    <row r="569">
      <c r="A569" t="n">
        <v>568</v>
      </c>
      <c r="B569" t="inlineStr">
        <is>
          <t>Produto</t>
        </is>
      </c>
      <c r="C569" s="121" t="inlineStr">
        <is>
          <t>Óculos esportivos modelo básico cinza</t>
        </is>
      </c>
      <c r="D569" s="109" t="n">
        <v>157.69</v>
      </c>
      <c r="E569" s="123" t="n">
        <v>50</v>
      </c>
      <c r="F569" s="109">
        <f>ROUND(D569*(1+(E569/100)),2)</f>
        <v/>
      </c>
      <c r="G569" t="n">
        <v>15</v>
      </c>
      <c r="H569" t="n">
        <v>5</v>
      </c>
    </row>
    <row r="570">
      <c r="A570" t="n">
        <v>569</v>
      </c>
      <c r="B570" t="inlineStr">
        <is>
          <t>Produto</t>
        </is>
      </c>
      <c r="C570" s="121" t="inlineStr">
        <is>
          <t>Protetor bucal unissex rosa</t>
        </is>
      </c>
      <c r="D570" s="109" t="n">
        <v>49.15</v>
      </c>
      <c r="E570" s="123" t="n">
        <v>50</v>
      </c>
      <c r="F570" s="109">
        <f>ROUND(D570*(1+(E570/100)),2)</f>
        <v/>
      </c>
      <c r="G570" t="n">
        <v>15</v>
      </c>
      <c r="H570" t="n">
        <v>5</v>
      </c>
    </row>
    <row r="571">
      <c r="A571" t="n">
        <v>570</v>
      </c>
      <c r="B571" t="inlineStr">
        <is>
          <t>Produto</t>
        </is>
      </c>
      <c r="C571" s="121" t="inlineStr">
        <is>
          <t>Nadadeira juvenil azul</t>
        </is>
      </c>
      <c r="D571" s="109" t="n">
        <v>121.63</v>
      </c>
      <c r="E571" s="123" t="n">
        <v>50</v>
      </c>
      <c r="F571" s="109">
        <f>ROUND(D571*(1+(E571/100)),2)</f>
        <v/>
      </c>
      <c r="G571" t="n">
        <v>15</v>
      </c>
      <c r="H571" t="n">
        <v>5</v>
      </c>
    </row>
    <row r="572">
      <c r="A572" t="n">
        <v>571</v>
      </c>
      <c r="B572" t="inlineStr">
        <is>
          <t>Produto</t>
        </is>
      </c>
      <c r="C572" s="121" t="inlineStr">
        <is>
          <t>Capacete de ciclismo treino vermelho</t>
        </is>
      </c>
      <c r="D572" s="109" t="n">
        <v>185.62</v>
      </c>
      <c r="E572" s="123" t="n">
        <v>50</v>
      </c>
      <c r="F572" s="109">
        <f>ROUND(D572*(1+(E572/100)),2)</f>
        <v/>
      </c>
      <c r="G572" t="n">
        <v>15</v>
      </c>
      <c r="H572" t="n">
        <v>5</v>
      </c>
    </row>
    <row r="573">
      <c r="A573" t="n">
        <v>572</v>
      </c>
      <c r="B573" t="inlineStr">
        <is>
          <t>Produto</t>
        </is>
      </c>
      <c r="C573" s="121" t="inlineStr">
        <is>
          <t>Bola de futebol reforçado vermelho</t>
        </is>
      </c>
      <c r="D573" s="109" t="n">
        <v>162.26</v>
      </c>
      <c r="E573" s="123" t="n">
        <v>50</v>
      </c>
      <c r="F573" s="109">
        <f>ROUND(D573*(1+(E573/100)),2)</f>
        <v/>
      </c>
      <c r="G573" t="n">
        <v>15</v>
      </c>
      <c r="H573" t="n">
        <v>5</v>
      </c>
    </row>
    <row r="574">
      <c r="A574" t="n">
        <v>573</v>
      </c>
      <c r="B574" t="inlineStr">
        <is>
          <t>Produto</t>
        </is>
      </c>
      <c r="C574" s="121" t="inlineStr">
        <is>
          <t>Coqueteleira premium azul</t>
        </is>
      </c>
      <c r="D574" s="109" t="n">
        <v>39.43</v>
      </c>
      <c r="E574" s="123" t="n">
        <v>50</v>
      </c>
      <c r="F574" s="109">
        <f>ROUND(D574*(1+(E574/100)),2)</f>
        <v/>
      </c>
      <c r="G574" t="n">
        <v>15</v>
      </c>
      <c r="H574" t="n">
        <v>5</v>
      </c>
    </row>
    <row r="575">
      <c r="A575" t="n">
        <v>574</v>
      </c>
      <c r="B575" t="inlineStr">
        <is>
          <t>Produto</t>
        </is>
      </c>
      <c r="C575" s="121" t="inlineStr">
        <is>
          <t>Mochila esportiva modelo avançado vermelho</t>
        </is>
      </c>
      <c r="D575" s="109" t="n">
        <v>46.51</v>
      </c>
      <c r="E575" s="123" t="n">
        <v>50</v>
      </c>
      <c r="F575" s="109">
        <f>ROUND(D575*(1+(E575/100)),2)</f>
        <v/>
      </c>
      <c r="G575" t="n">
        <v>15</v>
      </c>
      <c r="H575" t="n">
        <v>5</v>
      </c>
    </row>
    <row r="576">
      <c r="A576" t="n">
        <v>575</v>
      </c>
      <c r="B576" t="inlineStr">
        <is>
          <t>Produto</t>
        </is>
      </c>
      <c r="C576" s="121" t="inlineStr">
        <is>
          <t>Touca de natação compacto laranja tam. M</t>
        </is>
      </c>
      <c r="D576" s="109" t="n">
        <v>44.83</v>
      </c>
      <c r="E576" s="123" t="n">
        <v>50</v>
      </c>
      <c r="F576" s="109">
        <f>ROUND(D576*(1+(E576/100)),2)</f>
        <v/>
      </c>
      <c r="G576" t="n">
        <v>15</v>
      </c>
      <c r="H576" t="n">
        <v>5</v>
      </c>
    </row>
    <row r="577">
      <c r="A577" t="n">
        <v>576</v>
      </c>
      <c r="B577" t="inlineStr">
        <is>
          <t>Produto</t>
        </is>
      </c>
      <c r="C577" s="121" t="inlineStr">
        <is>
          <t>Bola de futebol ergonômico azul</t>
        </is>
      </c>
      <c r="D577" s="109" t="n">
        <v>49.84</v>
      </c>
      <c r="E577" s="123" t="n">
        <v>50</v>
      </c>
      <c r="F577" s="109">
        <f>ROUND(D577*(1+(E577/100)),2)</f>
        <v/>
      </c>
      <c r="G577" t="n">
        <v>15</v>
      </c>
      <c r="H577" t="n">
        <v>5</v>
      </c>
    </row>
    <row r="578">
      <c r="A578" t="n">
        <v>577</v>
      </c>
      <c r="B578" t="inlineStr">
        <is>
          <t>Produto</t>
        </is>
      </c>
      <c r="C578" s="121" t="inlineStr">
        <is>
          <t>Jaqueta esportiva com ajuste preto tam. P</t>
        </is>
      </c>
      <c r="D578" s="109" t="n">
        <v>225.05</v>
      </c>
      <c r="E578" s="123" t="n">
        <v>50</v>
      </c>
      <c r="F578" s="109">
        <f>ROUND(D578*(1+(E578/100)),2)</f>
        <v/>
      </c>
      <c r="G578" t="n">
        <v>15</v>
      </c>
      <c r="H578" t="n">
        <v>5</v>
      </c>
    </row>
    <row r="579">
      <c r="A579" t="n">
        <v>578</v>
      </c>
      <c r="B579" t="inlineStr">
        <is>
          <t>Produto</t>
        </is>
      </c>
      <c r="C579" s="121" t="inlineStr">
        <is>
          <t>Tênis para quadra recreativo rosa tam. M</t>
        </is>
      </c>
      <c r="D579" s="109" t="n">
        <v>169.97</v>
      </c>
      <c r="E579" s="123" t="n">
        <v>50</v>
      </c>
      <c r="F579" s="109">
        <f>ROUND(D579*(1+(E579/100)),2)</f>
        <v/>
      </c>
      <c r="G579" t="n">
        <v>15</v>
      </c>
      <c r="H579" t="n">
        <v>5</v>
      </c>
    </row>
    <row r="580">
      <c r="A580" t="n">
        <v>579</v>
      </c>
      <c r="B580" t="inlineStr">
        <is>
          <t>Produto</t>
        </is>
      </c>
      <c r="C580" s="121" t="inlineStr">
        <is>
          <t>Raquete de badminton treino branco</t>
        </is>
      </c>
      <c r="D580" s="109" t="n">
        <v>107.13</v>
      </c>
      <c r="E580" s="123" t="n">
        <v>50</v>
      </c>
      <c r="F580" s="109">
        <f>ROUND(D580*(1+(E580/100)),2)</f>
        <v/>
      </c>
      <c r="G580" t="n">
        <v>15</v>
      </c>
      <c r="H580" t="n">
        <v>5</v>
      </c>
    </row>
    <row r="581">
      <c r="A581" t="n">
        <v>580</v>
      </c>
      <c r="B581" t="inlineStr">
        <is>
          <t>Produto</t>
        </is>
      </c>
      <c r="C581" s="121" t="inlineStr">
        <is>
          <t>Coqueteleira para uso diário vermelho</t>
        </is>
      </c>
      <c r="D581" s="109" t="n">
        <v>38.89</v>
      </c>
      <c r="E581" s="123" t="n">
        <v>50</v>
      </c>
      <c r="F581" s="109">
        <f>ROUND(D581*(1+(E581/100)),2)</f>
        <v/>
      </c>
      <c r="G581" t="n">
        <v>15</v>
      </c>
      <c r="H581" t="n">
        <v>5</v>
      </c>
    </row>
    <row r="582">
      <c r="A582" t="n">
        <v>581</v>
      </c>
      <c r="B582" t="inlineStr">
        <is>
          <t>Produto</t>
        </is>
      </c>
      <c r="C582" s="121" t="inlineStr">
        <is>
          <t>Nadadeira profissional preto</t>
        </is>
      </c>
      <c r="D582" s="109" t="n">
        <v>119.15</v>
      </c>
      <c r="E582" s="123" t="n">
        <v>50</v>
      </c>
      <c r="F582" s="109">
        <f>ROUND(D582*(1+(E582/100)),2)</f>
        <v/>
      </c>
      <c r="G582" t="n">
        <v>15</v>
      </c>
      <c r="H582" t="n">
        <v>5</v>
      </c>
    </row>
    <row r="583">
      <c r="A583" t="n">
        <v>582</v>
      </c>
      <c r="B583" t="inlineStr">
        <is>
          <t>Produto</t>
        </is>
      </c>
      <c r="C583" s="121" t="inlineStr">
        <is>
          <t>Camiseta esportiva modelo avançado verde tam. G</t>
        </is>
      </c>
      <c r="D583" s="109" t="n">
        <v>111.77</v>
      </c>
      <c r="E583" s="123" t="n">
        <v>50</v>
      </c>
      <c r="F583" s="109">
        <f>ROUND(D583*(1+(E583/100)),2)</f>
        <v/>
      </c>
      <c r="G583" t="n">
        <v>15</v>
      </c>
      <c r="H583" t="n">
        <v>5</v>
      </c>
    </row>
    <row r="584">
      <c r="A584" t="n">
        <v>583</v>
      </c>
      <c r="B584" t="inlineStr">
        <is>
          <t>Produto</t>
        </is>
      </c>
      <c r="C584" s="121" t="inlineStr">
        <is>
          <t>Kimono de judô reforçado azul tam. M</t>
        </is>
      </c>
      <c r="D584" s="109" t="n">
        <v>101.95</v>
      </c>
      <c r="E584" s="123" t="n">
        <v>50</v>
      </c>
      <c r="F584" s="109">
        <f>ROUND(D584*(1+(E584/100)),2)</f>
        <v/>
      </c>
      <c r="G584" t="n">
        <v>15</v>
      </c>
      <c r="H584" t="n">
        <v>5</v>
      </c>
    </row>
    <row r="585">
      <c r="A585" t="n">
        <v>584</v>
      </c>
      <c r="B585" t="inlineStr">
        <is>
          <t>Produto</t>
        </is>
      </c>
      <c r="C585" s="121" t="inlineStr">
        <is>
          <t>Tênis para quadra para uso diário branco tam. 38</t>
        </is>
      </c>
      <c r="D585" s="109" t="n">
        <v>204.37</v>
      </c>
      <c r="E585" s="123" t="n">
        <v>50</v>
      </c>
      <c r="F585" s="109">
        <f>ROUND(D585*(1+(E585/100)),2)</f>
        <v/>
      </c>
      <c r="G585" t="n">
        <v>15</v>
      </c>
      <c r="H585" t="n">
        <v>5</v>
      </c>
    </row>
    <row r="586">
      <c r="A586" t="n">
        <v>585</v>
      </c>
      <c r="B586" t="inlineStr">
        <is>
          <t>Produto</t>
        </is>
      </c>
      <c r="C586" s="121" t="inlineStr">
        <is>
          <t>Chuteira de campo premium azul tam. GG</t>
        </is>
      </c>
      <c r="D586" s="109" t="n">
        <v>330.93</v>
      </c>
      <c r="E586" s="123" t="n">
        <v>50</v>
      </c>
      <c r="F586" s="109">
        <f>ROUND(D586*(1+(E586/100)),2)</f>
        <v/>
      </c>
      <c r="G586" t="n">
        <v>15</v>
      </c>
      <c r="H586" t="n">
        <v>5</v>
      </c>
    </row>
    <row r="587">
      <c r="A587" t="n">
        <v>586</v>
      </c>
      <c r="B587" t="inlineStr">
        <is>
          <t>Produto</t>
        </is>
      </c>
      <c r="C587" s="121" t="inlineStr">
        <is>
          <t>Saco de pancadas iniciante preto</t>
        </is>
      </c>
      <c r="D587" s="109" t="n">
        <v>679.55</v>
      </c>
      <c r="E587" s="123" t="n">
        <v>50</v>
      </c>
      <c r="F587" s="109">
        <f>ROUND(D587*(1+(E587/100)),2)</f>
        <v/>
      </c>
      <c r="G587" t="n">
        <v>15</v>
      </c>
      <c r="H587" t="n">
        <v>5</v>
      </c>
    </row>
    <row r="588">
      <c r="A588" t="n">
        <v>587</v>
      </c>
      <c r="B588" t="inlineStr">
        <is>
          <t>Produto</t>
        </is>
      </c>
      <c r="C588" s="121" t="inlineStr">
        <is>
          <t>Prancha de natação reforçado verde</t>
        </is>
      </c>
      <c r="D588" s="109" t="n">
        <v>85.25</v>
      </c>
      <c r="E588" s="123" t="n">
        <v>50</v>
      </c>
      <c r="F588" s="109">
        <f>ROUND(D588*(1+(E588/100)),2)</f>
        <v/>
      </c>
      <c r="G588" t="n">
        <v>15</v>
      </c>
      <c r="H588" t="n">
        <v>5</v>
      </c>
    </row>
    <row r="589">
      <c r="A589" t="n">
        <v>588</v>
      </c>
      <c r="B589" t="inlineStr">
        <is>
          <t>Produto</t>
        </is>
      </c>
      <c r="C589" s="121" t="inlineStr">
        <is>
          <t>Garrafa squeeze compacto rosa</t>
        </is>
      </c>
      <c r="D589" s="109" t="n">
        <v>28.62</v>
      </c>
      <c r="E589" s="123" t="n">
        <v>50</v>
      </c>
      <c r="F589" s="109">
        <f>ROUND(D589*(1+(E589/100)),2)</f>
        <v/>
      </c>
      <c r="G589" t="n">
        <v>15</v>
      </c>
      <c r="H589" t="n">
        <v>5</v>
      </c>
    </row>
    <row r="590">
      <c r="A590" t="n">
        <v>589</v>
      </c>
      <c r="B590" t="inlineStr">
        <is>
          <t>Produto</t>
        </is>
      </c>
      <c r="C590" s="121" t="inlineStr">
        <is>
          <t>Meias esportivas versão 2026 azul tam. 42</t>
        </is>
      </c>
      <c r="D590" s="109" t="n">
        <v>37.93</v>
      </c>
      <c r="E590" s="123" t="n">
        <v>50</v>
      </c>
      <c r="F590" s="109">
        <f>ROUND(D590*(1+(E590/100)),2)</f>
        <v/>
      </c>
      <c r="G590" t="n">
        <v>15</v>
      </c>
      <c r="H590" t="n">
        <v>5</v>
      </c>
    </row>
    <row r="591">
      <c r="A591" t="n">
        <v>590</v>
      </c>
      <c r="B591" t="inlineStr">
        <is>
          <t>Produto</t>
        </is>
      </c>
      <c r="C591" s="121" t="inlineStr">
        <is>
          <t>Bola de futebol modelo básico vermelho</t>
        </is>
      </c>
      <c r="D591" s="109" t="n">
        <v>87.97</v>
      </c>
      <c r="E591" s="123" t="n">
        <v>50</v>
      </c>
      <c r="F591" s="109">
        <f>ROUND(D591*(1+(E591/100)),2)</f>
        <v/>
      </c>
      <c r="G591" t="n">
        <v>15</v>
      </c>
      <c r="H591" t="n">
        <v>5</v>
      </c>
    </row>
    <row r="592">
      <c r="A592" t="n">
        <v>591</v>
      </c>
      <c r="B592" t="inlineStr">
        <is>
          <t>Produto</t>
        </is>
      </c>
      <c r="C592" s="121" t="inlineStr">
        <is>
          <t>Protetor bucal modelo avançado vermelho</t>
        </is>
      </c>
      <c r="D592" s="109" t="n">
        <v>47.84</v>
      </c>
      <c r="E592" s="123" t="n">
        <v>50</v>
      </c>
      <c r="F592" s="109">
        <f>ROUND(D592*(1+(E592/100)),2)</f>
        <v/>
      </c>
      <c r="G592" t="n">
        <v>15</v>
      </c>
      <c r="H592" t="n">
        <v>5</v>
      </c>
    </row>
    <row r="593">
      <c r="A593" t="n">
        <v>592</v>
      </c>
      <c r="B593" t="inlineStr">
        <is>
          <t>Produto</t>
        </is>
      </c>
      <c r="C593" s="121" t="inlineStr">
        <is>
          <t>Banco de musculação adulto azul</t>
        </is>
      </c>
      <c r="D593" s="109" t="n">
        <v>198.15</v>
      </c>
      <c r="E593" s="123" t="n">
        <v>50</v>
      </c>
      <c r="F593" s="109">
        <f>ROUND(D593*(1+(E593/100)),2)</f>
        <v/>
      </c>
      <c r="G593" t="n">
        <v>15</v>
      </c>
      <c r="H593" t="n">
        <v>5</v>
      </c>
    </row>
    <row r="594">
      <c r="A594" t="n">
        <v>593</v>
      </c>
      <c r="B594" t="inlineStr">
        <is>
          <t>Produto</t>
        </is>
      </c>
      <c r="C594" s="121" t="inlineStr">
        <is>
          <t>Calça legging juvenil laranja tam. 42</t>
        </is>
      </c>
      <c r="D594" s="109" t="n">
        <v>72.91</v>
      </c>
      <c r="E594" s="123" t="n">
        <v>50</v>
      </c>
      <c r="F594" s="109">
        <f>ROUND(D594*(1+(E594/100)),2)</f>
        <v/>
      </c>
      <c r="G594" t="n">
        <v>15</v>
      </c>
      <c r="H594" t="n">
        <v>5</v>
      </c>
    </row>
    <row r="595">
      <c r="A595" t="n">
        <v>594</v>
      </c>
      <c r="B595" t="inlineStr">
        <is>
          <t>Produto</t>
        </is>
      </c>
      <c r="C595" s="121" t="inlineStr">
        <is>
          <t>Patins alta performance laranja</t>
        </is>
      </c>
      <c r="D595" s="109" t="n">
        <v>583.13</v>
      </c>
      <c r="E595" s="123" t="n">
        <v>50</v>
      </c>
      <c r="F595" s="109">
        <f>ROUND(D595*(1+(E595/100)),2)</f>
        <v/>
      </c>
      <c r="G595" t="n">
        <v>15</v>
      </c>
      <c r="H595" t="n">
        <v>5</v>
      </c>
    </row>
    <row r="596">
      <c r="A596" t="n">
        <v>595</v>
      </c>
      <c r="B596" t="inlineStr">
        <is>
          <t>Produto</t>
        </is>
      </c>
      <c r="C596" s="121" t="inlineStr">
        <is>
          <t>Raquete de badminton ventilado vermelho</t>
        </is>
      </c>
      <c r="D596" s="109" t="n">
        <v>88.20999999999999</v>
      </c>
      <c r="E596" s="123" t="n">
        <v>50</v>
      </c>
      <c r="F596" s="109">
        <f>ROUND(D596*(1+(E596/100)),2)</f>
        <v/>
      </c>
      <c r="G596" t="n">
        <v>15</v>
      </c>
      <c r="H596" t="n">
        <v>5</v>
      </c>
    </row>
    <row r="597">
      <c r="A597" t="n">
        <v>596</v>
      </c>
      <c r="B597" t="inlineStr">
        <is>
          <t>Produto</t>
        </is>
      </c>
      <c r="C597" s="121" t="inlineStr">
        <is>
          <t>Coqueteleira resistente verde</t>
        </is>
      </c>
      <c r="D597" s="109" t="n">
        <v>52.86</v>
      </c>
      <c r="E597" s="123" t="n">
        <v>50</v>
      </c>
      <c r="F597" s="109">
        <f>ROUND(D597*(1+(E597/100)),2)</f>
        <v/>
      </c>
      <c r="G597" t="n">
        <v>15</v>
      </c>
      <c r="H597" t="n">
        <v>5</v>
      </c>
    </row>
    <row r="598">
      <c r="A598" t="n">
        <v>597</v>
      </c>
      <c r="B598" t="inlineStr">
        <is>
          <t>Produto</t>
        </is>
      </c>
      <c r="C598" s="121" t="inlineStr">
        <is>
          <t>Chuteira society modelo básico laranja tam. 44</t>
        </is>
      </c>
      <c r="D598" s="109" t="n">
        <v>288.29</v>
      </c>
      <c r="E598" s="123" t="n">
        <v>50</v>
      </c>
      <c r="F598" s="109">
        <f>ROUND(D598*(1+(E598/100)),2)</f>
        <v/>
      </c>
      <c r="G598" t="n">
        <v>15</v>
      </c>
      <c r="H598" t="n">
        <v>5</v>
      </c>
    </row>
    <row r="599">
      <c r="A599" t="n">
        <v>598</v>
      </c>
      <c r="B599" t="inlineStr">
        <is>
          <t>Produto</t>
        </is>
      </c>
      <c r="C599" s="121" t="inlineStr">
        <is>
          <t>Óculos de natação iniciante laranja</t>
        </is>
      </c>
      <c r="D599" s="109" t="n">
        <v>112.67</v>
      </c>
      <c r="E599" s="123" t="n">
        <v>50</v>
      </c>
      <c r="F599" s="109">
        <f>ROUND(D599*(1+(E599/100)),2)</f>
        <v/>
      </c>
      <c r="G599" t="n">
        <v>15</v>
      </c>
      <c r="H599" t="n">
        <v>5</v>
      </c>
    </row>
    <row r="600">
      <c r="A600" t="n">
        <v>599</v>
      </c>
      <c r="B600" t="inlineStr">
        <is>
          <t>Produto</t>
        </is>
      </c>
      <c r="C600" s="121" t="inlineStr">
        <is>
          <t>Meias esportivas compacto azul tam. 38</t>
        </is>
      </c>
      <c r="D600" s="109" t="n">
        <v>10.12</v>
      </c>
      <c r="E600" s="123" t="n">
        <v>50</v>
      </c>
      <c r="F600" s="109">
        <f>ROUND(D600*(1+(E600/100)),2)</f>
        <v/>
      </c>
      <c r="G600" t="n">
        <v>15</v>
      </c>
      <c r="H600" t="n">
        <v>5</v>
      </c>
    </row>
    <row r="601">
      <c r="A601" t="n">
        <v>600</v>
      </c>
      <c r="B601" t="inlineStr">
        <is>
          <t>Produto</t>
        </is>
      </c>
      <c r="C601" s="121" t="inlineStr">
        <is>
          <t>Kimono de judô juvenil cinza tam. G</t>
        </is>
      </c>
      <c r="D601" s="109" t="n">
        <v>95.77</v>
      </c>
      <c r="E601" s="123" t="n">
        <v>50</v>
      </c>
      <c r="F601" s="109">
        <f>ROUND(D601*(1+(E601/100)),2)</f>
        <v/>
      </c>
      <c r="G601" t="n">
        <v>15</v>
      </c>
      <c r="H601" t="n">
        <v>5</v>
      </c>
    </row>
    <row r="602">
      <c r="A602" t="n">
        <v>601</v>
      </c>
      <c r="B602" t="inlineStr">
        <is>
          <t>Produto</t>
        </is>
      </c>
      <c r="C602" s="121" t="inlineStr">
        <is>
          <t>Patins adulto vermelho</t>
        </is>
      </c>
      <c r="D602" s="109" t="n">
        <v>447.57</v>
      </c>
      <c r="E602" s="123" t="n">
        <v>50</v>
      </c>
      <c r="F602" s="109">
        <f>ROUND(D602*(1+(E602/100)),2)</f>
        <v/>
      </c>
      <c r="G602" t="n">
        <v>15</v>
      </c>
      <c r="H602" t="n">
        <v>5</v>
      </c>
    </row>
    <row r="603">
      <c r="A603" t="n">
        <v>602</v>
      </c>
      <c r="B603" t="inlineStr">
        <is>
          <t>Produto</t>
        </is>
      </c>
      <c r="C603" s="121" t="inlineStr">
        <is>
          <t>Colchonete de exercício resistente cinza</t>
        </is>
      </c>
      <c r="D603" s="109" t="n">
        <v>39.97</v>
      </c>
      <c r="E603" s="123" t="n">
        <v>50</v>
      </c>
      <c r="F603" s="109">
        <f>ROUND(D603*(1+(E603/100)),2)</f>
        <v/>
      </c>
      <c r="G603" t="n">
        <v>15</v>
      </c>
      <c r="H603" t="n">
        <v>5</v>
      </c>
    </row>
    <row r="604">
      <c r="A604" t="n">
        <v>603</v>
      </c>
      <c r="B604" t="inlineStr">
        <is>
          <t>Produto</t>
        </is>
      </c>
      <c r="C604" s="121" t="inlineStr">
        <is>
          <t>Chuteira de campo treino preto tam. 36</t>
        </is>
      </c>
      <c r="D604" s="109" t="n">
        <v>449.66</v>
      </c>
      <c r="E604" s="123" t="n">
        <v>50</v>
      </c>
      <c r="F604" s="109">
        <f>ROUND(D604*(1+(E604/100)),2)</f>
        <v/>
      </c>
      <c r="G604" t="n">
        <v>15</v>
      </c>
      <c r="H604" t="n">
        <v>5</v>
      </c>
    </row>
    <row r="605">
      <c r="A605" t="n">
        <v>604</v>
      </c>
      <c r="B605" t="inlineStr">
        <is>
          <t>Produto</t>
        </is>
      </c>
      <c r="C605" s="121" t="inlineStr">
        <is>
          <t>Bolsa de academia profissional cinza</t>
        </is>
      </c>
      <c r="D605" s="109" t="n">
        <v>136.79</v>
      </c>
      <c r="E605" s="123" t="n">
        <v>50</v>
      </c>
      <c r="F605" s="109">
        <f>ROUND(D605*(1+(E605/100)),2)</f>
        <v/>
      </c>
      <c r="G605" t="n">
        <v>15</v>
      </c>
      <c r="H605" t="n">
        <v>5</v>
      </c>
    </row>
    <row r="606">
      <c r="A606" t="n">
        <v>605</v>
      </c>
      <c r="B606" t="inlineStr">
        <is>
          <t>Produto</t>
        </is>
      </c>
      <c r="C606" s="121" t="inlineStr">
        <is>
          <t>Protetor bucal ergonômico rosa</t>
        </is>
      </c>
      <c r="D606" s="109" t="n">
        <v>34.99</v>
      </c>
      <c r="E606" s="123" t="n">
        <v>50</v>
      </c>
      <c r="F606" s="109">
        <f>ROUND(D606*(1+(E606/100)),2)</f>
        <v/>
      </c>
      <c r="G606" t="n">
        <v>15</v>
      </c>
      <c r="H606" t="n">
        <v>5</v>
      </c>
    </row>
    <row r="607">
      <c r="A607" t="n">
        <v>606</v>
      </c>
      <c r="B607" t="inlineStr">
        <is>
          <t>Produto</t>
        </is>
      </c>
      <c r="C607" s="121" t="inlineStr">
        <is>
          <t>Raquete de tênis unissex vermelho tam. 36</t>
        </is>
      </c>
      <c r="D607" s="109" t="n">
        <v>130.39</v>
      </c>
      <c r="E607" s="123" t="n">
        <v>50</v>
      </c>
      <c r="F607" s="109">
        <f>ROUND(D607*(1+(E607/100)),2)</f>
        <v/>
      </c>
      <c r="G607" t="n">
        <v>15</v>
      </c>
      <c r="H607" t="n">
        <v>5</v>
      </c>
    </row>
    <row r="608">
      <c r="A608" t="n">
        <v>607</v>
      </c>
      <c r="B608" t="inlineStr">
        <is>
          <t>Produto</t>
        </is>
      </c>
      <c r="C608" s="121" t="inlineStr">
        <is>
          <t>Banco de musculação unissex azul</t>
        </is>
      </c>
      <c r="D608" s="109" t="n">
        <v>481.43</v>
      </c>
      <c r="E608" s="123" t="n">
        <v>50</v>
      </c>
      <c r="F608" s="109">
        <f>ROUND(D608*(1+(E608/100)),2)</f>
        <v/>
      </c>
      <c r="G608" t="n">
        <v>15</v>
      </c>
      <c r="H608" t="n">
        <v>5</v>
      </c>
    </row>
    <row r="609">
      <c r="A609" t="n">
        <v>608</v>
      </c>
      <c r="B609" t="inlineStr">
        <is>
          <t>Produto</t>
        </is>
      </c>
      <c r="C609" s="121" t="inlineStr">
        <is>
          <t>Relógio esportivo juvenil preto</t>
        </is>
      </c>
      <c r="D609" s="109" t="n">
        <v>412.09</v>
      </c>
      <c r="E609" s="123" t="n">
        <v>50</v>
      </c>
      <c r="F609" s="109">
        <f>ROUND(D609*(1+(E609/100)),2)</f>
        <v/>
      </c>
      <c r="G609" t="n">
        <v>15</v>
      </c>
      <c r="H609" t="n">
        <v>5</v>
      </c>
    </row>
    <row r="610">
      <c r="A610" t="n">
        <v>609</v>
      </c>
      <c r="B610" t="inlineStr">
        <is>
          <t>Produto</t>
        </is>
      </c>
      <c r="C610" s="121" t="inlineStr">
        <is>
          <t>Luva de ciclismo para uso diário vermelho tam. G</t>
        </is>
      </c>
      <c r="D610" s="109" t="n">
        <v>112.92</v>
      </c>
      <c r="E610" s="123" t="n">
        <v>50</v>
      </c>
      <c r="F610" s="109">
        <f>ROUND(D610*(1+(E610/100)),2)</f>
        <v/>
      </c>
      <c r="G610" t="n">
        <v>15</v>
      </c>
      <c r="H610" t="n">
        <v>5</v>
      </c>
    </row>
    <row r="611">
      <c r="A611" t="n">
        <v>610</v>
      </c>
      <c r="B611" t="inlineStr">
        <is>
          <t>Produto</t>
        </is>
      </c>
      <c r="C611" s="121" t="inlineStr">
        <is>
          <t>Bola de vôlei alta performance verde</t>
        </is>
      </c>
      <c r="D611" s="109" t="n">
        <v>50.97</v>
      </c>
      <c r="E611" s="123" t="n">
        <v>50</v>
      </c>
      <c r="F611" s="109">
        <f>ROUND(D611*(1+(E611/100)),2)</f>
        <v/>
      </c>
      <c r="G611" t="n">
        <v>15</v>
      </c>
      <c r="H611" t="n">
        <v>5</v>
      </c>
    </row>
    <row r="612">
      <c r="A612" t="n">
        <v>611</v>
      </c>
      <c r="B612" t="inlineStr">
        <is>
          <t>Produto</t>
        </is>
      </c>
      <c r="C612" s="121" t="inlineStr">
        <is>
          <t>Corda de pular premium azul</t>
        </is>
      </c>
      <c r="D612" s="109" t="n">
        <v>55.24</v>
      </c>
      <c r="E612" s="123" t="n">
        <v>50</v>
      </c>
      <c r="F612" s="109">
        <f>ROUND(D612*(1+(E612/100)),2)</f>
        <v/>
      </c>
      <c r="G612" t="n">
        <v>15</v>
      </c>
      <c r="H612" t="n">
        <v>5</v>
      </c>
    </row>
    <row r="613">
      <c r="A613" t="n">
        <v>612</v>
      </c>
      <c r="B613" t="inlineStr">
        <is>
          <t>Produto</t>
        </is>
      </c>
      <c r="C613" s="121" t="inlineStr">
        <is>
          <t>Tênis para quadra juvenil vermelho tam. GG</t>
        </is>
      </c>
      <c r="D613" s="109" t="n">
        <v>401.29</v>
      </c>
      <c r="E613" s="123" t="n">
        <v>50</v>
      </c>
      <c r="F613" s="109">
        <f>ROUND(D613*(1+(E613/100)),2)</f>
        <v/>
      </c>
      <c r="G613" t="n">
        <v>15</v>
      </c>
      <c r="H613" t="n">
        <v>5</v>
      </c>
    </row>
    <row r="614">
      <c r="A614" t="n">
        <v>613</v>
      </c>
      <c r="B614" t="inlineStr">
        <is>
          <t>Produto</t>
        </is>
      </c>
      <c r="C614" s="121" t="inlineStr">
        <is>
          <t>Bola de vôlei profissional rosa</t>
        </is>
      </c>
      <c r="D614" s="109" t="n">
        <v>96.68000000000001</v>
      </c>
      <c r="E614" s="123" t="n">
        <v>50</v>
      </c>
      <c r="F614" s="109">
        <f>ROUND(D614*(1+(E614/100)),2)</f>
        <v/>
      </c>
      <c r="G614" t="n">
        <v>15</v>
      </c>
      <c r="H614" t="n">
        <v>5</v>
      </c>
    </row>
    <row r="615">
      <c r="A615" t="n">
        <v>614</v>
      </c>
      <c r="B615" t="inlineStr">
        <is>
          <t>Produto</t>
        </is>
      </c>
      <c r="C615" s="121" t="inlineStr">
        <is>
          <t>Banco de musculação modelo básico azul</t>
        </is>
      </c>
      <c r="D615" s="109" t="n">
        <v>910.02</v>
      </c>
      <c r="E615" s="123" t="n">
        <v>50</v>
      </c>
      <c r="F615" s="109">
        <f>ROUND(D615*(1+(E615/100)),2)</f>
        <v/>
      </c>
      <c r="G615" t="n">
        <v>15</v>
      </c>
      <c r="H615" t="n">
        <v>5</v>
      </c>
    </row>
    <row r="616">
      <c r="A616" t="n">
        <v>615</v>
      </c>
      <c r="B616" t="inlineStr">
        <is>
          <t>Produto</t>
        </is>
      </c>
      <c r="C616" s="121" t="inlineStr">
        <is>
          <t>Bola de futebol reforçado cinza</t>
        </is>
      </c>
      <c r="D616" s="109" t="n">
        <v>114.51</v>
      </c>
      <c r="E616" s="123" t="n">
        <v>50</v>
      </c>
      <c r="F616" s="109">
        <f>ROUND(D616*(1+(E616/100)),2)</f>
        <v/>
      </c>
      <c r="G616" t="n">
        <v>15</v>
      </c>
      <c r="H616" t="n">
        <v>5</v>
      </c>
    </row>
    <row r="617">
      <c r="A617" t="n">
        <v>616</v>
      </c>
      <c r="B617" t="inlineStr">
        <is>
          <t>Produto</t>
        </is>
      </c>
      <c r="C617" s="121" t="inlineStr">
        <is>
          <t>Coqueteleira compacto rosa</t>
        </is>
      </c>
      <c r="D617" s="109" t="n">
        <v>27.41</v>
      </c>
      <c r="E617" s="123" t="n">
        <v>50</v>
      </c>
      <c r="F617" s="109">
        <f>ROUND(D617*(1+(E617/100)),2)</f>
        <v/>
      </c>
      <c r="G617" t="n">
        <v>15</v>
      </c>
      <c r="H617" t="n">
        <v>5</v>
      </c>
    </row>
    <row r="618">
      <c r="A618" t="n">
        <v>617</v>
      </c>
      <c r="B618" t="inlineStr">
        <is>
          <t>Produto</t>
        </is>
      </c>
      <c r="C618" s="121" t="inlineStr">
        <is>
          <t>Óculos esportivos ventilado verde</t>
        </is>
      </c>
      <c r="D618" s="109" t="n">
        <v>83.56</v>
      </c>
      <c r="E618" s="123" t="n">
        <v>50</v>
      </c>
      <c r="F618" s="109">
        <f>ROUND(D618*(1+(E618/100)),2)</f>
        <v/>
      </c>
      <c r="G618" t="n">
        <v>15</v>
      </c>
      <c r="H618" t="n">
        <v>5</v>
      </c>
    </row>
    <row r="619">
      <c r="A619" t="n">
        <v>618</v>
      </c>
      <c r="B619" t="inlineStr">
        <is>
          <t>Produto</t>
        </is>
      </c>
      <c r="C619" s="121" t="inlineStr">
        <is>
          <t>Corda de pular compacto branco</t>
        </is>
      </c>
      <c r="D619" s="109" t="n">
        <v>60.45</v>
      </c>
      <c r="E619" s="123" t="n">
        <v>50</v>
      </c>
      <c r="F619" s="109">
        <f>ROUND(D619*(1+(E619/100)),2)</f>
        <v/>
      </c>
      <c r="G619" t="n">
        <v>15</v>
      </c>
      <c r="H619" t="n">
        <v>5</v>
      </c>
    </row>
    <row r="620">
      <c r="A620" t="n">
        <v>619</v>
      </c>
      <c r="B620" t="inlineStr">
        <is>
          <t>Produto</t>
        </is>
      </c>
      <c r="C620" s="121" t="inlineStr">
        <is>
          <t>Skate modelo básico preto</t>
        </is>
      </c>
      <c r="D620" s="109" t="n">
        <v>476.99</v>
      </c>
      <c r="E620" s="123" t="n">
        <v>50</v>
      </c>
      <c r="F620" s="109">
        <f>ROUND(D620*(1+(E620/100)),2)</f>
        <v/>
      </c>
      <c r="G620" t="n">
        <v>15</v>
      </c>
      <c r="H620" t="n">
        <v>5</v>
      </c>
    </row>
    <row r="621">
      <c r="A621" t="n">
        <v>620</v>
      </c>
      <c r="B621" t="inlineStr">
        <is>
          <t>Produto</t>
        </is>
      </c>
      <c r="C621" s="121" t="inlineStr">
        <is>
          <t>Bloco para yoga treino verde</t>
        </is>
      </c>
      <c r="D621" s="109" t="n">
        <v>29.6</v>
      </c>
      <c r="E621" s="123" t="n">
        <v>50</v>
      </c>
      <c r="F621" s="109">
        <f>ROUND(D621*(1+(E621/100)),2)</f>
        <v/>
      </c>
      <c r="G621" t="n">
        <v>15</v>
      </c>
      <c r="H621" t="n">
        <v>5</v>
      </c>
    </row>
    <row r="622">
      <c r="A622" t="n">
        <v>621</v>
      </c>
      <c r="B622" t="inlineStr">
        <is>
          <t>Produto</t>
        </is>
      </c>
      <c r="C622" s="121" t="inlineStr">
        <is>
          <t>Meias esportivas ergonômico preto tam. G</t>
        </is>
      </c>
      <c r="D622" s="109" t="n">
        <v>31.56</v>
      </c>
      <c r="E622" s="123" t="n">
        <v>50</v>
      </c>
      <c r="F622" s="109">
        <f>ROUND(D622*(1+(E622/100)),2)</f>
        <v/>
      </c>
      <c r="G622" t="n">
        <v>15</v>
      </c>
      <c r="H622" t="n">
        <v>5</v>
      </c>
    </row>
    <row r="623">
      <c r="A623" t="n">
        <v>622</v>
      </c>
      <c r="B623" t="inlineStr">
        <is>
          <t>Produto</t>
        </is>
      </c>
      <c r="C623" s="121" t="inlineStr">
        <is>
          <t>Raquete de badminton compacto laranja</t>
        </is>
      </c>
      <c r="D623" s="109" t="n">
        <v>177.12</v>
      </c>
      <c r="E623" s="123" t="n">
        <v>50</v>
      </c>
      <c r="F623" s="109">
        <f>ROUND(D623*(1+(E623/100)),2)</f>
        <v/>
      </c>
      <c r="G623" t="n">
        <v>15</v>
      </c>
      <c r="H623" t="n">
        <v>5</v>
      </c>
    </row>
    <row r="624">
      <c r="A624" t="n">
        <v>623</v>
      </c>
      <c r="B624" t="inlineStr">
        <is>
          <t>Produto</t>
        </is>
      </c>
      <c r="C624" s="121" t="inlineStr">
        <is>
          <t>Tapete de yoga profissional azul</t>
        </is>
      </c>
      <c r="D624" s="109" t="n">
        <v>102.79</v>
      </c>
      <c r="E624" s="123" t="n">
        <v>50</v>
      </c>
      <c r="F624" s="109">
        <f>ROUND(D624*(1+(E624/100)),2)</f>
        <v/>
      </c>
      <c r="G624" t="n">
        <v>15</v>
      </c>
      <c r="H624" t="n">
        <v>5</v>
      </c>
    </row>
    <row r="625">
      <c r="A625" t="n">
        <v>624</v>
      </c>
      <c r="B625" t="inlineStr">
        <is>
          <t>Produto</t>
        </is>
      </c>
      <c r="C625" s="121" t="inlineStr">
        <is>
          <t>Touca de natação profissional preto tam. 38</t>
        </is>
      </c>
      <c r="D625" s="109" t="n">
        <v>42.73</v>
      </c>
      <c r="E625" s="123" t="n">
        <v>50</v>
      </c>
      <c r="F625" s="109">
        <f>ROUND(D625*(1+(E625/100)),2)</f>
        <v/>
      </c>
      <c r="G625" t="n">
        <v>15</v>
      </c>
      <c r="H625" t="n">
        <v>5</v>
      </c>
    </row>
    <row r="626">
      <c r="A626" t="n">
        <v>625</v>
      </c>
      <c r="B626" t="inlineStr">
        <is>
          <t>Produto</t>
        </is>
      </c>
      <c r="C626" s="121" t="inlineStr">
        <is>
          <t>Chuteira de campo iniciante cinza tam. 36</t>
        </is>
      </c>
      <c r="D626" s="109" t="n">
        <v>505.33</v>
      </c>
      <c r="E626" s="123" t="n">
        <v>50</v>
      </c>
      <c r="F626" s="109">
        <f>ROUND(D626*(1+(E626/100)),2)</f>
        <v/>
      </c>
      <c r="G626" t="n">
        <v>15</v>
      </c>
      <c r="H626" t="n">
        <v>5</v>
      </c>
    </row>
    <row r="627">
      <c r="A627" t="n">
        <v>626</v>
      </c>
      <c r="B627" t="inlineStr">
        <is>
          <t>Produto</t>
        </is>
      </c>
      <c r="C627" s="121" t="inlineStr">
        <is>
          <t>Elástico de resistência modelo básico rosa</t>
        </is>
      </c>
      <c r="D627" s="109" t="n">
        <v>21.94</v>
      </c>
      <c r="E627" s="123" t="n">
        <v>50</v>
      </c>
      <c r="F627" s="109">
        <f>ROUND(D627*(1+(E627/100)),2)</f>
        <v/>
      </c>
      <c r="G627" t="n">
        <v>15</v>
      </c>
      <c r="H627" t="n">
        <v>5</v>
      </c>
    </row>
    <row r="628">
      <c r="A628" t="n">
        <v>627</v>
      </c>
      <c r="B628" t="inlineStr">
        <is>
          <t>Produto</t>
        </is>
      </c>
      <c r="C628" s="121" t="inlineStr">
        <is>
          <t>Raquete de beach tennis recreativo azul</t>
        </is>
      </c>
      <c r="D628" s="109" t="n">
        <v>187.04</v>
      </c>
      <c r="E628" s="123" t="n">
        <v>50</v>
      </c>
      <c r="F628" s="109">
        <f>ROUND(D628*(1+(E628/100)),2)</f>
        <v/>
      </c>
      <c r="G628" t="n">
        <v>15</v>
      </c>
      <c r="H628" t="n">
        <v>5</v>
      </c>
    </row>
    <row r="629">
      <c r="A629" t="n">
        <v>628</v>
      </c>
      <c r="B629" t="inlineStr">
        <is>
          <t>Produto</t>
        </is>
      </c>
      <c r="C629" s="121" t="inlineStr">
        <is>
          <t>Camiseta esportiva com ajuste branco tam. 38</t>
        </is>
      </c>
      <c r="D629" s="109" t="n">
        <v>30.26</v>
      </c>
      <c r="E629" s="123" t="n">
        <v>50</v>
      </c>
      <c r="F629" s="109">
        <f>ROUND(D629*(1+(E629/100)),2)</f>
        <v/>
      </c>
      <c r="G629" t="n">
        <v>15</v>
      </c>
      <c r="H629" t="n">
        <v>5</v>
      </c>
    </row>
    <row r="630">
      <c r="A630" t="n">
        <v>629</v>
      </c>
      <c r="B630" t="inlineStr">
        <is>
          <t>Produto</t>
        </is>
      </c>
      <c r="C630" s="121" t="inlineStr">
        <is>
          <t>Colchonete de exercício com ajuste cinza</t>
        </is>
      </c>
      <c r="D630" s="109" t="n">
        <v>68.42</v>
      </c>
      <c r="E630" s="123" t="n">
        <v>50</v>
      </c>
      <c r="F630" s="109">
        <f>ROUND(D630*(1+(E630/100)),2)</f>
        <v/>
      </c>
      <c r="G630" t="n">
        <v>15</v>
      </c>
      <c r="H630" t="n">
        <v>5</v>
      </c>
    </row>
    <row r="631">
      <c r="A631" t="n">
        <v>630</v>
      </c>
      <c r="B631" t="inlineStr">
        <is>
          <t>Produto</t>
        </is>
      </c>
      <c r="C631" s="121" t="inlineStr">
        <is>
          <t>Tênis para quadra leve cinza tam. 44</t>
        </is>
      </c>
      <c r="D631" s="109" t="n">
        <v>94.15000000000001</v>
      </c>
      <c r="E631" s="123" t="n">
        <v>50</v>
      </c>
      <c r="F631" s="109">
        <f>ROUND(D631*(1+(E631/100)),2)</f>
        <v/>
      </c>
      <c r="G631" t="n">
        <v>15</v>
      </c>
      <c r="H631" t="n">
        <v>5</v>
      </c>
    </row>
    <row r="632">
      <c r="A632" t="n">
        <v>631</v>
      </c>
      <c r="B632" t="inlineStr">
        <is>
          <t>Produto</t>
        </is>
      </c>
      <c r="C632" s="121" t="inlineStr">
        <is>
          <t>Halter profissional verde</t>
        </is>
      </c>
      <c r="D632" s="109" t="n">
        <v>145.58</v>
      </c>
      <c r="E632" s="123" t="n">
        <v>50</v>
      </c>
      <c r="F632" s="109">
        <f>ROUND(D632*(1+(E632/100)),2)</f>
        <v/>
      </c>
      <c r="G632" t="n">
        <v>15</v>
      </c>
      <c r="H632" t="n">
        <v>5</v>
      </c>
    </row>
    <row r="633">
      <c r="A633" t="n">
        <v>632</v>
      </c>
      <c r="B633" t="inlineStr">
        <is>
          <t>Produto</t>
        </is>
      </c>
      <c r="C633" s="121" t="inlineStr">
        <is>
          <t>Elástico de resistência juvenil cinza</t>
        </is>
      </c>
      <c r="D633" s="109" t="n">
        <v>21.32</v>
      </c>
      <c r="E633" s="123" t="n">
        <v>50</v>
      </c>
      <c r="F633" s="109">
        <f>ROUND(D633*(1+(E633/100)),2)</f>
        <v/>
      </c>
      <c r="G633" t="n">
        <v>15</v>
      </c>
      <c r="H633" t="n">
        <v>5</v>
      </c>
    </row>
    <row r="634">
      <c r="A634" t="n">
        <v>633</v>
      </c>
      <c r="B634" t="inlineStr">
        <is>
          <t>Produto</t>
        </is>
      </c>
      <c r="C634" s="121" t="inlineStr">
        <is>
          <t>Regata esportiva para uso diário rosa tam. 42</t>
        </is>
      </c>
      <c r="D634" s="109" t="n">
        <v>62.07</v>
      </c>
      <c r="E634" s="123" t="n">
        <v>50</v>
      </c>
      <c r="F634" s="109">
        <f>ROUND(D634*(1+(E634/100)),2)</f>
        <v/>
      </c>
      <c r="G634" t="n">
        <v>15</v>
      </c>
      <c r="H634" t="n">
        <v>5</v>
      </c>
    </row>
    <row r="635">
      <c r="A635" t="n">
        <v>634</v>
      </c>
      <c r="B635" t="inlineStr">
        <is>
          <t>Produto</t>
        </is>
      </c>
      <c r="C635" s="121" t="inlineStr">
        <is>
          <t>Meias esportivas com ajuste azul tam. G</t>
        </is>
      </c>
      <c r="D635" s="109" t="n">
        <v>10.31</v>
      </c>
      <c r="E635" s="123" t="n">
        <v>50</v>
      </c>
      <c r="F635" s="109">
        <f>ROUND(D635*(1+(E635/100)),2)</f>
        <v/>
      </c>
      <c r="G635" t="n">
        <v>15</v>
      </c>
      <c r="H635" t="n">
        <v>5</v>
      </c>
    </row>
    <row r="636">
      <c r="A636" t="n">
        <v>635</v>
      </c>
      <c r="B636" t="inlineStr">
        <is>
          <t>Produto</t>
        </is>
      </c>
      <c r="C636" s="121" t="inlineStr">
        <is>
          <t>Raquete de tênis recreativo verde tam. 38</t>
        </is>
      </c>
      <c r="D636" s="109" t="n">
        <v>234.85</v>
      </c>
      <c r="E636" s="123" t="n">
        <v>50</v>
      </c>
      <c r="F636" s="109">
        <f>ROUND(D636*(1+(E636/100)),2)</f>
        <v/>
      </c>
      <c r="G636" t="n">
        <v>15</v>
      </c>
      <c r="H636" t="n">
        <v>5</v>
      </c>
    </row>
    <row r="637">
      <c r="A637" t="n">
        <v>636</v>
      </c>
      <c r="B637" t="inlineStr">
        <is>
          <t>Produto</t>
        </is>
      </c>
      <c r="C637" s="121" t="inlineStr">
        <is>
          <t>Touca de natação unissex cinza tam. M</t>
        </is>
      </c>
      <c r="D637" s="109" t="n">
        <v>10.05</v>
      </c>
      <c r="E637" s="123" t="n">
        <v>50</v>
      </c>
      <c r="F637" s="109">
        <f>ROUND(D637*(1+(E637/100)),2)</f>
        <v/>
      </c>
      <c r="G637" t="n">
        <v>15</v>
      </c>
      <c r="H637" t="n">
        <v>5</v>
      </c>
    </row>
    <row r="638">
      <c r="A638" t="n">
        <v>637</v>
      </c>
      <c r="B638" t="inlineStr">
        <is>
          <t>Produto</t>
        </is>
      </c>
      <c r="C638" s="121" t="inlineStr">
        <is>
          <t>Raquete de beach tennis com ajuste vermelho</t>
        </is>
      </c>
      <c r="D638" s="109" t="n">
        <v>142.51</v>
      </c>
      <c r="E638" s="123" t="n">
        <v>50</v>
      </c>
      <c r="F638" s="109">
        <f>ROUND(D638*(1+(E638/100)),2)</f>
        <v/>
      </c>
      <c r="G638" t="n">
        <v>15</v>
      </c>
      <c r="H638" t="n">
        <v>5</v>
      </c>
    </row>
    <row r="639">
      <c r="A639" t="n">
        <v>638</v>
      </c>
      <c r="B639" t="inlineStr">
        <is>
          <t>Produto</t>
        </is>
      </c>
      <c r="C639" s="121" t="inlineStr">
        <is>
          <t>Kettlebell juvenil rosa</t>
        </is>
      </c>
      <c r="D639" s="109" t="n">
        <v>40.57</v>
      </c>
      <c r="E639" s="123" t="n">
        <v>50</v>
      </c>
      <c r="F639" s="109">
        <f>ROUND(D639*(1+(E639/100)),2)</f>
        <v/>
      </c>
      <c r="G639" t="n">
        <v>15</v>
      </c>
      <c r="H639" t="n">
        <v>5</v>
      </c>
    </row>
    <row r="640">
      <c r="A640" t="n">
        <v>639</v>
      </c>
      <c r="B640" t="inlineStr">
        <is>
          <t>Produto</t>
        </is>
      </c>
      <c r="C640" s="121" t="inlineStr">
        <is>
          <t>Protetor bucal para uso diário rosa</t>
        </is>
      </c>
      <c r="D640" s="109" t="n">
        <v>10.45</v>
      </c>
      <c r="E640" s="123" t="n">
        <v>50</v>
      </c>
      <c r="F640" s="109">
        <f>ROUND(D640*(1+(E640/100)),2)</f>
        <v/>
      </c>
      <c r="G640" t="n">
        <v>15</v>
      </c>
      <c r="H640" t="n">
        <v>5</v>
      </c>
    </row>
    <row r="641">
      <c r="A641" t="n">
        <v>640</v>
      </c>
      <c r="B641" t="inlineStr">
        <is>
          <t>Produto</t>
        </is>
      </c>
      <c r="C641" s="121" t="inlineStr">
        <is>
          <t>Nadadeira leve branco</t>
        </is>
      </c>
      <c r="D641" s="109" t="n">
        <v>57.44</v>
      </c>
      <c r="E641" s="123" t="n">
        <v>50</v>
      </c>
      <c r="F641" s="109">
        <f>ROUND(D641*(1+(E641/100)),2)</f>
        <v/>
      </c>
      <c r="G641" t="n">
        <v>15</v>
      </c>
      <c r="H641" t="n">
        <v>5</v>
      </c>
    </row>
    <row r="642">
      <c r="A642" t="n">
        <v>641</v>
      </c>
      <c r="B642" t="inlineStr">
        <is>
          <t>Produto</t>
        </is>
      </c>
      <c r="C642" s="121" t="inlineStr">
        <is>
          <t>Regata esportiva premium rosa tam. G</t>
        </is>
      </c>
      <c r="D642" s="109" t="n">
        <v>17.12</v>
      </c>
      <c r="E642" s="123" t="n">
        <v>50</v>
      </c>
      <c r="F642" s="109">
        <f>ROUND(D642*(1+(E642/100)),2)</f>
        <v/>
      </c>
      <c r="G642" t="n">
        <v>15</v>
      </c>
      <c r="H642" t="n">
        <v>5</v>
      </c>
    </row>
    <row r="643">
      <c r="A643" t="n">
        <v>642</v>
      </c>
      <c r="B643" t="inlineStr">
        <is>
          <t>Produto</t>
        </is>
      </c>
      <c r="C643" s="121" t="inlineStr">
        <is>
          <t>Kimono de judô compacto cinza tam. 40</t>
        </is>
      </c>
      <c r="D643" s="109" t="n">
        <v>183.54</v>
      </c>
      <c r="E643" s="123" t="n">
        <v>50</v>
      </c>
      <c r="F643" s="109">
        <f>ROUND(D643*(1+(E643/100)),2)</f>
        <v/>
      </c>
      <c r="G643" t="n">
        <v>15</v>
      </c>
      <c r="H643" t="n">
        <v>5</v>
      </c>
    </row>
    <row r="644">
      <c r="A644" t="n">
        <v>643</v>
      </c>
      <c r="B644" t="inlineStr">
        <is>
          <t>Produto</t>
        </is>
      </c>
      <c r="C644" s="121" t="inlineStr">
        <is>
          <t>Luva de goleiro juvenil azul tam. 34</t>
        </is>
      </c>
      <c r="D644" s="109" t="n">
        <v>106.67</v>
      </c>
      <c r="E644" s="123" t="n">
        <v>50</v>
      </c>
      <c r="F644" s="109">
        <f>ROUND(D644*(1+(E644/100)),2)</f>
        <v/>
      </c>
      <c r="G644" t="n">
        <v>15</v>
      </c>
      <c r="H644" t="n">
        <v>5</v>
      </c>
    </row>
    <row r="645">
      <c r="A645" t="n">
        <v>644</v>
      </c>
      <c r="B645" t="inlineStr">
        <is>
          <t>Produto</t>
        </is>
      </c>
      <c r="C645" s="121" t="inlineStr">
        <is>
          <t>Corda de pular resistente verde</t>
        </is>
      </c>
      <c r="D645" s="109" t="n">
        <v>60.03</v>
      </c>
      <c r="E645" s="123" t="n">
        <v>50</v>
      </c>
      <c r="F645" s="109">
        <f>ROUND(D645*(1+(E645/100)),2)</f>
        <v/>
      </c>
      <c r="G645" t="n">
        <v>15</v>
      </c>
      <c r="H645" t="n">
        <v>5</v>
      </c>
    </row>
    <row r="646">
      <c r="A646" t="n">
        <v>645</v>
      </c>
      <c r="B646" t="inlineStr">
        <is>
          <t>Produto</t>
        </is>
      </c>
      <c r="C646" s="121" t="inlineStr">
        <is>
          <t>Caneleira de futebol para uso diário branco</t>
        </is>
      </c>
      <c r="D646" s="109" t="n">
        <v>49.36</v>
      </c>
      <c r="E646" s="123" t="n">
        <v>50</v>
      </c>
      <c r="F646" s="109">
        <f>ROUND(D646*(1+(E646/100)),2)</f>
        <v/>
      </c>
      <c r="G646" t="n">
        <v>15</v>
      </c>
      <c r="H646" t="n">
        <v>5</v>
      </c>
    </row>
    <row r="647">
      <c r="A647" t="n">
        <v>646</v>
      </c>
      <c r="B647" t="inlineStr">
        <is>
          <t>Produto</t>
        </is>
      </c>
      <c r="C647" s="121" t="inlineStr">
        <is>
          <t>Óculos esportivos unissex branco</t>
        </is>
      </c>
      <c r="D647" s="109" t="n">
        <v>177.74</v>
      </c>
      <c r="E647" s="123" t="n">
        <v>50</v>
      </c>
      <c r="F647" s="109">
        <f>ROUND(D647*(1+(E647/100)),2)</f>
        <v/>
      </c>
      <c r="G647" t="n">
        <v>15</v>
      </c>
      <c r="H647" t="n">
        <v>5</v>
      </c>
    </row>
    <row r="648">
      <c r="A648" t="n">
        <v>647</v>
      </c>
      <c r="B648" t="inlineStr">
        <is>
          <t>Produto</t>
        </is>
      </c>
      <c r="C648" s="121" t="inlineStr">
        <is>
          <t>Regata esportiva modelo básico verde tam. P</t>
        </is>
      </c>
      <c r="D648" s="109" t="n">
        <v>71.38</v>
      </c>
      <c r="E648" s="123" t="n">
        <v>50</v>
      </c>
      <c r="F648" s="109">
        <f>ROUND(D648*(1+(E648/100)),2)</f>
        <v/>
      </c>
      <c r="G648" t="n">
        <v>15</v>
      </c>
      <c r="H648" t="n">
        <v>5</v>
      </c>
    </row>
    <row r="649">
      <c r="A649" t="n">
        <v>648</v>
      </c>
      <c r="B649" t="inlineStr">
        <is>
          <t>Produto</t>
        </is>
      </c>
      <c r="C649" s="121" t="inlineStr">
        <is>
          <t>Banco de musculação juvenil rosa</t>
        </is>
      </c>
      <c r="D649" s="109" t="n">
        <v>878.79</v>
      </c>
      <c r="E649" s="123" t="n">
        <v>50</v>
      </c>
      <c r="F649" s="109">
        <f>ROUND(D649*(1+(E649/100)),2)</f>
        <v/>
      </c>
      <c r="G649" t="n">
        <v>15</v>
      </c>
      <c r="H649" t="n">
        <v>5</v>
      </c>
    </row>
    <row r="650">
      <c r="A650" t="n">
        <v>649</v>
      </c>
      <c r="B650" t="inlineStr">
        <is>
          <t>Produto</t>
        </is>
      </c>
      <c r="C650" s="121" t="inlineStr">
        <is>
          <t>Banco de musculação compacto vermelho</t>
        </is>
      </c>
      <c r="D650" s="109" t="n">
        <v>312.12</v>
      </c>
      <c r="E650" s="123" t="n">
        <v>50</v>
      </c>
      <c r="F650" s="109">
        <f>ROUND(D650*(1+(E650/100)),2)</f>
        <v/>
      </c>
      <c r="G650" t="n">
        <v>15</v>
      </c>
      <c r="H650" t="n">
        <v>5</v>
      </c>
    </row>
    <row r="651">
      <c r="A651" t="n">
        <v>650</v>
      </c>
      <c r="B651" t="inlineStr">
        <is>
          <t>Produto</t>
        </is>
      </c>
      <c r="C651" s="121" t="inlineStr">
        <is>
          <t>Prancha de natação premium preto</t>
        </is>
      </c>
      <c r="D651" s="109" t="n">
        <v>86.70999999999999</v>
      </c>
      <c r="E651" s="123" t="n">
        <v>50</v>
      </c>
      <c r="F651" s="109">
        <f>ROUND(D651*(1+(E651/100)),2)</f>
        <v/>
      </c>
      <c r="G651" t="n">
        <v>15</v>
      </c>
      <c r="H651" t="n">
        <v>5</v>
      </c>
    </row>
    <row r="652">
      <c r="A652" t="n">
        <v>651</v>
      </c>
      <c r="B652" t="inlineStr">
        <is>
          <t>Produto</t>
        </is>
      </c>
      <c r="C652" s="121" t="inlineStr">
        <is>
          <t>Jaqueta esportiva para uso diário branco tam. G</t>
        </is>
      </c>
      <c r="D652" s="109" t="n">
        <v>97.26000000000001</v>
      </c>
      <c r="E652" s="123" t="n">
        <v>50</v>
      </c>
      <c r="F652" s="109">
        <f>ROUND(D652*(1+(E652/100)),2)</f>
        <v/>
      </c>
      <c r="G652" t="n">
        <v>15</v>
      </c>
      <c r="H652" t="n">
        <v>5</v>
      </c>
    </row>
    <row r="653">
      <c r="A653" t="n">
        <v>652</v>
      </c>
      <c r="B653" t="inlineStr">
        <is>
          <t>Produto</t>
        </is>
      </c>
      <c r="C653" s="121" t="inlineStr">
        <is>
          <t>Luva de boxe modelo avançado preto tam. 36</t>
        </is>
      </c>
      <c r="D653" s="109" t="n">
        <v>286.41</v>
      </c>
      <c r="E653" s="123" t="n">
        <v>50</v>
      </c>
      <c r="F653" s="109">
        <f>ROUND(D653*(1+(E653/100)),2)</f>
        <v/>
      </c>
      <c r="G653" t="n">
        <v>15</v>
      </c>
      <c r="H653" t="n">
        <v>5</v>
      </c>
    </row>
    <row r="654">
      <c r="A654" t="n">
        <v>653</v>
      </c>
      <c r="B654" t="inlineStr">
        <is>
          <t>Produto</t>
        </is>
      </c>
      <c r="C654" s="121" t="inlineStr">
        <is>
          <t>Protetor bucal unissex verde</t>
        </is>
      </c>
      <c r="D654" s="109" t="n">
        <v>51.61</v>
      </c>
      <c r="E654" s="123" t="n">
        <v>50</v>
      </c>
      <c r="F654" s="109">
        <f>ROUND(D654*(1+(E654/100)),2)</f>
        <v/>
      </c>
      <c r="G654" t="n">
        <v>15</v>
      </c>
      <c r="H654" t="n">
        <v>5</v>
      </c>
    </row>
    <row r="655">
      <c r="A655" t="n">
        <v>654</v>
      </c>
      <c r="B655" t="inlineStr">
        <is>
          <t>Produto</t>
        </is>
      </c>
      <c r="C655" s="121" t="inlineStr">
        <is>
          <t>Óculos esportivos iniciante vermelho</t>
        </is>
      </c>
      <c r="D655" s="109" t="n">
        <v>218.15</v>
      </c>
      <c r="E655" s="123" t="n">
        <v>50</v>
      </c>
      <c r="F655" s="109">
        <f>ROUND(D655*(1+(E655/100)),2)</f>
        <v/>
      </c>
      <c r="G655" t="n">
        <v>15</v>
      </c>
      <c r="H655" t="n">
        <v>5</v>
      </c>
    </row>
    <row r="656">
      <c r="A656" t="n">
        <v>655</v>
      </c>
      <c r="B656" t="inlineStr">
        <is>
          <t>Produto</t>
        </is>
      </c>
      <c r="C656" s="121" t="inlineStr">
        <is>
          <t>Raquete de badminton compacto verde</t>
        </is>
      </c>
      <c r="D656" s="109" t="n">
        <v>34.12</v>
      </c>
      <c r="E656" s="123" t="n">
        <v>50</v>
      </c>
      <c r="F656" s="109">
        <f>ROUND(D656*(1+(E656/100)),2)</f>
        <v/>
      </c>
      <c r="G656" t="n">
        <v>15</v>
      </c>
      <c r="H656" t="n">
        <v>5</v>
      </c>
    </row>
    <row r="657">
      <c r="A657" t="n">
        <v>656</v>
      </c>
      <c r="B657" t="inlineStr">
        <is>
          <t>Produto</t>
        </is>
      </c>
      <c r="C657" s="121" t="inlineStr">
        <is>
          <t>Luva de ciclismo modelo básico verde tam. G</t>
        </is>
      </c>
      <c r="D657" s="109" t="n">
        <v>52.7</v>
      </c>
      <c r="E657" s="123" t="n">
        <v>50</v>
      </c>
      <c r="F657" s="109">
        <f>ROUND(D657*(1+(E657/100)),2)</f>
        <v/>
      </c>
      <c r="G657" t="n">
        <v>15</v>
      </c>
      <c r="H657" t="n">
        <v>5</v>
      </c>
    </row>
    <row r="658">
      <c r="A658" t="n">
        <v>657</v>
      </c>
      <c r="B658" t="inlineStr">
        <is>
          <t>Produto</t>
        </is>
      </c>
      <c r="C658" s="121" t="inlineStr">
        <is>
          <t>Regata esportiva juvenil preto tam. G</t>
        </is>
      </c>
      <c r="D658" s="109" t="n">
        <v>51.89</v>
      </c>
      <c r="E658" s="123" t="n">
        <v>50</v>
      </c>
      <c r="F658" s="109">
        <f>ROUND(D658*(1+(E658/100)),2)</f>
        <v/>
      </c>
      <c r="G658" t="n">
        <v>15</v>
      </c>
      <c r="H658" t="n">
        <v>5</v>
      </c>
    </row>
    <row r="659">
      <c r="A659" t="n">
        <v>658</v>
      </c>
      <c r="B659" t="inlineStr">
        <is>
          <t>Produto</t>
        </is>
      </c>
      <c r="C659" s="121" t="inlineStr">
        <is>
          <t>Chuteira society resistente branco tam. M</t>
        </is>
      </c>
      <c r="D659" s="109" t="n">
        <v>194.43</v>
      </c>
      <c r="E659" s="123" t="n">
        <v>50</v>
      </c>
      <c r="F659" s="109">
        <f>ROUND(D659*(1+(E659/100)),2)</f>
        <v/>
      </c>
      <c r="G659" t="n">
        <v>15</v>
      </c>
      <c r="H659" t="n">
        <v>5</v>
      </c>
    </row>
    <row r="660">
      <c r="A660" t="n">
        <v>659</v>
      </c>
      <c r="B660" t="inlineStr">
        <is>
          <t>Produto</t>
        </is>
      </c>
      <c r="C660" s="121" t="inlineStr">
        <is>
          <t>Prancha de natação unissex azul</t>
        </is>
      </c>
      <c r="D660" s="109" t="n">
        <v>48.23</v>
      </c>
      <c r="E660" s="123" t="n">
        <v>50</v>
      </c>
      <c r="F660" s="109">
        <f>ROUND(D660*(1+(E660/100)),2)</f>
        <v/>
      </c>
      <c r="G660" t="n">
        <v>15</v>
      </c>
      <c r="H660" t="n">
        <v>5</v>
      </c>
    </row>
    <row r="661">
      <c r="A661" t="n">
        <v>660</v>
      </c>
      <c r="B661" t="inlineStr">
        <is>
          <t>Produto</t>
        </is>
      </c>
      <c r="C661" s="121" t="inlineStr">
        <is>
          <t>Halter leve laranja</t>
        </is>
      </c>
      <c r="D661" s="109" t="n">
        <v>121.21</v>
      </c>
      <c r="E661" s="123" t="n">
        <v>50</v>
      </c>
      <c r="F661" s="109">
        <f>ROUND(D661*(1+(E661/100)),2)</f>
        <v/>
      </c>
      <c r="G661" t="n">
        <v>15</v>
      </c>
      <c r="H661" t="n">
        <v>5</v>
      </c>
    </row>
    <row r="662">
      <c r="A662" t="n">
        <v>661</v>
      </c>
      <c r="B662" t="inlineStr">
        <is>
          <t>Produto</t>
        </is>
      </c>
      <c r="C662" s="121" t="inlineStr">
        <is>
          <t>Óculos esportivos leve branco</t>
        </is>
      </c>
      <c r="D662" s="109" t="n">
        <v>112.34</v>
      </c>
      <c r="E662" s="123" t="n">
        <v>50</v>
      </c>
      <c r="F662" s="109">
        <f>ROUND(D662*(1+(E662/100)),2)</f>
        <v/>
      </c>
      <c r="G662" t="n">
        <v>15</v>
      </c>
      <c r="H662" t="n">
        <v>5</v>
      </c>
    </row>
    <row r="663">
      <c r="A663" t="n">
        <v>662</v>
      </c>
      <c r="B663" t="inlineStr">
        <is>
          <t>Produto</t>
        </is>
      </c>
      <c r="C663" s="121" t="inlineStr">
        <is>
          <t>Luva de boxe para uso diário cinza tam. 34</t>
        </is>
      </c>
      <c r="D663" s="109" t="n">
        <v>74.8</v>
      </c>
      <c r="E663" s="123" t="n">
        <v>50</v>
      </c>
      <c r="F663" s="109">
        <f>ROUND(D663*(1+(E663/100)),2)</f>
        <v/>
      </c>
      <c r="G663" t="n">
        <v>15</v>
      </c>
      <c r="H663" t="n">
        <v>5</v>
      </c>
    </row>
    <row r="664">
      <c r="A664" t="n">
        <v>663</v>
      </c>
      <c r="B664" t="inlineStr">
        <is>
          <t>Produto</t>
        </is>
      </c>
      <c r="C664" s="121" t="inlineStr">
        <is>
          <t>Bastão de caminhada unissex laranja</t>
        </is>
      </c>
      <c r="D664" s="109" t="n">
        <v>157.55</v>
      </c>
      <c r="E664" s="123" t="n">
        <v>50</v>
      </c>
      <c r="F664" s="109">
        <f>ROUND(D664*(1+(E664/100)),2)</f>
        <v/>
      </c>
      <c r="G664" t="n">
        <v>15</v>
      </c>
      <c r="H664" t="n">
        <v>5</v>
      </c>
    </row>
    <row r="665">
      <c r="A665" t="n">
        <v>664</v>
      </c>
      <c r="B665" t="inlineStr">
        <is>
          <t>Produto</t>
        </is>
      </c>
      <c r="C665" s="121" t="inlineStr">
        <is>
          <t>Banco de musculação juvenil vermelho</t>
        </is>
      </c>
      <c r="D665" s="109" t="n">
        <v>975.1</v>
      </c>
      <c r="E665" s="123" t="n">
        <v>50</v>
      </c>
      <c r="F665" s="109">
        <f>ROUND(D665*(1+(E665/100)),2)</f>
        <v/>
      </c>
      <c r="G665" t="n">
        <v>15</v>
      </c>
      <c r="H665" t="n">
        <v>5</v>
      </c>
    </row>
    <row r="666">
      <c r="A666" t="n">
        <v>665</v>
      </c>
      <c r="B666" t="inlineStr">
        <is>
          <t>Produto</t>
        </is>
      </c>
      <c r="C666" s="121" t="inlineStr">
        <is>
          <t>Kimono de judô unissex azul tam. 40</t>
        </is>
      </c>
      <c r="D666" s="109" t="n">
        <v>102.13</v>
      </c>
      <c r="E666" s="123" t="n">
        <v>50</v>
      </c>
      <c r="F666" s="109">
        <f>ROUND(D666*(1+(E666/100)),2)</f>
        <v/>
      </c>
      <c r="G666" t="n">
        <v>15</v>
      </c>
      <c r="H666" t="n">
        <v>5</v>
      </c>
    </row>
    <row r="667">
      <c r="A667" t="n">
        <v>666</v>
      </c>
      <c r="B667" t="inlineStr">
        <is>
          <t>Produto</t>
        </is>
      </c>
      <c r="C667" s="121" t="inlineStr">
        <is>
          <t>Bola de pilates compacto branco</t>
        </is>
      </c>
      <c r="D667" s="109" t="n">
        <v>118.25</v>
      </c>
      <c r="E667" s="123" t="n">
        <v>50</v>
      </c>
      <c r="F667" s="109">
        <f>ROUND(D667*(1+(E667/100)),2)</f>
        <v/>
      </c>
      <c r="G667" t="n">
        <v>15</v>
      </c>
      <c r="H667" t="n">
        <v>5</v>
      </c>
    </row>
    <row r="668">
      <c r="A668" t="n">
        <v>667</v>
      </c>
      <c r="B668" t="inlineStr">
        <is>
          <t>Produto</t>
        </is>
      </c>
      <c r="C668" s="121" t="inlineStr">
        <is>
          <t>Camiseta esportiva modelo básico rosa tam. P</t>
        </is>
      </c>
      <c r="D668" s="109" t="n">
        <v>44.99</v>
      </c>
      <c r="E668" s="123" t="n">
        <v>50</v>
      </c>
      <c r="F668" s="109">
        <f>ROUND(D668*(1+(E668/100)),2)</f>
        <v/>
      </c>
      <c r="G668" t="n">
        <v>15</v>
      </c>
      <c r="H668" t="n">
        <v>5</v>
      </c>
    </row>
    <row r="669">
      <c r="A669" t="n">
        <v>668</v>
      </c>
      <c r="B669" t="inlineStr">
        <is>
          <t>Produto</t>
        </is>
      </c>
      <c r="C669" s="121" t="inlineStr">
        <is>
          <t>Meias esportivas modelo avançado cinza tam. M</t>
        </is>
      </c>
      <c r="D669" s="109" t="n">
        <v>31.87</v>
      </c>
      <c r="E669" s="123" t="n">
        <v>50</v>
      </c>
      <c r="F669" s="109">
        <f>ROUND(D669*(1+(E669/100)),2)</f>
        <v/>
      </c>
      <c r="G669" t="n">
        <v>15</v>
      </c>
      <c r="H669" t="n">
        <v>5</v>
      </c>
    </row>
    <row r="670">
      <c r="A670" t="n">
        <v>669</v>
      </c>
      <c r="B670" t="inlineStr">
        <is>
          <t>Produto</t>
        </is>
      </c>
      <c r="C670" s="121" t="inlineStr">
        <is>
          <t>Raquete de tênis com ajuste laranja tam. G</t>
        </is>
      </c>
      <c r="D670" s="109" t="n">
        <v>483.83</v>
      </c>
      <c r="E670" s="123" t="n">
        <v>50</v>
      </c>
      <c r="F670" s="109">
        <f>ROUND(D670*(1+(E670/100)),2)</f>
        <v/>
      </c>
      <c r="G670" t="n">
        <v>15</v>
      </c>
      <c r="H670" t="n">
        <v>5</v>
      </c>
    </row>
    <row r="671">
      <c r="A671" t="n">
        <v>670</v>
      </c>
      <c r="B671" t="inlineStr">
        <is>
          <t>Produto</t>
        </is>
      </c>
      <c r="C671" s="121" t="inlineStr">
        <is>
          <t>Óculos esportivos modelo avançado laranja</t>
        </is>
      </c>
      <c r="D671" s="109" t="n">
        <v>64.09999999999999</v>
      </c>
      <c r="E671" s="123" t="n">
        <v>50</v>
      </c>
      <c r="F671" s="109">
        <f>ROUND(D671*(1+(E671/100)),2)</f>
        <v/>
      </c>
      <c r="G671" t="n">
        <v>15</v>
      </c>
      <c r="H671" t="n">
        <v>5</v>
      </c>
    </row>
    <row r="672">
      <c r="A672" t="n">
        <v>671</v>
      </c>
      <c r="B672" t="inlineStr">
        <is>
          <t>Produto</t>
        </is>
      </c>
      <c r="C672" s="121" t="inlineStr">
        <is>
          <t>Luva de ciclismo compacto vermelho tam. 40</t>
        </is>
      </c>
      <c r="D672" s="109" t="n">
        <v>25.46</v>
      </c>
      <c r="E672" s="123" t="n">
        <v>50</v>
      </c>
      <c r="F672" s="109">
        <f>ROUND(D672*(1+(E672/100)),2)</f>
        <v/>
      </c>
      <c r="G672" t="n">
        <v>15</v>
      </c>
      <c r="H672" t="n">
        <v>5</v>
      </c>
    </row>
    <row r="673">
      <c r="A673" t="n">
        <v>672</v>
      </c>
      <c r="B673" t="inlineStr">
        <is>
          <t>Produto</t>
        </is>
      </c>
      <c r="C673" s="121" t="inlineStr">
        <is>
          <t>Bola de vôlei adulto branco</t>
        </is>
      </c>
      <c r="D673" s="109" t="n">
        <v>45.88</v>
      </c>
      <c r="E673" s="123" t="n">
        <v>50</v>
      </c>
      <c r="F673" s="109">
        <f>ROUND(D673*(1+(E673/100)),2)</f>
        <v/>
      </c>
      <c r="G673" t="n">
        <v>15</v>
      </c>
      <c r="H673" t="n">
        <v>5</v>
      </c>
    </row>
    <row r="674">
      <c r="A674" t="n">
        <v>673</v>
      </c>
      <c r="B674" t="inlineStr">
        <is>
          <t>Produto</t>
        </is>
      </c>
      <c r="C674" s="121" t="inlineStr">
        <is>
          <t>Tênis de corrida modelo básico vermelho tam. 38</t>
        </is>
      </c>
      <c r="D674" s="109" t="n">
        <v>172</v>
      </c>
      <c r="E674" s="123" t="n">
        <v>50</v>
      </c>
      <c r="F674" s="109">
        <f>ROUND(D674*(1+(E674/100)),2)</f>
        <v/>
      </c>
      <c r="G674" t="n">
        <v>15</v>
      </c>
      <c r="H674" t="n">
        <v>5</v>
      </c>
    </row>
    <row r="675">
      <c r="A675" t="n">
        <v>674</v>
      </c>
      <c r="B675" t="inlineStr">
        <is>
          <t>Produto</t>
        </is>
      </c>
      <c r="C675" s="121" t="inlineStr">
        <is>
          <t>Raquete de beach tennis profissional branco</t>
        </is>
      </c>
      <c r="D675" s="109" t="n">
        <v>494.95</v>
      </c>
      <c r="E675" s="123" t="n">
        <v>50</v>
      </c>
      <c r="F675" s="109">
        <f>ROUND(D675*(1+(E675/100)),2)</f>
        <v/>
      </c>
      <c r="G675" t="n">
        <v>15</v>
      </c>
      <c r="H675" t="n">
        <v>5</v>
      </c>
    </row>
    <row r="676">
      <c r="A676" t="n">
        <v>675</v>
      </c>
      <c r="B676" t="inlineStr">
        <is>
          <t>Produto</t>
        </is>
      </c>
      <c r="C676" s="121" t="inlineStr">
        <is>
          <t>Kimono de judô adulto laranja tam. G</t>
        </is>
      </c>
      <c r="D676" s="109" t="n">
        <v>242.14</v>
      </c>
      <c r="E676" s="123" t="n">
        <v>50</v>
      </c>
      <c r="F676" s="109">
        <f>ROUND(D676*(1+(E676/100)),2)</f>
        <v/>
      </c>
      <c r="G676" t="n">
        <v>15</v>
      </c>
      <c r="H676" t="n">
        <v>5</v>
      </c>
    </row>
    <row r="677">
      <c r="A677" t="n">
        <v>676</v>
      </c>
      <c r="B677" t="inlineStr">
        <is>
          <t>Produto</t>
        </is>
      </c>
      <c r="C677" s="121" t="inlineStr">
        <is>
          <t>Bicicleta ergométrica juvenil azul</t>
        </is>
      </c>
      <c r="D677" s="109" t="n">
        <v>1234.03</v>
      </c>
      <c r="E677" s="123" t="n">
        <v>50</v>
      </c>
      <c r="F677" s="109">
        <f>ROUND(D677*(1+(E677/100)),2)</f>
        <v/>
      </c>
      <c r="G677" t="n">
        <v>15</v>
      </c>
      <c r="H677" t="n">
        <v>5</v>
      </c>
    </row>
    <row r="678">
      <c r="A678" t="n">
        <v>677</v>
      </c>
      <c r="B678" t="inlineStr">
        <is>
          <t>Produto</t>
        </is>
      </c>
      <c r="C678" s="121" t="inlineStr">
        <is>
          <t>Short esportivo ventilado cinza tam. 34</t>
        </is>
      </c>
      <c r="D678" s="109" t="n">
        <v>44.71</v>
      </c>
      <c r="E678" s="123" t="n">
        <v>50</v>
      </c>
      <c r="F678" s="109">
        <f>ROUND(D678*(1+(E678/100)),2)</f>
        <v/>
      </c>
      <c r="G678" t="n">
        <v>15</v>
      </c>
      <c r="H678" t="n">
        <v>5</v>
      </c>
    </row>
    <row r="679">
      <c r="A679" t="n">
        <v>678</v>
      </c>
      <c r="B679" t="inlineStr">
        <is>
          <t>Produto</t>
        </is>
      </c>
      <c r="C679" s="121" t="inlineStr">
        <is>
          <t>Tênis de corrida para uso diário rosa tam. G</t>
        </is>
      </c>
      <c r="D679" s="109" t="n">
        <v>117.74</v>
      </c>
      <c r="E679" s="123" t="n">
        <v>50</v>
      </c>
      <c r="F679" s="109">
        <f>ROUND(D679*(1+(E679/100)),2)</f>
        <v/>
      </c>
      <c r="G679" t="n">
        <v>15</v>
      </c>
      <c r="H679" t="n">
        <v>5</v>
      </c>
    </row>
    <row r="680">
      <c r="A680" t="n">
        <v>679</v>
      </c>
      <c r="B680" t="inlineStr">
        <is>
          <t>Produto</t>
        </is>
      </c>
      <c r="C680" s="121" t="inlineStr">
        <is>
          <t>Bola de futebol profissional cinza</t>
        </is>
      </c>
      <c r="D680" s="109" t="n">
        <v>153.52</v>
      </c>
      <c r="E680" s="123" t="n">
        <v>50</v>
      </c>
      <c r="F680" s="109">
        <f>ROUND(D680*(1+(E680/100)),2)</f>
        <v/>
      </c>
      <c r="G680" t="n">
        <v>15</v>
      </c>
      <c r="H680" t="n">
        <v>5</v>
      </c>
    </row>
    <row r="681">
      <c r="A681" t="n">
        <v>680</v>
      </c>
      <c r="B681" t="inlineStr">
        <is>
          <t>Produto</t>
        </is>
      </c>
      <c r="C681" s="121" t="inlineStr">
        <is>
          <t>Touca de natação ergonômico verde tam. M</t>
        </is>
      </c>
      <c r="D681" s="109" t="n">
        <v>10.25</v>
      </c>
      <c r="E681" s="123" t="n">
        <v>50</v>
      </c>
      <c r="F681" s="109">
        <f>ROUND(D681*(1+(E681/100)),2)</f>
        <v/>
      </c>
      <c r="G681" t="n">
        <v>15</v>
      </c>
      <c r="H681" t="n">
        <v>5</v>
      </c>
    </row>
    <row r="682">
      <c r="A682" t="n">
        <v>681</v>
      </c>
      <c r="B682" t="inlineStr">
        <is>
          <t>Produto</t>
        </is>
      </c>
      <c r="C682" s="121" t="inlineStr">
        <is>
          <t>Camiseta esportiva profissional rosa tam. M</t>
        </is>
      </c>
      <c r="D682" s="109" t="n">
        <v>49.39</v>
      </c>
      <c r="E682" s="123" t="n">
        <v>50</v>
      </c>
      <c r="F682" s="109">
        <f>ROUND(D682*(1+(E682/100)),2)</f>
        <v/>
      </c>
      <c r="G682" t="n">
        <v>15</v>
      </c>
      <c r="H682" t="n">
        <v>5</v>
      </c>
    </row>
    <row r="683">
      <c r="A683" t="n">
        <v>682</v>
      </c>
      <c r="B683" t="inlineStr">
        <is>
          <t>Produto</t>
        </is>
      </c>
      <c r="C683" s="121" t="inlineStr">
        <is>
          <t>Elástico de resistência ergonômico cinza</t>
        </is>
      </c>
      <c r="D683" s="109" t="n">
        <v>12.5</v>
      </c>
      <c r="E683" s="123" t="n">
        <v>50</v>
      </c>
      <c r="F683" s="109">
        <f>ROUND(D683*(1+(E683/100)),2)</f>
        <v/>
      </c>
      <c r="G683" t="n">
        <v>15</v>
      </c>
      <c r="H683" t="n">
        <v>5</v>
      </c>
    </row>
    <row r="684">
      <c r="A684" t="n">
        <v>683</v>
      </c>
      <c r="B684" t="inlineStr">
        <is>
          <t>Produto</t>
        </is>
      </c>
      <c r="C684" s="121" t="inlineStr">
        <is>
          <t>Caneleira de futebol leve branco</t>
        </is>
      </c>
      <c r="D684" s="109" t="n">
        <v>81.01000000000001</v>
      </c>
      <c r="E684" s="123" t="n">
        <v>50</v>
      </c>
      <c r="F684" s="109">
        <f>ROUND(D684*(1+(E684/100)),2)</f>
        <v/>
      </c>
      <c r="G684" t="n">
        <v>15</v>
      </c>
      <c r="H684" t="n">
        <v>5</v>
      </c>
    </row>
    <row r="685">
      <c r="A685" t="n">
        <v>684</v>
      </c>
      <c r="B685" t="inlineStr">
        <is>
          <t>Produto</t>
        </is>
      </c>
      <c r="C685" s="121" t="inlineStr">
        <is>
          <t>Tapete de yoga com ajuste preto</t>
        </is>
      </c>
      <c r="D685" s="109" t="n">
        <v>65.02</v>
      </c>
      <c r="E685" s="123" t="n">
        <v>50</v>
      </c>
      <c r="F685" s="109">
        <f>ROUND(D685*(1+(E685/100)),2)</f>
        <v/>
      </c>
      <c r="G685" t="n">
        <v>15</v>
      </c>
      <c r="H685" t="n">
        <v>5</v>
      </c>
    </row>
    <row r="686">
      <c r="A686" t="n">
        <v>685</v>
      </c>
      <c r="B686" t="inlineStr">
        <is>
          <t>Produto</t>
        </is>
      </c>
      <c r="C686" s="121" t="inlineStr">
        <is>
          <t>Capacete de ciclismo compacto cinza</t>
        </is>
      </c>
      <c r="D686" s="109" t="n">
        <v>223.99</v>
      </c>
      <c r="E686" s="123" t="n">
        <v>50</v>
      </c>
      <c r="F686" s="109">
        <f>ROUND(D686*(1+(E686/100)),2)</f>
        <v/>
      </c>
      <c r="G686" t="n">
        <v>15</v>
      </c>
      <c r="H686" t="n">
        <v>5</v>
      </c>
    </row>
    <row r="687">
      <c r="A687" t="n">
        <v>686</v>
      </c>
      <c r="B687" t="inlineStr">
        <is>
          <t>Produto</t>
        </is>
      </c>
      <c r="C687" s="121" t="inlineStr">
        <is>
          <t>Chuteira society profissional branco tam. 42</t>
        </is>
      </c>
      <c r="D687" s="109" t="n">
        <v>208.97</v>
      </c>
      <c r="E687" s="123" t="n">
        <v>50</v>
      </c>
      <c r="F687" s="109">
        <f>ROUND(D687*(1+(E687/100)),2)</f>
        <v/>
      </c>
      <c r="G687" t="n">
        <v>15</v>
      </c>
      <c r="H687" t="n">
        <v>5</v>
      </c>
    </row>
    <row r="688">
      <c r="A688" t="n">
        <v>687</v>
      </c>
      <c r="B688" t="inlineStr">
        <is>
          <t>Produto</t>
        </is>
      </c>
      <c r="C688" s="121" t="inlineStr">
        <is>
          <t>Step de ginástica compacto preto</t>
        </is>
      </c>
      <c r="D688" s="109" t="n">
        <v>261.73</v>
      </c>
      <c r="E688" s="123" t="n">
        <v>50</v>
      </c>
      <c r="F688" s="109">
        <f>ROUND(D688*(1+(E688/100)),2)</f>
        <v/>
      </c>
      <c r="G688" t="n">
        <v>15</v>
      </c>
      <c r="H688" t="n">
        <v>5</v>
      </c>
    </row>
    <row r="689">
      <c r="A689" t="n">
        <v>688</v>
      </c>
      <c r="B689" t="inlineStr">
        <is>
          <t>Produto</t>
        </is>
      </c>
      <c r="C689" s="121" t="inlineStr">
        <is>
          <t>Monitor cardíaco ventilado rosa</t>
        </is>
      </c>
      <c r="D689" s="109" t="n">
        <v>366.64</v>
      </c>
      <c r="E689" s="123" t="n">
        <v>50</v>
      </c>
      <c r="F689" s="109">
        <f>ROUND(D689*(1+(E689/100)),2)</f>
        <v/>
      </c>
      <c r="G689" t="n">
        <v>15</v>
      </c>
      <c r="H689" t="n">
        <v>5</v>
      </c>
    </row>
    <row r="690">
      <c r="A690" t="n">
        <v>689</v>
      </c>
      <c r="B690" t="inlineStr">
        <is>
          <t>Produto</t>
        </is>
      </c>
      <c r="C690" s="121" t="inlineStr">
        <is>
          <t>Meias esportivas iniciante azul tam. 38</t>
        </is>
      </c>
      <c r="D690" s="109" t="n">
        <v>38.44</v>
      </c>
      <c r="E690" s="123" t="n">
        <v>50</v>
      </c>
      <c r="F690" s="109">
        <f>ROUND(D690*(1+(E690/100)),2)</f>
        <v/>
      </c>
      <c r="G690" t="n">
        <v>15</v>
      </c>
      <c r="H690" t="n">
        <v>5</v>
      </c>
    </row>
    <row r="691">
      <c r="A691" t="n">
        <v>690</v>
      </c>
      <c r="B691" t="inlineStr">
        <is>
          <t>Produto</t>
        </is>
      </c>
      <c r="C691" s="121" t="inlineStr">
        <is>
          <t>Patins resistente vermelho</t>
        </is>
      </c>
      <c r="D691" s="109" t="n">
        <v>199.33</v>
      </c>
      <c r="E691" s="123" t="n">
        <v>50</v>
      </c>
      <c r="F691" s="109">
        <f>ROUND(D691*(1+(E691/100)),2)</f>
        <v/>
      </c>
      <c r="G691" t="n">
        <v>15</v>
      </c>
      <c r="H691" t="n">
        <v>5</v>
      </c>
    </row>
    <row r="692">
      <c r="A692" t="n">
        <v>691</v>
      </c>
      <c r="B692" t="inlineStr">
        <is>
          <t>Produto</t>
        </is>
      </c>
      <c r="C692" s="121" t="inlineStr">
        <is>
          <t>Step de ginástica leve vermelho</t>
        </is>
      </c>
      <c r="D692" s="109" t="n">
        <v>293.26</v>
      </c>
      <c r="E692" s="123" t="n">
        <v>50</v>
      </c>
      <c r="F692" s="109">
        <f>ROUND(D692*(1+(E692/100)),2)</f>
        <v/>
      </c>
      <c r="G692" t="n">
        <v>15</v>
      </c>
      <c r="H692" t="n">
        <v>5</v>
      </c>
    </row>
    <row r="693">
      <c r="A693" t="n">
        <v>692</v>
      </c>
      <c r="B693" t="inlineStr">
        <is>
          <t>Produto</t>
        </is>
      </c>
      <c r="C693" s="121" t="inlineStr">
        <is>
          <t>Short esportivo juvenil laranja tam. M</t>
        </is>
      </c>
      <c r="D693" s="109" t="n">
        <v>106.88</v>
      </c>
      <c r="E693" s="123" t="n">
        <v>50</v>
      </c>
      <c r="F693" s="109">
        <f>ROUND(D693*(1+(E693/100)),2)</f>
        <v/>
      </c>
      <c r="G693" t="n">
        <v>15</v>
      </c>
      <c r="H693" t="n">
        <v>5</v>
      </c>
    </row>
    <row r="694">
      <c r="A694" t="n">
        <v>693</v>
      </c>
      <c r="B694" t="inlineStr">
        <is>
          <t>Produto</t>
        </is>
      </c>
      <c r="C694" s="121" t="inlineStr">
        <is>
          <t>Bicicleta ergométrica recreativo cinza</t>
        </is>
      </c>
      <c r="D694" s="109" t="n">
        <v>1204.08</v>
      </c>
      <c r="E694" s="123" t="n">
        <v>50</v>
      </c>
      <c r="F694" s="109">
        <f>ROUND(D694*(1+(E694/100)),2)</f>
        <v/>
      </c>
      <c r="G694" t="n">
        <v>15</v>
      </c>
      <c r="H694" t="n">
        <v>5</v>
      </c>
    </row>
    <row r="695">
      <c r="A695" t="n">
        <v>694</v>
      </c>
      <c r="B695" t="inlineStr">
        <is>
          <t>Produto</t>
        </is>
      </c>
      <c r="C695" s="121" t="inlineStr">
        <is>
          <t>Bastão de caminhada profissional laranja</t>
        </is>
      </c>
      <c r="D695" s="109" t="n">
        <v>113.39</v>
      </c>
      <c r="E695" s="123" t="n">
        <v>50</v>
      </c>
      <c r="F695" s="109">
        <f>ROUND(D695*(1+(E695/100)),2)</f>
        <v/>
      </c>
      <c r="G695" t="n">
        <v>15</v>
      </c>
      <c r="H695" t="n">
        <v>5</v>
      </c>
    </row>
    <row r="696">
      <c r="A696" t="n">
        <v>695</v>
      </c>
      <c r="B696" t="inlineStr">
        <is>
          <t>Produto</t>
        </is>
      </c>
      <c r="C696" s="121" t="inlineStr">
        <is>
          <t>Luva de goleiro premium rosa tam. P</t>
        </is>
      </c>
      <c r="D696" s="109" t="n">
        <v>193.84</v>
      </c>
      <c r="E696" s="123" t="n">
        <v>50</v>
      </c>
      <c r="F696" s="109">
        <f>ROUND(D696*(1+(E696/100)),2)</f>
        <v/>
      </c>
      <c r="G696" t="n">
        <v>15</v>
      </c>
      <c r="H696" t="n">
        <v>5</v>
      </c>
    </row>
    <row r="697">
      <c r="A697" t="n">
        <v>696</v>
      </c>
      <c r="B697" t="inlineStr">
        <is>
          <t>Produto</t>
        </is>
      </c>
      <c r="C697" s="121" t="inlineStr">
        <is>
          <t>Kimono de judô resistente laranja tam. M</t>
        </is>
      </c>
      <c r="D697" s="109" t="n">
        <v>184.27</v>
      </c>
      <c r="E697" s="123" t="n">
        <v>50</v>
      </c>
      <c r="F697" s="109">
        <f>ROUND(D697*(1+(E697/100)),2)</f>
        <v/>
      </c>
      <c r="G697" t="n">
        <v>15</v>
      </c>
      <c r="H697" t="n">
        <v>5</v>
      </c>
    </row>
    <row r="698">
      <c r="A698" t="n">
        <v>697</v>
      </c>
      <c r="B698" t="inlineStr">
        <is>
          <t>Produto</t>
        </is>
      </c>
      <c r="C698" s="121" t="inlineStr">
        <is>
          <t>Chuteira society unissex azul tam. M</t>
        </is>
      </c>
      <c r="D698" s="109" t="n">
        <v>262.51</v>
      </c>
      <c r="E698" s="123" t="n">
        <v>50</v>
      </c>
      <c r="F698" s="109">
        <f>ROUND(D698*(1+(E698/100)),2)</f>
        <v/>
      </c>
      <c r="G698" t="n">
        <v>15</v>
      </c>
      <c r="H698" t="n">
        <v>5</v>
      </c>
    </row>
    <row r="699">
      <c r="A699" t="n">
        <v>698</v>
      </c>
      <c r="B699" t="inlineStr">
        <is>
          <t>Produto</t>
        </is>
      </c>
      <c r="C699" s="121" t="inlineStr">
        <is>
          <t>Tênis de corrida ventilado branco tam. 38</t>
        </is>
      </c>
      <c r="D699" s="109" t="n">
        <v>224.65</v>
      </c>
      <c r="E699" s="123" t="n">
        <v>50</v>
      </c>
      <c r="F699" s="109">
        <f>ROUND(D699*(1+(E699/100)),2)</f>
        <v/>
      </c>
      <c r="G699" t="n">
        <v>15</v>
      </c>
      <c r="H699" t="n">
        <v>5</v>
      </c>
    </row>
    <row r="700">
      <c r="A700" t="n">
        <v>699</v>
      </c>
      <c r="B700" t="inlineStr">
        <is>
          <t>Produto</t>
        </is>
      </c>
      <c r="C700" s="121" t="inlineStr">
        <is>
          <t>Óculos de natação unissex rosa</t>
        </is>
      </c>
      <c r="D700" s="109" t="n">
        <v>17.11</v>
      </c>
      <c r="E700" s="123" t="n">
        <v>50</v>
      </c>
      <c r="F700" s="109">
        <f>ROUND(D700*(1+(E700/100)),2)</f>
        <v/>
      </c>
      <c r="G700" t="n">
        <v>15</v>
      </c>
      <c r="H700" t="n">
        <v>5</v>
      </c>
    </row>
    <row r="701">
      <c r="A701" t="n">
        <v>700</v>
      </c>
      <c r="B701" t="inlineStr">
        <is>
          <t>Produto</t>
        </is>
      </c>
      <c r="C701" s="121" t="inlineStr">
        <is>
          <t>Bolsa de academia recreativo laranja</t>
        </is>
      </c>
      <c r="D701" s="109" t="n">
        <v>35.76</v>
      </c>
      <c r="E701" s="123" t="n">
        <v>50</v>
      </c>
      <c r="F701" s="109">
        <f>ROUND(D701*(1+(E701/100)),2)</f>
        <v/>
      </c>
      <c r="G701" t="n">
        <v>15</v>
      </c>
      <c r="H701" t="n">
        <v>5</v>
      </c>
    </row>
    <row r="702">
      <c r="A702" t="n">
        <v>701</v>
      </c>
      <c r="B702" t="inlineStr">
        <is>
          <t>Produto</t>
        </is>
      </c>
      <c r="C702" s="121" t="inlineStr">
        <is>
          <t>Kettlebell juvenil rosa</t>
        </is>
      </c>
      <c r="D702" s="109" t="n">
        <v>223.31</v>
      </c>
      <c r="E702" s="123" t="n">
        <v>50</v>
      </c>
      <c r="F702" s="109">
        <f>ROUND(D702*(1+(E702/100)),2)</f>
        <v/>
      </c>
      <c r="G702" t="n">
        <v>15</v>
      </c>
      <c r="H702" t="n">
        <v>5</v>
      </c>
    </row>
    <row r="703">
      <c r="A703" t="n">
        <v>702</v>
      </c>
      <c r="B703" t="inlineStr">
        <is>
          <t>Produto</t>
        </is>
      </c>
      <c r="C703" s="121" t="inlineStr">
        <is>
          <t>Tapete de yoga modelo básico cinza</t>
        </is>
      </c>
      <c r="D703" s="109" t="n">
        <v>72.45</v>
      </c>
      <c r="E703" s="123" t="n">
        <v>50</v>
      </c>
      <c r="F703" s="109">
        <f>ROUND(D703*(1+(E703/100)),2)</f>
        <v/>
      </c>
      <c r="G703" t="n">
        <v>15</v>
      </c>
      <c r="H703" t="n">
        <v>5</v>
      </c>
    </row>
    <row r="704">
      <c r="A704" t="n">
        <v>703</v>
      </c>
      <c r="B704" t="inlineStr">
        <is>
          <t>Produto</t>
        </is>
      </c>
      <c r="C704" s="121" t="inlineStr">
        <is>
          <t>Óculos esportivos compacto vermelho</t>
        </is>
      </c>
      <c r="D704" s="109" t="n">
        <v>142.93</v>
      </c>
      <c r="E704" s="123" t="n">
        <v>50</v>
      </c>
      <c r="F704" s="109">
        <f>ROUND(D704*(1+(E704/100)),2)</f>
        <v/>
      </c>
      <c r="G704" t="n">
        <v>15</v>
      </c>
      <c r="H704" t="n">
        <v>5</v>
      </c>
    </row>
    <row r="705">
      <c r="A705" t="n">
        <v>704</v>
      </c>
      <c r="B705" t="inlineStr">
        <is>
          <t>Produto</t>
        </is>
      </c>
      <c r="C705" s="121" t="inlineStr">
        <is>
          <t>Bola de pilates modelo básico cinza</t>
        </is>
      </c>
      <c r="D705" s="109" t="n">
        <v>93.91</v>
      </c>
      <c r="E705" s="123" t="n">
        <v>50</v>
      </c>
      <c r="F705" s="109">
        <f>ROUND(D705*(1+(E705/100)),2)</f>
        <v/>
      </c>
      <c r="G705" t="n">
        <v>15</v>
      </c>
      <c r="H705" t="n">
        <v>5</v>
      </c>
    </row>
    <row r="706">
      <c r="A706" t="n">
        <v>705</v>
      </c>
      <c r="B706" t="inlineStr">
        <is>
          <t>Produto</t>
        </is>
      </c>
      <c r="C706" s="121" t="inlineStr">
        <is>
          <t>Saco de pancadas reforçado rosa</t>
        </is>
      </c>
      <c r="D706" s="109" t="n">
        <v>259.46</v>
      </c>
      <c r="E706" s="123" t="n">
        <v>50</v>
      </c>
      <c r="F706" s="109">
        <f>ROUND(D706*(1+(E706/100)),2)</f>
        <v/>
      </c>
      <c r="G706" t="n">
        <v>15</v>
      </c>
      <c r="H706" t="n">
        <v>5</v>
      </c>
    </row>
    <row r="707">
      <c r="A707" t="n">
        <v>706</v>
      </c>
      <c r="B707" t="inlineStr">
        <is>
          <t>Produto</t>
        </is>
      </c>
      <c r="C707" s="121" t="inlineStr">
        <is>
          <t>Corda de pular resistente branco</t>
        </is>
      </c>
      <c r="D707" s="109" t="n">
        <v>75.44</v>
      </c>
      <c r="E707" s="123" t="n">
        <v>50</v>
      </c>
      <c r="F707" s="109">
        <f>ROUND(D707*(1+(E707/100)),2)</f>
        <v/>
      </c>
      <c r="G707" t="n">
        <v>15</v>
      </c>
      <c r="H707" t="n">
        <v>5</v>
      </c>
    </row>
    <row r="708">
      <c r="A708" t="n">
        <v>707</v>
      </c>
      <c r="B708" t="inlineStr">
        <is>
          <t>Produto</t>
        </is>
      </c>
      <c r="C708" s="121" t="inlineStr">
        <is>
          <t>Relógio esportivo profissional cinza</t>
        </is>
      </c>
      <c r="D708" s="109" t="n">
        <v>1081.72</v>
      </c>
      <c r="E708" s="123" t="n">
        <v>50</v>
      </c>
      <c r="F708" s="109">
        <f>ROUND(D708*(1+(E708/100)),2)</f>
        <v/>
      </c>
      <c r="G708" t="n">
        <v>15</v>
      </c>
      <c r="H708" t="n">
        <v>5</v>
      </c>
    </row>
    <row r="709">
      <c r="A709" t="n">
        <v>708</v>
      </c>
      <c r="B709" t="inlineStr">
        <is>
          <t>Produto</t>
        </is>
      </c>
      <c r="C709" s="121" t="inlineStr">
        <is>
          <t>Elástico de resistência resistente preto</t>
        </is>
      </c>
      <c r="D709" s="109" t="n">
        <v>16.81</v>
      </c>
      <c r="E709" s="123" t="n">
        <v>50</v>
      </c>
      <c r="F709" s="109">
        <f>ROUND(D709*(1+(E709/100)),2)</f>
        <v/>
      </c>
      <c r="G709" t="n">
        <v>15</v>
      </c>
      <c r="H709" t="n">
        <v>5</v>
      </c>
    </row>
    <row r="710">
      <c r="A710" t="n">
        <v>709</v>
      </c>
      <c r="B710" t="inlineStr">
        <is>
          <t>Produto</t>
        </is>
      </c>
      <c r="C710" s="121" t="inlineStr">
        <is>
          <t>Short esportivo compacto preto tam. 40</t>
        </is>
      </c>
      <c r="D710" s="109" t="n">
        <v>22.49</v>
      </c>
      <c r="E710" s="123" t="n">
        <v>50</v>
      </c>
      <c r="F710" s="109">
        <f>ROUND(D710*(1+(E710/100)),2)</f>
        <v/>
      </c>
      <c r="G710" t="n">
        <v>15</v>
      </c>
      <c r="H710" t="n">
        <v>5</v>
      </c>
    </row>
    <row r="711">
      <c r="A711" t="n">
        <v>710</v>
      </c>
      <c r="B711" t="inlineStr">
        <is>
          <t>Produto</t>
        </is>
      </c>
      <c r="C711" s="121" t="inlineStr">
        <is>
          <t>Tapete de yoga premium branco</t>
        </is>
      </c>
      <c r="D711" s="109" t="n">
        <v>152.41</v>
      </c>
      <c r="E711" s="123" t="n">
        <v>50</v>
      </c>
      <c r="F711" s="109">
        <f>ROUND(D711*(1+(E711/100)),2)</f>
        <v/>
      </c>
      <c r="G711" t="n">
        <v>15</v>
      </c>
      <c r="H711" t="n">
        <v>5</v>
      </c>
    </row>
    <row r="712">
      <c r="A712" t="n">
        <v>711</v>
      </c>
      <c r="B712" t="inlineStr">
        <is>
          <t>Produto</t>
        </is>
      </c>
      <c r="C712" s="121" t="inlineStr">
        <is>
          <t>Relógio esportivo treino preto</t>
        </is>
      </c>
      <c r="D712" s="109" t="n">
        <v>408.33</v>
      </c>
      <c r="E712" s="123" t="n">
        <v>50</v>
      </c>
      <c r="F712" s="109">
        <f>ROUND(D712*(1+(E712/100)),2)</f>
        <v/>
      </c>
      <c r="G712" t="n">
        <v>15</v>
      </c>
      <c r="H712" t="n">
        <v>5</v>
      </c>
    </row>
    <row r="713">
      <c r="A713" t="n">
        <v>712</v>
      </c>
      <c r="B713" t="inlineStr">
        <is>
          <t>Produto</t>
        </is>
      </c>
      <c r="C713" s="121" t="inlineStr">
        <is>
          <t>Óculos esportivos com ajuste vermelho</t>
        </is>
      </c>
      <c r="D713" s="109" t="n">
        <v>404.3</v>
      </c>
      <c r="E713" s="123" t="n">
        <v>50</v>
      </c>
      <c r="F713" s="109">
        <f>ROUND(D713*(1+(E713/100)),2)</f>
        <v/>
      </c>
      <c r="G713" t="n">
        <v>15</v>
      </c>
      <c r="H713" t="n">
        <v>5</v>
      </c>
    </row>
    <row r="714">
      <c r="A714" t="n">
        <v>713</v>
      </c>
      <c r="B714" t="inlineStr">
        <is>
          <t>Produto</t>
        </is>
      </c>
      <c r="C714" s="121" t="inlineStr">
        <is>
          <t>Luva de ciclismo ventilado branco tam. 36</t>
        </is>
      </c>
      <c r="D714" s="109" t="n">
        <v>34.62</v>
      </c>
      <c r="E714" s="123" t="n">
        <v>50</v>
      </c>
      <c r="F714" s="109">
        <f>ROUND(D714*(1+(E714/100)),2)</f>
        <v/>
      </c>
      <c r="G714" t="n">
        <v>15</v>
      </c>
      <c r="H714" t="n">
        <v>5</v>
      </c>
    </row>
    <row r="715">
      <c r="A715" t="n">
        <v>714</v>
      </c>
      <c r="B715" t="inlineStr">
        <is>
          <t>Produto</t>
        </is>
      </c>
      <c r="C715" s="121" t="inlineStr">
        <is>
          <t>Mochila esportiva iniciante preto</t>
        </is>
      </c>
      <c r="D715" s="109" t="n">
        <v>114.8</v>
      </c>
      <c r="E715" s="123" t="n">
        <v>50</v>
      </c>
      <c r="F715" s="109">
        <f>ROUND(D715*(1+(E715/100)),2)</f>
        <v/>
      </c>
      <c r="G715" t="n">
        <v>15</v>
      </c>
      <c r="H715" t="n">
        <v>5</v>
      </c>
    </row>
    <row r="716">
      <c r="A716" t="n">
        <v>715</v>
      </c>
      <c r="B716" t="inlineStr">
        <is>
          <t>Produto</t>
        </is>
      </c>
      <c r="C716" s="121" t="inlineStr">
        <is>
          <t>Camiseta esportiva reforçado verde tam. GG</t>
        </is>
      </c>
      <c r="D716" s="109" t="n">
        <v>87.06999999999999</v>
      </c>
      <c r="E716" s="123" t="n">
        <v>50</v>
      </c>
      <c r="F716" s="109">
        <f>ROUND(D716*(1+(E716/100)),2)</f>
        <v/>
      </c>
      <c r="G716" t="n">
        <v>15</v>
      </c>
      <c r="H716" t="n">
        <v>5</v>
      </c>
    </row>
    <row r="717">
      <c r="A717" t="n">
        <v>716</v>
      </c>
      <c r="B717" t="inlineStr">
        <is>
          <t>Produto</t>
        </is>
      </c>
      <c r="C717" s="121" t="inlineStr">
        <is>
          <t>Bolsa de academia resistente preto</t>
        </is>
      </c>
      <c r="D717" s="109" t="n">
        <v>159.64</v>
      </c>
      <c r="E717" s="123" t="n">
        <v>50</v>
      </c>
      <c r="F717" s="109">
        <f>ROUND(D717*(1+(E717/100)),2)</f>
        <v/>
      </c>
      <c r="G717" t="n">
        <v>15</v>
      </c>
      <c r="H717" t="n">
        <v>5</v>
      </c>
    </row>
    <row r="718">
      <c r="A718" t="n">
        <v>717</v>
      </c>
      <c r="B718" t="inlineStr">
        <is>
          <t>Produto</t>
        </is>
      </c>
      <c r="C718" s="121" t="inlineStr">
        <is>
          <t>Banco de musculação ergonômico vermelho</t>
        </is>
      </c>
      <c r="D718" s="109" t="n">
        <v>1034.47</v>
      </c>
      <c r="E718" s="123" t="n">
        <v>50</v>
      </c>
      <c r="F718" s="109">
        <f>ROUND(D718*(1+(E718/100)),2)</f>
        <v/>
      </c>
      <c r="G718" t="n">
        <v>15</v>
      </c>
      <c r="H718" t="n">
        <v>5</v>
      </c>
    </row>
    <row r="719">
      <c r="A719" t="n">
        <v>718</v>
      </c>
      <c r="B719" t="inlineStr">
        <is>
          <t>Produto</t>
        </is>
      </c>
      <c r="C719" s="121" t="inlineStr">
        <is>
          <t>Saco de pancadas compacto cinza</t>
        </is>
      </c>
      <c r="D719" s="109" t="n">
        <v>521.45</v>
      </c>
      <c r="E719" s="123" t="n">
        <v>50</v>
      </c>
      <c r="F719" s="109">
        <f>ROUND(D719*(1+(E719/100)),2)</f>
        <v/>
      </c>
      <c r="G719" t="n">
        <v>15</v>
      </c>
      <c r="H719" t="n">
        <v>5</v>
      </c>
    </row>
    <row r="720">
      <c r="A720" t="n">
        <v>719</v>
      </c>
      <c r="B720" t="inlineStr">
        <is>
          <t>Produto</t>
        </is>
      </c>
      <c r="C720" s="121" t="inlineStr">
        <is>
          <t>Coqueteleira alta performance laranja</t>
        </is>
      </c>
      <c r="D720" s="109" t="n">
        <v>47.71</v>
      </c>
      <c r="E720" s="123" t="n">
        <v>50</v>
      </c>
      <c r="F720" s="109">
        <f>ROUND(D720*(1+(E720/100)),2)</f>
        <v/>
      </c>
      <c r="G720" t="n">
        <v>15</v>
      </c>
      <c r="H720" t="n">
        <v>5</v>
      </c>
    </row>
    <row r="721">
      <c r="A721" t="n">
        <v>720</v>
      </c>
      <c r="B721" t="inlineStr">
        <is>
          <t>Produto</t>
        </is>
      </c>
      <c r="C721" s="121" t="inlineStr">
        <is>
          <t>Capacete de ciclismo reforçado rosa</t>
        </is>
      </c>
      <c r="D721" s="109" t="n">
        <v>142.21</v>
      </c>
      <c r="E721" s="123" t="n">
        <v>50</v>
      </c>
      <c r="F721" s="109">
        <f>ROUND(D721*(1+(E721/100)),2)</f>
        <v/>
      </c>
      <c r="G721" t="n">
        <v>15</v>
      </c>
      <c r="H721" t="n">
        <v>5</v>
      </c>
    </row>
    <row r="722">
      <c r="A722" t="n">
        <v>721</v>
      </c>
      <c r="B722" t="inlineStr">
        <is>
          <t>Produto</t>
        </is>
      </c>
      <c r="C722" s="121" t="inlineStr">
        <is>
          <t>Monitor cardíaco para uso diário azul</t>
        </is>
      </c>
      <c r="D722" s="109" t="n">
        <v>57.95</v>
      </c>
      <c r="E722" s="123" t="n">
        <v>50</v>
      </c>
      <c r="F722" s="109">
        <f>ROUND(D722*(1+(E722/100)),2)</f>
        <v/>
      </c>
      <c r="G722" t="n">
        <v>15</v>
      </c>
      <c r="H722" t="n">
        <v>5</v>
      </c>
    </row>
    <row r="723">
      <c r="A723" t="n">
        <v>722</v>
      </c>
      <c r="B723" t="inlineStr">
        <is>
          <t>Produto</t>
        </is>
      </c>
      <c r="C723" s="121" t="inlineStr">
        <is>
          <t>Prancha de natação ventilado cinza</t>
        </is>
      </c>
      <c r="D723" s="109" t="n">
        <v>44.8</v>
      </c>
      <c r="E723" s="123" t="n">
        <v>50</v>
      </c>
      <c r="F723" s="109">
        <f>ROUND(D723*(1+(E723/100)),2)</f>
        <v/>
      </c>
      <c r="G723" t="n">
        <v>15</v>
      </c>
      <c r="H723" t="n">
        <v>5</v>
      </c>
    </row>
    <row r="724">
      <c r="A724" t="n">
        <v>723</v>
      </c>
      <c r="B724" t="inlineStr">
        <is>
          <t>Produto</t>
        </is>
      </c>
      <c r="C724" s="121" t="inlineStr">
        <is>
          <t>Tênis de corrida profissional branco tam. 34</t>
        </is>
      </c>
      <c r="D724" s="109" t="n">
        <v>416.65</v>
      </c>
      <c r="E724" s="123" t="n">
        <v>50</v>
      </c>
      <c r="F724" s="109">
        <f>ROUND(D724*(1+(E724/100)),2)</f>
        <v/>
      </c>
      <c r="G724" t="n">
        <v>15</v>
      </c>
      <c r="H724" t="n">
        <v>5</v>
      </c>
    </row>
    <row r="725">
      <c r="A725" t="n">
        <v>724</v>
      </c>
      <c r="B725" t="inlineStr">
        <is>
          <t>Produto</t>
        </is>
      </c>
      <c r="C725" s="121" t="inlineStr">
        <is>
          <t>Bolsa de academia iniciante verde</t>
        </is>
      </c>
      <c r="D725" s="109" t="n">
        <v>52.43</v>
      </c>
      <c r="E725" s="123" t="n">
        <v>50</v>
      </c>
      <c r="F725" s="109">
        <f>ROUND(D725*(1+(E725/100)),2)</f>
        <v/>
      </c>
      <c r="G725" t="n">
        <v>15</v>
      </c>
      <c r="H725" t="n">
        <v>5</v>
      </c>
    </row>
    <row r="726">
      <c r="A726" t="n">
        <v>725</v>
      </c>
      <c r="B726" t="inlineStr">
        <is>
          <t>Produto</t>
        </is>
      </c>
      <c r="C726" s="121" t="inlineStr">
        <is>
          <t>Step de ginástica juvenil laranja</t>
        </is>
      </c>
      <c r="D726" s="109" t="n">
        <v>218.47</v>
      </c>
      <c r="E726" s="123" t="n">
        <v>50</v>
      </c>
      <c r="F726" s="109">
        <f>ROUND(D726*(1+(E726/100)),2)</f>
        <v/>
      </c>
      <c r="G726" t="n">
        <v>15</v>
      </c>
      <c r="H726" t="n">
        <v>5</v>
      </c>
    </row>
    <row r="727">
      <c r="A727" t="n">
        <v>726</v>
      </c>
      <c r="B727" t="inlineStr">
        <is>
          <t>Produto</t>
        </is>
      </c>
      <c r="C727" s="121" t="inlineStr">
        <is>
          <t>Nadadeira adulto rosa</t>
        </is>
      </c>
      <c r="D727" s="109" t="n">
        <v>179.54</v>
      </c>
      <c r="E727" s="123" t="n">
        <v>50</v>
      </c>
      <c r="F727" s="109">
        <f>ROUND(D727*(1+(E727/100)),2)</f>
        <v/>
      </c>
      <c r="G727" t="n">
        <v>15</v>
      </c>
      <c r="H727" t="n">
        <v>5</v>
      </c>
    </row>
    <row r="728">
      <c r="A728" t="n">
        <v>727</v>
      </c>
      <c r="B728" t="inlineStr">
        <is>
          <t>Produto</t>
        </is>
      </c>
      <c r="C728" s="121" t="inlineStr">
        <is>
          <t>Mochila esportiva para uso diário laranja</t>
        </is>
      </c>
      <c r="D728" s="109" t="n">
        <v>186.23</v>
      </c>
      <c r="E728" s="123" t="n">
        <v>50</v>
      </c>
      <c r="F728" s="109">
        <f>ROUND(D728*(1+(E728/100)),2)</f>
        <v/>
      </c>
      <c r="G728" t="n">
        <v>15</v>
      </c>
      <c r="H728" t="n">
        <v>5</v>
      </c>
    </row>
    <row r="729">
      <c r="A729" t="n">
        <v>728</v>
      </c>
      <c r="B729" t="inlineStr">
        <is>
          <t>Produto</t>
        </is>
      </c>
      <c r="C729" s="121" t="inlineStr">
        <is>
          <t>Luva de boxe reforçado branco tam. GG</t>
        </is>
      </c>
      <c r="D729" s="109" t="n">
        <v>219.01</v>
      </c>
      <c r="E729" s="123" t="n">
        <v>50</v>
      </c>
      <c r="F729" s="109">
        <f>ROUND(D729*(1+(E729/100)),2)</f>
        <v/>
      </c>
      <c r="G729" t="n">
        <v>15</v>
      </c>
      <c r="H729" t="n">
        <v>5</v>
      </c>
    </row>
    <row r="730">
      <c r="A730" t="n">
        <v>729</v>
      </c>
      <c r="B730" t="inlineStr">
        <is>
          <t>Produto</t>
        </is>
      </c>
      <c r="C730" s="121" t="inlineStr">
        <is>
          <t>Touca de natação modelo avançado cinza tam. G</t>
        </is>
      </c>
      <c r="D730" s="109" t="n">
        <v>51.81</v>
      </c>
      <c r="E730" s="123" t="n">
        <v>50</v>
      </c>
      <c r="F730" s="109">
        <f>ROUND(D730*(1+(E730/100)),2)</f>
        <v/>
      </c>
      <c r="G730" t="n">
        <v>15</v>
      </c>
      <c r="H730" t="n">
        <v>5</v>
      </c>
    </row>
    <row r="731">
      <c r="A731" t="n">
        <v>730</v>
      </c>
      <c r="B731" t="inlineStr">
        <is>
          <t>Produto</t>
        </is>
      </c>
      <c r="C731" s="121" t="inlineStr">
        <is>
          <t>Luva de goleiro iniciante azul tam. 40</t>
        </is>
      </c>
      <c r="D731" s="109" t="n">
        <v>51.58</v>
      </c>
      <c r="E731" s="123" t="n">
        <v>50</v>
      </c>
      <c r="F731" s="109">
        <f>ROUND(D731*(1+(E731/100)),2)</f>
        <v/>
      </c>
      <c r="G731" t="n">
        <v>15</v>
      </c>
      <c r="H731" t="n">
        <v>5</v>
      </c>
    </row>
    <row r="732">
      <c r="A732" t="n">
        <v>731</v>
      </c>
      <c r="B732" t="inlineStr">
        <is>
          <t>Produto</t>
        </is>
      </c>
      <c r="C732" s="121" t="inlineStr">
        <is>
          <t>Mochila esportiva leve branco</t>
        </is>
      </c>
      <c r="D732" s="109" t="n">
        <v>169.45</v>
      </c>
      <c r="E732" s="123" t="n">
        <v>50</v>
      </c>
      <c r="F732" s="109">
        <f>ROUND(D732*(1+(E732/100)),2)</f>
        <v/>
      </c>
      <c r="G732" t="n">
        <v>15</v>
      </c>
      <c r="H732" t="n">
        <v>5</v>
      </c>
    </row>
    <row r="733">
      <c r="A733" t="n">
        <v>732</v>
      </c>
      <c r="B733" t="inlineStr">
        <is>
          <t>Produto</t>
        </is>
      </c>
      <c r="C733" s="121" t="inlineStr">
        <is>
          <t>Jaqueta esportiva compacto cinza tam. 38</t>
        </is>
      </c>
      <c r="D733" s="109" t="n">
        <v>247.81</v>
      </c>
      <c r="E733" s="123" t="n">
        <v>50</v>
      </c>
      <c r="F733" s="109">
        <f>ROUND(D733*(1+(E733/100)),2)</f>
        <v/>
      </c>
      <c r="G733" t="n">
        <v>15</v>
      </c>
      <c r="H733" t="n">
        <v>5</v>
      </c>
    </row>
    <row r="734">
      <c r="A734" t="n">
        <v>733</v>
      </c>
      <c r="B734" t="inlineStr">
        <is>
          <t>Produto</t>
        </is>
      </c>
      <c r="C734" s="121" t="inlineStr">
        <is>
          <t>Kettlebell premium cinza</t>
        </is>
      </c>
      <c r="D734" s="109" t="n">
        <v>127.33</v>
      </c>
      <c r="E734" s="123" t="n">
        <v>50</v>
      </c>
      <c r="F734" s="109">
        <f>ROUND(D734*(1+(E734/100)),2)</f>
        <v/>
      </c>
      <c r="G734" t="n">
        <v>15</v>
      </c>
      <c r="H734" t="n">
        <v>5</v>
      </c>
    </row>
    <row r="735">
      <c r="A735" t="n">
        <v>734</v>
      </c>
      <c r="B735" t="inlineStr">
        <is>
          <t>Produto</t>
        </is>
      </c>
      <c r="C735" s="121" t="inlineStr">
        <is>
          <t>Tênis para quadra juvenil azul tam. 40</t>
        </is>
      </c>
      <c r="D735" s="109" t="n">
        <v>435.49</v>
      </c>
      <c r="E735" s="123" t="n">
        <v>50</v>
      </c>
      <c r="F735" s="109">
        <f>ROUND(D735*(1+(E735/100)),2)</f>
        <v/>
      </c>
      <c r="G735" t="n">
        <v>15</v>
      </c>
      <c r="H735" t="n">
        <v>5</v>
      </c>
    </row>
    <row r="736">
      <c r="A736" t="n">
        <v>735</v>
      </c>
      <c r="B736" t="inlineStr">
        <is>
          <t>Produto</t>
        </is>
      </c>
      <c r="C736" s="121" t="inlineStr">
        <is>
          <t>Relógio esportivo para uso diário cinza</t>
        </is>
      </c>
      <c r="D736" s="109" t="n">
        <v>654.8200000000001</v>
      </c>
      <c r="E736" s="123" t="n">
        <v>50</v>
      </c>
      <c r="F736" s="109">
        <f>ROUND(D736*(1+(E736/100)),2)</f>
        <v/>
      </c>
      <c r="G736" t="n">
        <v>15</v>
      </c>
      <c r="H736" t="n">
        <v>5</v>
      </c>
    </row>
    <row r="737">
      <c r="A737" t="n">
        <v>736</v>
      </c>
      <c r="B737" t="inlineStr">
        <is>
          <t>Produto</t>
        </is>
      </c>
      <c r="C737" s="121" t="inlineStr">
        <is>
          <t>Chuteira society reforçado branco tam. 38</t>
        </is>
      </c>
      <c r="D737" s="109" t="n">
        <v>415.33</v>
      </c>
      <c r="E737" s="123" t="n">
        <v>50</v>
      </c>
      <c r="F737" s="109">
        <f>ROUND(D737*(1+(E737/100)),2)</f>
        <v/>
      </c>
      <c r="G737" t="n">
        <v>15</v>
      </c>
      <c r="H737" t="n">
        <v>5</v>
      </c>
    </row>
    <row r="738">
      <c r="A738" t="n">
        <v>737</v>
      </c>
      <c r="B738" t="inlineStr">
        <is>
          <t>Produto</t>
        </is>
      </c>
      <c r="C738" s="121" t="inlineStr">
        <is>
          <t>Capacete de ciclismo modelo básico vermelho</t>
        </is>
      </c>
      <c r="D738" s="109" t="n">
        <v>290.97</v>
      </c>
      <c r="E738" s="123" t="n">
        <v>50</v>
      </c>
      <c r="F738" s="109">
        <f>ROUND(D738*(1+(E738/100)),2)</f>
        <v/>
      </c>
      <c r="G738" t="n">
        <v>15</v>
      </c>
      <c r="H738" t="n">
        <v>5</v>
      </c>
    </row>
    <row r="739">
      <c r="A739" t="n">
        <v>738</v>
      </c>
      <c r="B739" t="inlineStr">
        <is>
          <t>Produto</t>
        </is>
      </c>
      <c r="C739" s="121" t="inlineStr">
        <is>
          <t>Óculos esportivos leve branco</t>
        </is>
      </c>
      <c r="D739" s="109" t="n">
        <v>275.2</v>
      </c>
      <c r="E739" s="123" t="n">
        <v>50</v>
      </c>
      <c r="F739" s="109">
        <f>ROUND(D739*(1+(E739/100)),2)</f>
        <v/>
      </c>
      <c r="G739" t="n">
        <v>15</v>
      </c>
      <c r="H739" t="n">
        <v>5</v>
      </c>
    </row>
    <row r="740">
      <c r="A740" t="n">
        <v>739</v>
      </c>
      <c r="B740" t="inlineStr">
        <is>
          <t>Produto</t>
        </is>
      </c>
      <c r="C740" s="121" t="inlineStr">
        <is>
          <t>Bola de futebol premium verde</t>
        </is>
      </c>
      <c r="D740" s="109" t="n">
        <v>144.12</v>
      </c>
      <c r="E740" s="123" t="n">
        <v>50</v>
      </c>
      <c r="F740" s="109">
        <f>ROUND(D740*(1+(E740/100)),2)</f>
        <v/>
      </c>
      <c r="G740" t="n">
        <v>15</v>
      </c>
      <c r="H740" t="n">
        <v>5</v>
      </c>
    </row>
    <row r="741">
      <c r="A741" t="n">
        <v>740</v>
      </c>
      <c r="B741" t="inlineStr">
        <is>
          <t>Produto</t>
        </is>
      </c>
      <c r="C741" s="121" t="inlineStr">
        <is>
          <t>Camiseta esportiva leve rosa tam. M</t>
        </is>
      </c>
      <c r="D741" s="109" t="n">
        <v>31.14</v>
      </c>
      <c r="E741" s="123" t="n">
        <v>50</v>
      </c>
      <c r="F741" s="109">
        <f>ROUND(D741*(1+(E741/100)),2)</f>
        <v/>
      </c>
      <c r="G741" t="n">
        <v>15</v>
      </c>
      <c r="H741" t="n">
        <v>5</v>
      </c>
    </row>
    <row r="742">
      <c r="A742" t="n">
        <v>741</v>
      </c>
      <c r="B742" t="inlineStr">
        <is>
          <t>Produto</t>
        </is>
      </c>
      <c r="C742" s="121" t="inlineStr">
        <is>
          <t>Bicicleta ergométrica para uso diário laranja</t>
        </is>
      </c>
      <c r="D742" s="109" t="n">
        <v>2908.4</v>
      </c>
      <c r="E742" s="123" t="n">
        <v>50</v>
      </c>
      <c r="F742" s="109">
        <f>ROUND(D742*(1+(E742/100)),2)</f>
        <v/>
      </c>
      <c r="G742" t="n">
        <v>15</v>
      </c>
      <c r="H742" t="n">
        <v>5</v>
      </c>
    </row>
    <row r="743">
      <c r="A743" t="n">
        <v>742</v>
      </c>
      <c r="B743" t="inlineStr">
        <is>
          <t>Produto</t>
        </is>
      </c>
      <c r="C743" s="121" t="inlineStr">
        <is>
          <t>Bloco para yoga juvenil verde</t>
        </is>
      </c>
      <c r="D743" s="109" t="n">
        <v>37.43</v>
      </c>
      <c r="E743" s="123" t="n">
        <v>50</v>
      </c>
      <c r="F743" s="109">
        <f>ROUND(D743*(1+(E743/100)),2)</f>
        <v/>
      </c>
      <c r="G743" t="n">
        <v>15</v>
      </c>
      <c r="H743" t="n">
        <v>5</v>
      </c>
    </row>
    <row r="744">
      <c r="A744" t="n">
        <v>743</v>
      </c>
      <c r="B744" t="inlineStr">
        <is>
          <t>Produto</t>
        </is>
      </c>
      <c r="C744" s="121" t="inlineStr">
        <is>
          <t>Bola de futebol resistente verde</t>
        </is>
      </c>
      <c r="D744" s="109" t="n">
        <v>32.63</v>
      </c>
      <c r="E744" s="123" t="n">
        <v>50</v>
      </c>
      <c r="F744" s="109">
        <f>ROUND(D744*(1+(E744/100)),2)</f>
        <v/>
      </c>
      <c r="G744" t="n">
        <v>15</v>
      </c>
      <c r="H744" t="n">
        <v>5</v>
      </c>
    </row>
    <row r="745">
      <c r="A745" t="n">
        <v>744</v>
      </c>
      <c r="B745" t="inlineStr">
        <is>
          <t>Produto</t>
        </is>
      </c>
      <c r="C745" s="121" t="inlineStr">
        <is>
          <t>Bola de futebol compacto branco</t>
        </is>
      </c>
      <c r="D745" s="109" t="n">
        <v>76.75</v>
      </c>
      <c r="E745" s="123" t="n">
        <v>50</v>
      </c>
      <c r="F745" s="109">
        <f>ROUND(D745*(1+(E745/100)),2)</f>
        <v/>
      </c>
      <c r="G745" t="n">
        <v>15</v>
      </c>
      <c r="H745" t="n">
        <v>5</v>
      </c>
    </row>
    <row r="746">
      <c r="A746" t="n">
        <v>745</v>
      </c>
      <c r="B746" t="inlineStr">
        <is>
          <t>Produto</t>
        </is>
      </c>
      <c r="C746" s="121" t="inlineStr">
        <is>
          <t>Tênis de corrida resistente cinza tam. G</t>
        </is>
      </c>
      <c r="D746" s="109" t="n">
        <v>123.23</v>
      </c>
      <c r="E746" s="123" t="n">
        <v>50</v>
      </c>
      <c r="F746" s="109">
        <f>ROUND(D746*(1+(E746/100)),2)</f>
        <v/>
      </c>
      <c r="G746" t="n">
        <v>15</v>
      </c>
      <c r="H746" t="n">
        <v>5</v>
      </c>
    </row>
    <row r="747">
      <c r="A747" t="n">
        <v>746</v>
      </c>
      <c r="B747" t="inlineStr">
        <is>
          <t>Produto</t>
        </is>
      </c>
      <c r="C747" s="121" t="inlineStr">
        <is>
          <t>Bola de vôlei iniciante rosa</t>
        </is>
      </c>
      <c r="D747" s="109" t="n">
        <v>85.08</v>
      </c>
      <c r="E747" s="123" t="n">
        <v>50</v>
      </c>
      <c r="F747" s="109">
        <f>ROUND(D747*(1+(E747/100)),2)</f>
        <v/>
      </c>
      <c r="G747" t="n">
        <v>15</v>
      </c>
      <c r="H747" t="n">
        <v>5</v>
      </c>
    </row>
    <row r="748">
      <c r="A748" t="n">
        <v>747</v>
      </c>
      <c r="B748" t="inlineStr">
        <is>
          <t>Produto</t>
        </is>
      </c>
      <c r="C748" s="121" t="inlineStr">
        <is>
          <t>Saco de pancadas modelo básico laranja</t>
        </is>
      </c>
      <c r="D748" s="109" t="n">
        <v>706</v>
      </c>
      <c r="E748" s="123" t="n">
        <v>50</v>
      </c>
      <c r="F748" s="109">
        <f>ROUND(D748*(1+(E748/100)),2)</f>
        <v/>
      </c>
      <c r="G748" t="n">
        <v>15</v>
      </c>
      <c r="H748" t="n">
        <v>5</v>
      </c>
    </row>
    <row r="749">
      <c r="A749" t="n">
        <v>748</v>
      </c>
      <c r="B749" t="inlineStr">
        <is>
          <t>Produto</t>
        </is>
      </c>
      <c r="C749" s="121" t="inlineStr">
        <is>
          <t>Chuteira de campo ergonômico branco tam. GG</t>
        </is>
      </c>
      <c r="D749" s="109" t="n">
        <v>149.11</v>
      </c>
      <c r="E749" s="123" t="n">
        <v>50</v>
      </c>
      <c r="F749" s="109">
        <f>ROUND(D749*(1+(E749/100)),2)</f>
        <v/>
      </c>
      <c r="G749" t="n">
        <v>15</v>
      </c>
      <c r="H749" t="n">
        <v>5</v>
      </c>
    </row>
    <row r="750">
      <c r="A750" t="n">
        <v>749</v>
      </c>
      <c r="B750" t="inlineStr">
        <is>
          <t>Produto</t>
        </is>
      </c>
      <c r="C750" s="121" t="inlineStr">
        <is>
          <t>Elástico de resistência compacto verde</t>
        </is>
      </c>
      <c r="D750" s="109" t="n">
        <v>45.7</v>
      </c>
      <c r="E750" s="123" t="n">
        <v>50</v>
      </c>
      <c r="F750" s="109">
        <f>ROUND(D750*(1+(E750/100)),2)</f>
        <v/>
      </c>
      <c r="G750" t="n">
        <v>15</v>
      </c>
      <c r="H750" t="n">
        <v>5</v>
      </c>
    </row>
    <row r="751">
      <c r="A751" t="n">
        <v>750</v>
      </c>
      <c r="B751" t="inlineStr">
        <is>
          <t>Produto</t>
        </is>
      </c>
      <c r="C751" s="121" t="inlineStr">
        <is>
          <t>Chuteira de campo adulto vermelho tam. M</t>
        </is>
      </c>
      <c r="D751" s="109" t="n">
        <v>243.5</v>
      </c>
      <c r="E751" s="123" t="n">
        <v>50</v>
      </c>
      <c r="F751" s="109">
        <f>ROUND(D751*(1+(E751/100)),2)</f>
        <v/>
      </c>
      <c r="G751" t="n">
        <v>15</v>
      </c>
      <c r="H751" t="n">
        <v>5</v>
      </c>
    </row>
    <row r="752">
      <c r="A752" t="n">
        <v>751</v>
      </c>
      <c r="B752" t="inlineStr">
        <is>
          <t>Produto</t>
        </is>
      </c>
      <c r="C752" s="121" t="inlineStr">
        <is>
          <t>Óculos de natação para uso diário cinza</t>
        </is>
      </c>
      <c r="D752" s="109" t="n">
        <v>118.37</v>
      </c>
      <c r="E752" s="123" t="n">
        <v>50</v>
      </c>
      <c r="F752" s="109">
        <f>ROUND(D752*(1+(E752/100)),2)</f>
        <v/>
      </c>
      <c r="G752" t="n">
        <v>15</v>
      </c>
      <c r="H752" t="n">
        <v>5</v>
      </c>
    </row>
    <row r="753">
      <c r="A753" t="n">
        <v>752</v>
      </c>
      <c r="B753" t="inlineStr">
        <is>
          <t>Produto</t>
        </is>
      </c>
      <c r="C753" s="121" t="inlineStr">
        <is>
          <t>Kimono de judô versão 2026 preto tam. M</t>
        </is>
      </c>
      <c r="D753" s="109" t="n">
        <v>256.01</v>
      </c>
      <c r="E753" s="123" t="n">
        <v>50</v>
      </c>
      <c r="F753" s="109">
        <f>ROUND(D753*(1+(E753/100)),2)</f>
        <v/>
      </c>
      <c r="G753" t="n">
        <v>15</v>
      </c>
      <c r="H753" t="n">
        <v>5</v>
      </c>
    </row>
    <row r="754">
      <c r="A754" t="n">
        <v>753</v>
      </c>
      <c r="B754" t="inlineStr">
        <is>
          <t>Produto</t>
        </is>
      </c>
      <c r="C754" s="121" t="inlineStr">
        <is>
          <t>Bola de basquete treino laranja</t>
        </is>
      </c>
      <c r="D754" s="109" t="n">
        <v>86.59</v>
      </c>
      <c r="E754" s="123" t="n">
        <v>50</v>
      </c>
      <c r="F754" s="109">
        <f>ROUND(D754*(1+(E754/100)),2)</f>
        <v/>
      </c>
      <c r="G754" t="n">
        <v>15</v>
      </c>
      <c r="H754" t="n">
        <v>5</v>
      </c>
    </row>
    <row r="755">
      <c r="A755" t="n">
        <v>754</v>
      </c>
      <c r="B755" t="inlineStr">
        <is>
          <t>Produto</t>
        </is>
      </c>
      <c r="C755" s="121" t="inlineStr">
        <is>
          <t>Tênis para quadra premium rosa tam. G</t>
        </is>
      </c>
      <c r="D755" s="109" t="n">
        <v>160.55</v>
      </c>
      <c r="E755" s="123" t="n">
        <v>50</v>
      </c>
      <c r="F755" s="109">
        <f>ROUND(D755*(1+(E755/100)),2)</f>
        <v/>
      </c>
      <c r="G755" t="n">
        <v>15</v>
      </c>
      <c r="H755" t="n">
        <v>5</v>
      </c>
    </row>
    <row r="756">
      <c r="A756" t="n">
        <v>755</v>
      </c>
      <c r="B756" t="inlineStr">
        <is>
          <t>Produto</t>
        </is>
      </c>
      <c r="C756" s="121" t="inlineStr">
        <is>
          <t>Nadadeira iniciante laranja</t>
        </is>
      </c>
      <c r="D756" s="109" t="n">
        <v>127.16</v>
      </c>
      <c r="E756" s="123" t="n">
        <v>50</v>
      </c>
      <c r="F756" s="109">
        <f>ROUND(D756*(1+(E756/100)),2)</f>
        <v/>
      </c>
      <c r="G756" t="n">
        <v>15</v>
      </c>
      <c r="H756" t="n">
        <v>5</v>
      </c>
    </row>
    <row r="757">
      <c r="A757" t="n">
        <v>756</v>
      </c>
      <c r="B757" t="inlineStr">
        <is>
          <t>Produto</t>
        </is>
      </c>
      <c r="C757" s="121" t="inlineStr">
        <is>
          <t>Prancha de natação premium vermelho</t>
        </is>
      </c>
      <c r="D757" s="109" t="n">
        <v>55.63</v>
      </c>
      <c r="E757" s="123" t="n">
        <v>50</v>
      </c>
      <c r="F757" s="109">
        <f>ROUND(D757*(1+(E757/100)),2)</f>
        <v/>
      </c>
      <c r="G757" t="n">
        <v>15</v>
      </c>
      <c r="H757" t="n">
        <v>5</v>
      </c>
    </row>
    <row r="758">
      <c r="A758" t="n">
        <v>757</v>
      </c>
      <c r="B758" t="inlineStr">
        <is>
          <t>Produto</t>
        </is>
      </c>
      <c r="C758" s="121" t="inlineStr">
        <is>
          <t>Tênis de corrida versão 2026 azul tam. 34</t>
        </is>
      </c>
      <c r="D758" s="109" t="n">
        <v>148.09</v>
      </c>
      <c r="E758" s="123" t="n">
        <v>50</v>
      </c>
      <c r="F758" s="109">
        <f>ROUND(D758*(1+(E758/100)),2)</f>
        <v/>
      </c>
      <c r="G758" t="n">
        <v>15</v>
      </c>
      <c r="H758" t="n">
        <v>5</v>
      </c>
    </row>
    <row r="759">
      <c r="A759" t="n">
        <v>758</v>
      </c>
      <c r="B759" t="inlineStr">
        <is>
          <t>Produto</t>
        </is>
      </c>
      <c r="C759" s="121" t="inlineStr">
        <is>
          <t>Tênis de corrida reforçado verde tam. 34</t>
        </is>
      </c>
      <c r="D759" s="109" t="n">
        <v>514</v>
      </c>
      <c r="E759" s="123" t="n">
        <v>50</v>
      </c>
      <c r="F759" s="109">
        <f>ROUND(D759*(1+(E759/100)),2)</f>
        <v/>
      </c>
      <c r="G759" t="n">
        <v>15</v>
      </c>
      <c r="H759" t="n">
        <v>5</v>
      </c>
    </row>
    <row r="760">
      <c r="A760" t="n">
        <v>759</v>
      </c>
      <c r="B760" t="inlineStr">
        <is>
          <t>Produto</t>
        </is>
      </c>
      <c r="C760" s="121" t="inlineStr">
        <is>
          <t>Short esportivo alta performance cinza tam. G</t>
        </is>
      </c>
      <c r="D760" s="109" t="n">
        <v>21.49</v>
      </c>
      <c r="E760" s="123" t="n">
        <v>50</v>
      </c>
      <c r="F760" s="109">
        <f>ROUND(D760*(1+(E760/100)),2)</f>
        <v/>
      </c>
      <c r="G760" t="n">
        <v>15</v>
      </c>
      <c r="H760" t="n">
        <v>5</v>
      </c>
    </row>
    <row r="761">
      <c r="A761" t="n">
        <v>760</v>
      </c>
      <c r="B761" t="inlineStr">
        <is>
          <t>Produto</t>
        </is>
      </c>
      <c r="C761" s="121" t="inlineStr">
        <is>
          <t>Óculos esportivos ergonômico branco</t>
        </is>
      </c>
      <c r="D761" s="109" t="n">
        <v>116.8</v>
      </c>
      <c r="E761" s="123" t="n">
        <v>50</v>
      </c>
      <c r="F761" s="109">
        <f>ROUND(D761*(1+(E761/100)),2)</f>
        <v/>
      </c>
      <c r="G761" t="n">
        <v>15</v>
      </c>
      <c r="H761" t="n">
        <v>5</v>
      </c>
    </row>
    <row r="762">
      <c r="A762" t="n">
        <v>761</v>
      </c>
      <c r="B762" t="inlineStr">
        <is>
          <t>Produto</t>
        </is>
      </c>
      <c r="C762" s="121" t="inlineStr">
        <is>
          <t>Bola de futebol treino rosa</t>
        </is>
      </c>
      <c r="D762" s="109" t="n">
        <v>52.31</v>
      </c>
      <c r="E762" s="123" t="n">
        <v>50</v>
      </c>
      <c r="F762" s="109">
        <f>ROUND(D762*(1+(E762/100)),2)</f>
        <v/>
      </c>
      <c r="G762" t="n">
        <v>15</v>
      </c>
      <c r="H762" t="n">
        <v>5</v>
      </c>
    </row>
    <row r="763">
      <c r="A763" t="n">
        <v>762</v>
      </c>
      <c r="B763" t="inlineStr">
        <is>
          <t>Produto</t>
        </is>
      </c>
      <c r="C763" s="121" t="inlineStr">
        <is>
          <t>Raquete de badminton profissional azul</t>
        </is>
      </c>
      <c r="D763" s="109" t="n">
        <v>219.94</v>
      </c>
      <c r="E763" s="123" t="n">
        <v>50</v>
      </c>
      <c r="F763" s="109">
        <f>ROUND(D763*(1+(E763/100)),2)</f>
        <v/>
      </c>
      <c r="G763" t="n">
        <v>15</v>
      </c>
      <c r="H763" t="n">
        <v>5</v>
      </c>
    </row>
    <row r="764">
      <c r="A764" t="n">
        <v>763</v>
      </c>
      <c r="B764" t="inlineStr">
        <is>
          <t>Produto</t>
        </is>
      </c>
      <c r="C764" s="121" t="inlineStr">
        <is>
          <t>Óculos de natação com ajuste cinza</t>
        </is>
      </c>
      <c r="D764" s="109" t="n">
        <v>48.39</v>
      </c>
      <c r="E764" s="123" t="n">
        <v>50</v>
      </c>
      <c r="F764" s="109">
        <f>ROUND(D764*(1+(E764/100)),2)</f>
        <v/>
      </c>
      <c r="G764" t="n">
        <v>15</v>
      </c>
      <c r="H764" t="n">
        <v>5</v>
      </c>
    </row>
    <row r="765">
      <c r="A765" t="n">
        <v>764</v>
      </c>
      <c r="B765" t="inlineStr">
        <is>
          <t>Produto</t>
        </is>
      </c>
      <c r="C765" s="121" t="inlineStr">
        <is>
          <t>Raquete de tênis leve preto tam. 34</t>
        </is>
      </c>
      <c r="D765" s="109" t="n">
        <v>229</v>
      </c>
      <c r="E765" s="123" t="n">
        <v>50</v>
      </c>
      <c r="F765" s="109">
        <f>ROUND(D765*(1+(E765/100)),2)</f>
        <v/>
      </c>
      <c r="G765" t="n">
        <v>15</v>
      </c>
      <c r="H765" t="n">
        <v>5</v>
      </c>
    </row>
    <row r="766">
      <c r="A766" t="n">
        <v>765</v>
      </c>
      <c r="B766" t="inlineStr">
        <is>
          <t>Produto</t>
        </is>
      </c>
      <c r="C766" s="121" t="inlineStr">
        <is>
          <t>Nadadeira alta performance azul</t>
        </is>
      </c>
      <c r="D766" s="109" t="n">
        <v>38.76</v>
      </c>
      <c r="E766" s="123" t="n">
        <v>50</v>
      </c>
      <c r="F766" s="109">
        <f>ROUND(D766*(1+(E766/100)),2)</f>
        <v/>
      </c>
      <c r="G766" t="n">
        <v>15</v>
      </c>
      <c r="H766" t="n">
        <v>5</v>
      </c>
    </row>
    <row r="767">
      <c r="A767" t="n">
        <v>766</v>
      </c>
      <c r="B767" t="inlineStr">
        <is>
          <t>Produto</t>
        </is>
      </c>
      <c r="C767" s="121" t="inlineStr">
        <is>
          <t>Step de ginástica adulto vermelho</t>
        </is>
      </c>
      <c r="D767" s="109" t="n">
        <v>219.14</v>
      </c>
      <c r="E767" s="123" t="n">
        <v>50</v>
      </c>
      <c r="F767" s="109">
        <f>ROUND(D767*(1+(E767/100)),2)</f>
        <v/>
      </c>
      <c r="G767" t="n">
        <v>15</v>
      </c>
      <c r="H767" t="n">
        <v>5</v>
      </c>
    </row>
    <row r="768">
      <c r="A768" t="n">
        <v>767</v>
      </c>
      <c r="B768" t="inlineStr">
        <is>
          <t>Produto</t>
        </is>
      </c>
      <c r="C768" s="121" t="inlineStr">
        <is>
          <t>Camiseta esportiva modelo avançado rosa tam. 44</t>
        </is>
      </c>
      <c r="D768" s="109" t="n">
        <v>45.31</v>
      </c>
      <c r="E768" s="123" t="n">
        <v>50</v>
      </c>
      <c r="F768" s="109">
        <f>ROUND(D768*(1+(E768/100)),2)</f>
        <v/>
      </c>
      <c r="G768" t="n">
        <v>15</v>
      </c>
      <c r="H768" t="n">
        <v>5</v>
      </c>
    </row>
    <row r="769">
      <c r="A769" t="n">
        <v>768</v>
      </c>
      <c r="B769" t="inlineStr">
        <is>
          <t>Produto</t>
        </is>
      </c>
      <c r="C769" s="121" t="inlineStr">
        <is>
          <t>Bastão de caminhada modelo avançado branco</t>
        </is>
      </c>
      <c r="D769" s="109" t="n">
        <v>57.37</v>
      </c>
      <c r="E769" s="123" t="n">
        <v>50</v>
      </c>
      <c r="F769" s="109">
        <f>ROUND(D769*(1+(E769/100)),2)</f>
        <v/>
      </c>
      <c r="G769" t="n">
        <v>15</v>
      </c>
      <c r="H769" t="n">
        <v>5</v>
      </c>
    </row>
    <row r="770">
      <c r="A770" t="n">
        <v>769</v>
      </c>
      <c r="B770" t="inlineStr">
        <is>
          <t>Produto</t>
        </is>
      </c>
      <c r="C770" s="121" t="inlineStr">
        <is>
          <t>Elástico de resistência com ajuste cinza</t>
        </is>
      </c>
      <c r="D770" s="109" t="n">
        <v>51.37</v>
      </c>
      <c r="E770" s="123" t="n">
        <v>50</v>
      </c>
      <c r="F770" s="109">
        <f>ROUND(D770*(1+(E770/100)),2)</f>
        <v/>
      </c>
      <c r="G770" t="n">
        <v>15</v>
      </c>
      <c r="H770" t="n">
        <v>5</v>
      </c>
    </row>
    <row r="771">
      <c r="A771" t="n">
        <v>770</v>
      </c>
      <c r="B771" t="inlineStr">
        <is>
          <t>Produto</t>
        </is>
      </c>
      <c r="C771" s="121" t="inlineStr">
        <is>
          <t>Skate alta performance vermelho</t>
        </is>
      </c>
      <c r="D771" s="109" t="n">
        <v>147.6</v>
      </c>
      <c r="E771" s="123" t="n">
        <v>50</v>
      </c>
      <c r="F771" s="109">
        <f>ROUND(D771*(1+(E771/100)),2)</f>
        <v/>
      </c>
      <c r="G771" t="n">
        <v>15</v>
      </c>
      <c r="H771" t="n">
        <v>5</v>
      </c>
    </row>
    <row r="772">
      <c r="A772" t="n">
        <v>771</v>
      </c>
      <c r="B772" t="inlineStr">
        <is>
          <t>Produto</t>
        </is>
      </c>
      <c r="C772" s="121" t="inlineStr">
        <is>
          <t>Skate leve azul</t>
        </is>
      </c>
      <c r="D772" s="109" t="n">
        <v>302.11</v>
      </c>
      <c r="E772" s="123" t="n">
        <v>50</v>
      </c>
      <c r="F772" s="109">
        <f>ROUND(D772*(1+(E772/100)),2)</f>
        <v/>
      </c>
      <c r="G772" t="n">
        <v>15</v>
      </c>
      <c r="H772" t="n">
        <v>5</v>
      </c>
    </row>
    <row r="773">
      <c r="A773" t="n">
        <v>772</v>
      </c>
      <c r="B773" t="inlineStr">
        <is>
          <t>Produto</t>
        </is>
      </c>
      <c r="C773" s="121" t="inlineStr">
        <is>
          <t>Luva de boxe unissex rosa tam. G</t>
        </is>
      </c>
      <c r="D773" s="109" t="n">
        <v>199.66</v>
      </c>
      <c r="E773" s="123" t="n">
        <v>50</v>
      </c>
      <c r="F773" s="109">
        <f>ROUND(D773*(1+(E773/100)),2)</f>
        <v/>
      </c>
      <c r="G773" t="n">
        <v>15</v>
      </c>
      <c r="H773" t="n">
        <v>5</v>
      </c>
    </row>
    <row r="774">
      <c r="A774" t="n">
        <v>773</v>
      </c>
      <c r="B774" t="inlineStr">
        <is>
          <t>Produto</t>
        </is>
      </c>
      <c r="C774" s="121" t="inlineStr">
        <is>
          <t>Banco de musculação versão 2026 preto</t>
        </is>
      </c>
      <c r="D774" s="109" t="n">
        <v>1318.54</v>
      </c>
      <c r="E774" s="123" t="n">
        <v>50</v>
      </c>
      <c r="F774" s="109">
        <f>ROUND(D774*(1+(E774/100)),2)</f>
        <v/>
      </c>
      <c r="G774" t="n">
        <v>15</v>
      </c>
      <c r="H774" t="n">
        <v>5</v>
      </c>
    </row>
    <row r="775">
      <c r="A775" t="n">
        <v>774</v>
      </c>
      <c r="B775" t="inlineStr">
        <is>
          <t>Produto</t>
        </is>
      </c>
      <c r="C775" s="121" t="inlineStr">
        <is>
          <t>Bastão de caminhada ergonômico rosa</t>
        </is>
      </c>
      <c r="D775" s="109" t="n">
        <v>46.88</v>
      </c>
      <c r="E775" s="123" t="n">
        <v>50</v>
      </c>
      <c r="F775" s="109">
        <f>ROUND(D775*(1+(E775/100)),2)</f>
        <v/>
      </c>
      <c r="G775" t="n">
        <v>15</v>
      </c>
      <c r="H775" t="n">
        <v>5</v>
      </c>
    </row>
    <row r="776">
      <c r="A776" t="n">
        <v>775</v>
      </c>
      <c r="B776" t="inlineStr">
        <is>
          <t>Produto</t>
        </is>
      </c>
      <c r="C776" s="121" t="inlineStr">
        <is>
          <t>Corda de pular juvenil azul</t>
        </is>
      </c>
      <c r="D776" s="109" t="n">
        <v>30.13</v>
      </c>
      <c r="E776" s="123" t="n">
        <v>50</v>
      </c>
      <c r="F776" s="109">
        <f>ROUND(D776*(1+(E776/100)),2)</f>
        <v/>
      </c>
      <c r="G776" t="n">
        <v>15</v>
      </c>
      <c r="H776" t="n">
        <v>5</v>
      </c>
    </row>
    <row r="777">
      <c r="A777" t="n">
        <v>776</v>
      </c>
      <c r="B777" t="inlineStr">
        <is>
          <t>Produto</t>
        </is>
      </c>
      <c r="C777" s="121" t="inlineStr">
        <is>
          <t>Halter resistente verde</t>
        </is>
      </c>
      <c r="D777" s="109" t="n">
        <v>146.89</v>
      </c>
      <c r="E777" s="123" t="n">
        <v>50</v>
      </c>
      <c r="F777" s="109">
        <f>ROUND(D777*(1+(E777/100)),2)</f>
        <v/>
      </c>
      <c r="G777" t="n">
        <v>15</v>
      </c>
      <c r="H777" t="n">
        <v>5</v>
      </c>
    </row>
    <row r="778">
      <c r="A778" t="n">
        <v>777</v>
      </c>
      <c r="B778" t="inlineStr">
        <is>
          <t>Produto</t>
        </is>
      </c>
      <c r="C778" s="121" t="inlineStr">
        <is>
          <t>Prancha de natação resistente azul</t>
        </is>
      </c>
      <c r="D778" s="109" t="n">
        <v>56.9</v>
      </c>
      <c r="E778" s="123" t="n">
        <v>50</v>
      </c>
      <c r="F778" s="109">
        <f>ROUND(D778*(1+(E778/100)),2)</f>
        <v/>
      </c>
      <c r="G778" t="n">
        <v>15</v>
      </c>
      <c r="H778" t="n">
        <v>5</v>
      </c>
    </row>
    <row r="779">
      <c r="A779" t="n">
        <v>778</v>
      </c>
      <c r="B779" t="inlineStr">
        <is>
          <t>Produto</t>
        </is>
      </c>
      <c r="C779" s="121" t="inlineStr">
        <is>
          <t>Bastão de caminhada ergonômico branco</t>
        </is>
      </c>
      <c r="D779" s="109" t="n">
        <v>129.5</v>
      </c>
      <c r="E779" s="123" t="n">
        <v>50</v>
      </c>
      <c r="F779" s="109">
        <f>ROUND(D779*(1+(E779/100)),2)</f>
        <v/>
      </c>
      <c r="G779" t="n">
        <v>15</v>
      </c>
      <c r="H779" t="n">
        <v>5</v>
      </c>
    </row>
    <row r="780">
      <c r="A780" t="n">
        <v>779</v>
      </c>
      <c r="B780" t="inlineStr">
        <is>
          <t>Produto</t>
        </is>
      </c>
      <c r="C780" s="121" t="inlineStr">
        <is>
          <t>Óculos de natação recreativo preto</t>
        </is>
      </c>
      <c r="D780" s="109" t="n">
        <v>13.55</v>
      </c>
      <c r="E780" s="123" t="n">
        <v>50</v>
      </c>
      <c r="F780" s="109">
        <f>ROUND(D780*(1+(E780/100)),2)</f>
        <v/>
      </c>
      <c r="G780" t="n">
        <v>15</v>
      </c>
      <c r="H780" t="n">
        <v>5</v>
      </c>
    </row>
    <row r="781">
      <c r="A781" t="n">
        <v>780</v>
      </c>
      <c r="B781" t="inlineStr">
        <is>
          <t>Produto</t>
        </is>
      </c>
      <c r="C781" s="121" t="inlineStr">
        <is>
          <t>Camiseta esportiva ergonômico rosa tam. G</t>
        </is>
      </c>
      <c r="D781" s="109" t="n">
        <v>25.58</v>
      </c>
      <c r="E781" s="123" t="n">
        <v>50</v>
      </c>
      <c r="F781" s="109">
        <f>ROUND(D781*(1+(E781/100)),2)</f>
        <v/>
      </c>
      <c r="G781" t="n">
        <v>15</v>
      </c>
      <c r="H781" t="n">
        <v>5</v>
      </c>
    </row>
    <row r="782">
      <c r="A782" t="n">
        <v>781</v>
      </c>
      <c r="B782" t="inlineStr">
        <is>
          <t>Produto</t>
        </is>
      </c>
      <c r="C782" s="121" t="inlineStr">
        <is>
          <t>Óculos esportivos compacto branco</t>
        </is>
      </c>
      <c r="D782" s="109" t="n">
        <v>408.12</v>
      </c>
      <c r="E782" s="123" t="n">
        <v>50</v>
      </c>
      <c r="F782" s="109">
        <f>ROUND(D782*(1+(E782/100)),2)</f>
        <v/>
      </c>
      <c r="G782" t="n">
        <v>15</v>
      </c>
      <c r="H782" t="n">
        <v>5</v>
      </c>
    </row>
    <row r="783">
      <c r="A783" t="n">
        <v>782</v>
      </c>
      <c r="B783" t="inlineStr">
        <is>
          <t>Produto</t>
        </is>
      </c>
      <c r="C783" s="121" t="inlineStr">
        <is>
          <t>Raquete de tênis compacto laranja tam. 38</t>
        </is>
      </c>
      <c r="D783" s="109" t="n">
        <v>451.05</v>
      </c>
      <c r="E783" s="123" t="n">
        <v>50</v>
      </c>
      <c r="F783" s="109">
        <f>ROUND(D783*(1+(E783/100)),2)</f>
        <v/>
      </c>
      <c r="G783" t="n">
        <v>15</v>
      </c>
      <c r="H783" t="n">
        <v>5</v>
      </c>
    </row>
    <row r="784">
      <c r="A784" t="n">
        <v>783</v>
      </c>
      <c r="B784" t="inlineStr">
        <is>
          <t>Produto</t>
        </is>
      </c>
      <c r="C784" s="121" t="inlineStr">
        <is>
          <t>Raquete de badminton com ajuste rosa</t>
        </is>
      </c>
      <c r="D784" s="109" t="n">
        <v>48.43</v>
      </c>
      <c r="E784" s="123" t="n">
        <v>50</v>
      </c>
      <c r="F784" s="109">
        <f>ROUND(D784*(1+(E784/100)),2)</f>
        <v/>
      </c>
      <c r="G784" t="n">
        <v>15</v>
      </c>
      <c r="H784" t="n">
        <v>5</v>
      </c>
    </row>
    <row r="785">
      <c r="A785" t="n">
        <v>784</v>
      </c>
      <c r="B785" t="inlineStr">
        <is>
          <t>Produto</t>
        </is>
      </c>
      <c r="C785" s="121" t="inlineStr">
        <is>
          <t>Óculos esportivos modelo básico azul</t>
        </is>
      </c>
      <c r="D785" s="109" t="n">
        <v>412.28</v>
      </c>
      <c r="E785" s="123" t="n">
        <v>50</v>
      </c>
      <c r="F785" s="109">
        <f>ROUND(D785*(1+(E785/100)),2)</f>
        <v/>
      </c>
      <c r="G785" t="n">
        <v>15</v>
      </c>
      <c r="H785" t="n">
        <v>5</v>
      </c>
    </row>
    <row r="786">
      <c r="A786" t="n">
        <v>785</v>
      </c>
      <c r="B786" t="inlineStr">
        <is>
          <t>Produto</t>
        </is>
      </c>
      <c r="C786" s="121" t="inlineStr">
        <is>
          <t>Bola de pilates treino laranja</t>
        </is>
      </c>
      <c r="D786" s="109" t="n">
        <v>63.52</v>
      </c>
      <c r="E786" s="123" t="n">
        <v>50</v>
      </c>
      <c r="F786" s="109">
        <f>ROUND(D786*(1+(E786/100)),2)</f>
        <v/>
      </c>
      <c r="G786" t="n">
        <v>15</v>
      </c>
      <c r="H786" t="n">
        <v>5</v>
      </c>
    </row>
    <row r="787">
      <c r="A787" t="n">
        <v>786</v>
      </c>
      <c r="B787" t="inlineStr">
        <is>
          <t>Produto</t>
        </is>
      </c>
      <c r="C787" s="121" t="inlineStr">
        <is>
          <t>Luva de goleiro adulto azul tam. 44</t>
        </is>
      </c>
      <c r="D787" s="109" t="n">
        <v>231.98</v>
      </c>
      <c r="E787" s="123" t="n">
        <v>50</v>
      </c>
      <c r="F787" s="109">
        <f>ROUND(D787*(1+(E787/100)),2)</f>
        <v/>
      </c>
      <c r="G787" t="n">
        <v>15</v>
      </c>
      <c r="H787" t="n">
        <v>5</v>
      </c>
    </row>
    <row r="788">
      <c r="A788" t="n">
        <v>787</v>
      </c>
      <c r="B788" t="inlineStr">
        <is>
          <t>Produto</t>
        </is>
      </c>
      <c r="C788" s="121" t="inlineStr">
        <is>
          <t>Touca de natação resistente verde tam. 40</t>
        </is>
      </c>
      <c r="D788" s="109" t="n">
        <v>57.41</v>
      </c>
      <c r="E788" s="123" t="n">
        <v>50</v>
      </c>
      <c r="F788" s="109">
        <f>ROUND(D788*(1+(E788/100)),2)</f>
        <v/>
      </c>
      <c r="G788" t="n">
        <v>15</v>
      </c>
      <c r="H788" t="n">
        <v>5</v>
      </c>
    </row>
    <row r="789">
      <c r="A789" t="n">
        <v>788</v>
      </c>
      <c r="B789" t="inlineStr">
        <is>
          <t>Produto</t>
        </is>
      </c>
      <c r="C789" s="121" t="inlineStr">
        <is>
          <t>Tapete de yoga compacto rosa</t>
        </is>
      </c>
      <c r="D789" s="109" t="n">
        <v>75.73</v>
      </c>
      <c r="E789" s="123" t="n">
        <v>50</v>
      </c>
      <c r="F789" s="109">
        <f>ROUND(D789*(1+(E789/100)),2)</f>
        <v/>
      </c>
      <c r="G789" t="n">
        <v>15</v>
      </c>
      <c r="H789" t="n">
        <v>5</v>
      </c>
    </row>
    <row r="790">
      <c r="A790" t="n">
        <v>789</v>
      </c>
      <c r="B790" t="inlineStr">
        <is>
          <t>Produto</t>
        </is>
      </c>
      <c r="C790" s="121" t="inlineStr">
        <is>
          <t>Banco de musculação versão 2026 rosa</t>
        </is>
      </c>
      <c r="D790" s="109" t="n">
        <v>1125.93</v>
      </c>
      <c r="E790" s="123" t="n">
        <v>50</v>
      </c>
      <c r="F790" s="109">
        <f>ROUND(D790*(1+(E790/100)),2)</f>
        <v/>
      </c>
      <c r="G790" t="n">
        <v>15</v>
      </c>
      <c r="H790" t="n">
        <v>5</v>
      </c>
    </row>
    <row r="791">
      <c r="A791" t="n">
        <v>790</v>
      </c>
      <c r="B791" t="inlineStr">
        <is>
          <t>Produto</t>
        </is>
      </c>
      <c r="C791" s="121" t="inlineStr">
        <is>
          <t>Tapete de yoga treino azul</t>
        </is>
      </c>
      <c r="D791" s="109" t="n">
        <v>142.39</v>
      </c>
      <c r="E791" s="123" t="n">
        <v>50</v>
      </c>
      <c r="F791" s="109">
        <f>ROUND(D791*(1+(E791/100)),2)</f>
        <v/>
      </c>
      <c r="G791" t="n">
        <v>15</v>
      </c>
      <c r="H791" t="n">
        <v>5</v>
      </c>
    </row>
    <row r="792">
      <c r="A792" t="n">
        <v>791</v>
      </c>
      <c r="B792" t="inlineStr">
        <is>
          <t>Produto</t>
        </is>
      </c>
      <c r="C792" s="121" t="inlineStr">
        <is>
          <t>Jaqueta esportiva modelo básico branco tam. 34</t>
        </is>
      </c>
      <c r="D792" s="109" t="n">
        <v>188.67</v>
      </c>
      <c r="E792" s="123" t="n">
        <v>50</v>
      </c>
      <c r="F792" s="109">
        <f>ROUND(D792*(1+(E792/100)),2)</f>
        <v/>
      </c>
      <c r="G792" t="n">
        <v>15</v>
      </c>
      <c r="H792" t="n">
        <v>5</v>
      </c>
    </row>
    <row r="793">
      <c r="A793" t="n">
        <v>792</v>
      </c>
      <c r="B793" t="inlineStr">
        <is>
          <t>Produto</t>
        </is>
      </c>
      <c r="C793" s="121" t="inlineStr">
        <is>
          <t>Tapete de yoga juvenil vermelho</t>
        </is>
      </c>
      <c r="D793" s="109" t="n">
        <v>100.76</v>
      </c>
      <c r="E793" s="123" t="n">
        <v>50</v>
      </c>
      <c r="F793" s="109">
        <f>ROUND(D793*(1+(E793/100)),2)</f>
        <v/>
      </c>
      <c r="G793" t="n">
        <v>15</v>
      </c>
      <c r="H793" t="n">
        <v>5</v>
      </c>
    </row>
    <row r="794">
      <c r="A794" t="n">
        <v>793</v>
      </c>
      <c r="B794" t="inlineStr">
        <is>
          <t>Produto</t>
        </is>
      </c>
      <c r="C794" s="121" t="inlineStr">
        <is>
          <t>Patins treino cinza</t>
        </is>
      </c>
      <c r="D794" s="109" t="n">
        <v>523.1</v>
      </c>
      <c r="E794" s="123" t="n">
        <v>50</v>
      </c>
      <c r="F794" s="109">
        <f>ROUND(D794*(1+(E794/100)),2)</f>
        <v/>
      </c>
      <c r="G794" t="n">
        <v>15</v>
      </c>
      <c r="H794" t="n">
        <v>5</v>
      </c>
    </row>
    <row r="795">
      <c r="A795" t="n">
        <v>794</v>
      </c>
      <c r="B795" t="inlineStr">
        <is>
          <t>Produto</t>
        </is>
      </c>
      <c r="C795" s="121" t="inlineStr">
        <is>
          <t>Short esportivo para uso diário verde tam. 40</t>
        </is>
      </c>
      <c r="D795" s="109" t="n">
        <v>92.15000000000001</v>
      </c>
      <c r="E795" s="123" t="n">
        <v>50</v>
      </c>
      <c r="F795" s="109">
        <f>ROUND(D795*(1+(E795/100)),2)</f>
        <v/>
      </c>
      <c r="G795" t="n">
        <v>15</v>
      </c>
      <c r="H795" t="n">
        <v>5</v>
      </c>
    </row>
    <row r="796">
      <c r="A796" t="n">
        <v>795</v>
      </c>
      <c r="B796" t="inlineStr">
        <is>
          <t>Produto</t>
        </is>
      </c>
      <c r="C796" s="121" t="inlineStr">
        <is>
          <t>Short esportivo treino laranja tam. P</t>
        </is>
      </c>
      <c r="D796" s="109" t="n">
        <v>101.33</v>
      </c>
      <c r="E796" s="123" t="n">
        <v>50</v>
      </c>
      <c r="F796" s="109">
        <f>ROUND(D796*(1+(E796/100)),2)</f>
        <v/>
      </c>
      <c r="G796" t="n">
        <v>15</v>
      </c>
      <c r="H796" t="n">
        <v>5</v>
      </c>
    </row>
    <row r="797">
      <c r="A797" t="n">
        <v>796</v>
      </c>
      <c r="B797" t="inlineStr">
        <is>
          <t>Produto</t>
        </is>
      </c>
      <c r="C797" s="121" t="inlineStr">
        <is>
          <t>Nadadeira treino rosa</t>
        </is>
      </c>
      <c r="D797" s="109" t="n">
        <v>95.29000000000001</v>
      </c>
      <c r="E797" s="123" t="n">
        <v>50</v>
      </c>
      <c r="F797" s="109">
        <f>ROUND(D797*(1+(E797/100)),2)</f>
        <v/>
      </c>
      <c r="G797" t="n">
        <v>15</v>
      </c>
      <c r="H797" t="n">
        <v>5</v>
      </c>
    </row>
    <row r="798">
      <c r="A798" t="n">
        <v>797</v>
      </c>
      <c r="B798" t="inlineStr">
        <is>
          <t>Produto</t>
        </is>
      </c>
      <c r="C798" s="121" t="inlineStr">
        <is>
          <t>Luva de boxe recreativo rosa tam. P</t>
        </is>
      </c>
      <c r="D798" s="109" t="n">
        <v>178.78</v>
      </c>
      <c r="E798" s="123" t="n">
        <v>50</v>
      </c>
      <c r="F798" s="109">
        <f>ROUND(D798*(1+(E798/100)),2)</f>
        <v/>
      </c>
      <c r="G798" t="n">
        <v>15</v>
      </c>
      <c r="H798" t="n">
        <v>5</v>
      </c>
    </row>
    <row r="799">
      <c r="A799" t="n">
        <v>798</v>
      </c>
      <c r="B799" t="inlineStr">
        <is>
          <t>Produto</t>
        </is>
      </c>
      <c r="C799" s="121" t="inlineStr">
        <is>
          <t>Raquete de tênis alta performance rosa tam. 42</t>
        </is>
      </c>
      <c r="D799" s="109" t="n">
        <v>433.55</v>
      </c>
      <c r="E799" s="123" t="n">
        <v>50</v>
      </c>
      <c r="F799" s="109">
        <f>ROUND(D799*(1+(E799/100)),2)</f>
        <v/>
      </c>
      <c r="G799" t="n">
        <v>15</v>
      </c>
      <c r="H799" t="n">
        <v>5</v>
      </c>
    </row>
    <row r="800">
      <c r="A800" t="n">
        <v>799</v>
      </c>
      <c r="B800" t="inlineStr">
        <is>
          <t>Produto</t>
        </is>
      </c>
      <c r="C800" s="121" t="inlineStr">
        <is>
          <t>Regata esportiva leve vermelho tam. M</t>
        </is>
      </c>
      <c r="D800" s="109" t="n">
        <v>39.35</v>
      </c>
      <c r="E800" s="123" t="n">
        <v>50</v>
      </c>
      <c r="F800" s="109">
        <f>ROUND(D800*(1+(E800/100)),2)</f>
        <v/>
      </c>
      <c r="G800" t="n">
        <v>15</v>
      </c>
      <c r="H800" t="n">
        <v>5</v>
      </c>
    </row>
    <row r="801">
      <c r="A801" t="n">
        <v>800</v>
      </c>
      <c r="B801" t="inlineStr">
        <is>
          <t>Produto</t>
        </is>
      </c>
      <c r="C801" s="121" t="inlineStr">
        <is>
          <t>Saco de pancadas modelo básico laranja</t>
        </is>
      </c>
      <c r="D801" s="109" t="n">
        <v>396.26</v>
      </c>
      <c r="E801" s="123" t="n">
        <v>50</v>
      </c>
      <c r="F801" s="109">
        <f>ROUND(D801*(1+(E801/100)),2)</f>
        <v/>
      </c>
      <c r="G801" t="n">
        <v>15</v>
      </c>
      <c r="H801" t="n">
        <v>5</v>
      </c>
    </row>
    <row r="802">
      <c r="A802" t="n">
        <v>801</v>
      </c>
      <c r="B802" t="inlineStr">
        <is>
          <t>Produto</t>
        </is>
      </c>
      <c r="C802" s="121" t="inlineStr">
        <is>
          <t>Saco de pancadas premium laranja</t>
        </is>
      </c>
      <c r="D802" s="109" t="n">
        <v>755.91</v>
      </c>
      <c r="E802" s="123" t="n">
        <v>50</v>
      </c>
      <c r="F802" s="109">
        <f>ROUND(D802*(1+(E802/100)),2)</f>
        <v/>
      </c>
      <c r="G802" t="n">
        <v>15</v>
      </c>
      <c r="H802" t="n">
        <v>5</v>
      </c>
    </row>
    <row r="803">
      <c r="A803" t="n">
        <v>802</v>
      </c>
      <c r="B803" t="inlineStr">
        <is>
          <t>Produto</t>
        </is>
      </c>
      <c r="C803" s="121" t="inlineStr">
        <is>
          <t>Garrafa squeeze recreativo vermelho</t>
        </is>
      </c>
      <c r="D803" s="109" t="n">
        <v>29.99</v>
      </c>
      <c r="E803" s="123" t="n">
        <v>50</v>
      </c>
      <c r="F803" s="109">
        <f>ROUND(D803*(1+(E803/100)),2)</f>
        <v/>
      </c>
      <c r="G803" t="n">
        <v>15</v>
      </c>
      <c r="H803" t="n">
        <v>5</v>
      </c>
    </row>
    <row r="804">
      <c r="A804" t="n">
        <v>803</v>
      </c>
      <c r="B804" t="inlineStr">
        <is>
          <t>Produto</t>
        </is>
      </c>
      <c r="C804" s="121" t="inlineStr">
        <is>
          <t>Skate iniciante branco</t>
        </is>
      </c>
      <c r="D804" s="109" t="n">
        <v>452.99</v>
      </c>
      <c r="E804" s="123" t="n">
        <v>50</v>
      </c>
      <c r="F804" s="109">
        <f>ROUND(D804*(1+(E804/100)),2)</f>
        <v/>
      </c>
      <c r="G804" t="n">
        <v>15</v>
      </c>
      <c r="H804" t="n">
        <v>5</v>
      </c>
    </row>
    <row r="805">
      <c r="A805" t="n">
        <v>804</v>
      </c>
      <c r="B805" t="inlineStr">
        <is>
          <t>Produto</t>
        </is>
      </c>
      <c r="C805" s="121" t="inlineStr">
        <is>
          <t>Luva de goleiro reforçado verde tam. 44</t>
        </is>
      </c>
      <c r="D805" s="109" t="n">
        <v>178.25</v>
      </c>
      <c r="E805" s="123" t="n">
        <v>50</v>
      </c>
      <c r="F805" s="109">
        <f>ROUND(D805*(1+(E805/100)),2)</f>
        <v/>
      </c>
      <c r="G805" t="n">
        <v>15</v>
      </c>
      <c r="H805" t="n">
        <v>5</v>
      </c>
    </row>
    <row r="806">
      <c r="A806" t="n">
        <v>805</v>
      </c>
      <c r="B806" t="inlineStr">
        <is>
          <t>Produto</t>
        </is>
      </c>
      <c r="C806" s="121" t="inlineStr">
        <is>
          <t>Nadadeira recreativo vermelho</t>
        </is>
      </c>
      <c r="D806" s="109" t="n">
        <v>102.55</v>
      </c>
      <c r="E806" s="123" t="n">
        <v>50</v>
      </c>
      <c r="F806" s="109">
        <f>ROUND(D806*(1+(E806/100)),2)</f>
        <v/>
      </c>
      <c r="G806" t="n">
        <v>15</v>
      </c>
      <c r="H806" t="n">
        <v>5</v>
      </c>
    </row>
    <row r="807">
      <c r="A807" t="n">
        <v>806</v>
      </c>
      <c r="B807" t="inlineStr">
        <is>
          <t>Produto</t>
        </is>
      </c>
      <c r="C807" s="121" t="inlineStr">
        <is>
          <t>Skate treino branco</t>
        </is>
      </c>
      <c r="D807" s="109" t="n">
        <v>376.7</v>
      </c>
      <c r="E807" s="123" t="n">
        <v>50</v>
      </c>
      <c r="F807" s="109">
        <f>ROUND(D807*(1+(E807/100)),2)</f>
        <v/>
      </c>
      <c r="G807" t="n">
        <v>15</v>
      </c>
      <c r="H807" t="n">
        <v>5</v>
      </c>
    </row>
    <row r="808">
      <c r="A808" t="n">
        <v>807</v>
      </c>
      <c r="B808" t="inlineStr">
        <is>
          <t>Produto</t>
        </is>
      </c>
      <c r="C808" s="121" t="inlineStr">
        <is>
          <t>Luva de boxe alta performance cinza tam. 38</t>
        </is>
      </c>
      <c r="D808" s="109" t="n">
        <v>250.48</v>
      </c>
      <c r="E808" s="123" t="n">
        <v>50</v>
      </c>
      <c r="F808" s="109">
        <f>ROUND(D808*(1+(E808/100)),2)</f>
        <v/>
      </c>
      <c r="G808" t="n">
        <v>15</v>
      </c>
      <c r="H808" t="n">
        <v>5</v>
      </c>
    </row>
    <row r="809">
      <c r="A809" t="n">
        <v>808</v>
      </c>
      <c r="B809" t="inlineStr">
        <is>
          <t>Produto</t>
        </is>
      </c>
      <c r="C809" s="121" t="inlineStr">
        <is>
          <t>Monitor cardíaco adulto laranja</t>
        </is>
      </c>
      <c r="D809" s="109" t="n">
        <v>133.29</v>
      </c>
      <c r="E809" s="123" t="n">
        <v>50</v>
      </c>
      <c r="F809" s="109">
        <f>ROUND(D809*(1+(E809/100)),2)</f>
        <v/>
      </c>
      <c r="G809" t="n">
        <v>15</v>
      </c>
      <c r="H809" t="n">
        <v>5</v>
      </c>
    </row>
    <row r="810">
      <c r="A810" t="n">
        <v>809</v>
      </c>
      <c r="B810" t="inlineStr">
        <is>
          <t>Produto</t>
        </is>
      </c>
      <c r="C810" s="121" t="inlineStr">
        <is>
          <t>Prancha de natação reforçado cinza</t>
        </is>
      </c>
      <c r="D810" s="109" t="n">
        <v>85.45999999999999</v>
      </c>
      <c r="E810" s="123" t="n">
        <v>50</v>
      </c>
      <c r="F810" s="109">
        <f>ROUND(D810*(1+(E810/100)),2)</f>
        <v/>
      </c>
      <c r="G810" t="n">
        <v>15</v>
      </c>
      <c r="H810" t="n">
        <v>5</v>
      </c>
    </row>
    <row r="811">
      <c r="A811" t="n">
        <v>810</v>
      </c>
      <c r="B811" t="inlineStr">
        <is>
          <t>Produto</t>
        </is>
      </c>
      <c r="C811" s="121" t="inlineStr">
        <is>
          <t>Camiseta esportiva premium vermelho tam. P</t>
        </is>
      </c>
      <c r="D811" s="109" t="n">
        <v>88.38</v>
      </c>
      <c r="E811" s="123" t="n">
        <v>50</v>
      </c>
      <c r="F811" s="109">
        <f>ROUND(D811*(1+(E811/100)),2)</f>
        <v/>
      </c>
      <c r="G811" t="n">
        <v>15</v>
      </c>
      <c r="H811" t="n">
        <v>5</v>
      </c>
    </row>
    <row r="812">
      <c r="A812" t="n">
        <v>811</v>
      </c>
      <c r="B812" t="inlineStr">
        <is>
          <t>Produto</t>
        </is>
      </c>
      <c r="C812" s="121" t="inlineStr">
        <is>
          <t>Garrafa squeeze ventilado preto</t>
        </is>
      </c>
      <c r="D812" s="109" t="n">
        <v>27.23</v>
      </c>
      <c r="E812" s="123" t="n">
        <v>50</v>
      </c>
      <c r="F812" s="109">
        <f>ROUND(D812*(1+(E812/100)),2)</f>
        <v/>
      </c>
      <c r="G812" t="n">
        <v>15</v>
      </c>
      <c r="H812" t="n">
        <v>5</v>
      </c>
    </row>
    <row r="813">
      <c r="A813" t="n">
        <v>812</v>
      </c>
      <c r="B813" t="inlineStr">
        <is>
          <t>Produto</t>
        </is>
      </c>
      <c r="C813" s="121" t="inlineStr">
        <is>
          <t>Bicicleta urbana versão 2026 verde</t>
        </is>
      </c>
      <c r="D813" s="109" t="n">
        <v>3241.72</v>
      </c>
      <c r="E813" s="123" t="n">
        <v>50</v>
      </c>
      <c r="F813" s="109">
        <f>ROUND(D813*(1+(E813/100)),2)</f>
        <v/>
      </c>
      <c r="G813" t="n">
        <v>15</v>
      </c>
      <c r="H813" t="n">
        <v>5</v>
      </c>
    </row>
    <row r="814">
      <c r="A814" t="n">
        <v>813</v>
      </c>
      <c r="B814" t="inlineStr">
        <is>
          <t>Produto</t>
        </is>
      </c>
      <c r="C814" s="121" t="inlineStr">
        <is>
          <t>Luva de goleiro compacto cinza tam. P</t>
        </is>
      </c>
      <c r="D814" s="109" t="n">
        <v>224.06</v>
      </c>
      <c r="E814" s="123" t="n">
        <v>50</v>
      </c>
      <c r="F814" s="109">
        <f>ROUND(D814*(1+(E814/100)),2)</f>
        <v/>
      </c>
      <c r="G814" t="n">
        <v>15</v>
      </c>
      <c r="H814" t="n">
        <v>5</v>
      </c>
    </row>
    <row r="815">
      <c r="A815" t="n">
        <v>814</v>
      </c>
      <c r="B815" t="inlineStr">
        <is>
          <t>Produto</t>
        </is>
      </c>
      <c r="C815" s="121" t="inlineStr">
        <is>
          <t>Bloco para yoga modelo básico preto</t>
        </is>
      </c>
      <c r="D815" s="109" t="n">
        <v>9.44</v>
      </c>
      <c r="E815" s="123" t="n">
        <v>50</v>
      </c>
      <c r="F815" s="109">
        <f>ROUND(D815*(1+(E815/100)),2)</f>
        <v/>
      </c>
      <c r="G815" t="n">
        <v>15</v>
      </c>
      <c r="H815" t="n">
        <v>5</v>
      </c>
    </row>
    <row r="816">
      <c r="A816" t="n">
        <v>815</v>
      </c>
      <c r="B816" t="inlineStr">
        <is>
          <t>Produto</t>
        </is>
      </c>
      <c r="C816" s="121" t="inlineStr">
        <is>
          <t>Mochila esportiva versão 2026 rosa</t>
        </is>
      </c>
      <c r="D816" s="109" t="n">
        <v>205.25</v>
      </c>
      <c r="E816" s="123" t="n">
        <v>50</v>
      </c>
      <c r="F816" s="109">
        <f>ROUND(D816*(1+(E816/100)),2)</f>
        <v/>
      </c>
      <c r="G816" t="n">
        <v>15</v>
      </c>
      <c r="H816" t="n">
        <v>5</v>
      </c>
    </row>
    <row r="817">
      <c r="A817" t="n">
        <v>816</v>
      </c>
      <c r="B817" t="inlineStr">
        <is>
          <t>Produto</t>
        </is>
      </c>
      <c r="C817" s="121" t="inlineStr">
        <is>
          <t>Touca de natação unissex verde tam. GG</t>
        </is>
      </c>
      <c r="D817" s="109" t="n">
        <v>23.95</v>
      </c>
      <c r="E817" s="123" t="n">
        <v>50</v>
      </c>
      <c r="F817" s="109">
        <f>ROUND(D817*(1+(E817/100)),2)</f>
        <v/>
      </c>
      <c r="G817" t="n">
        <v>15</v>
      </c>
      <c r="H817" t="n">
        <v>5</v>
      </c>
    </row>
    <row r="818">
      <c r="A818" t="n">
        <v>817</v>
      </c>
      <c r="B818" t="inlineStr">
        <is>
          <t>Produto</t>
        </is>
      </c>
      <c r="C818" s="121" t="inlineStr">
        <is>
          <t>Regata esportiva leve vermelho tam. 42</t>
        </is>
      </c>
      <c r="D818" s="109" t="n">
        <v>22.46</v>
      </c>
      <c r="E818" s="123" t="n">
        <v>50</v>
      </c>
      <c r="F818" s="109">
        <f>ROUND(D818*(1+(E818/100)),2)</f>
        <v/>
      </c>
      <c r="G818" t="n">
        <v>15</v>
      </c>
      <c r="H818" t="n">
        <v>5</v>
      </c>
    </row>
    <row r="819">
      <c r="A819" t="n">
        <v>818</v>
      </c>
      <c r="B819" t="inlineStr">
        <is>
          <t>Produto</t>
        </is>
      </c>
      <c r="C819" s="121" t="inlineStr">
        <is>
          <t>Bola de vôlei premium cinza</t>
        </is>
      </c>
      <c r="D819" s="109" t="n">
        <v>34.87</v>
      </c>
      <c r="E819" s="123" t="n">
        <v>50</v>
      </c>
      <c r="F819" s="109">
        <f>ROUND(D819*(1+(E819/100)),2)</f>
        <v/>
      </c>
      <c r="G819" t="n">
        <v>15</v>
      </c>
      <c r="H819" t="n">
        <v>5</v>
      </c>
    </row>
    <row r="820">
      <c r="A820" t="n">
        <v>819</v>
      </c>
      <c r="B820" t="inlineStr">
        <is>
          <t>Produto</t>
        </is>
      </c>
      <c r="C820" s="121" t="inlineStr">
        <is>
          <t>Luva de boxe adulto branco tam. 40</t>
        </is>
      </c>
      <c r="D820" s="109" t="n">
        <v>225.04</v>
      </c>
      <c r="E820" s="123" t="n">
        <v>50</v>
      </c>
      <c r="F820" s="109">
        <f>ROUND(D820*(1+(E820/100)),2)</f>
        <v/>
      </c>
      <c r="G820" t="n">
        <v>15</v>
      </c>
      <c r="H820" t="n">
        <v>5</v>
      </c>
    </row>
    <row r="821">
      <c r="A821" t="n">
        <v>820</v>
      </c>
      <c r="B821" t="inlineStr">
        <is>
          <t>Produto</t>
        </is>
      </c>
      <c r="C821" s="121" t="inlineStr">
        <is>
          <t>Chuteira society recreativo branco tam. 44</t>
        </is>
      </c>
      <c r="D821" s="109" t="n">
        <v>78.25</v>
      </c>
      <c r="E821" s="123" t="n">
        <v>50</v>
      </c>
      <c r="F821" s="109">
        <f>ROUND(D821*(1+(E821/100)),2)</f>
        <v/>
      </c>
      <c r="G821" t="n">
        <v>15</v>
      </c>
      <c r="H821" t="n">
        <v>5</v>
      </c>
    </row>
    <row r="822">
      <c r="A822" t="n">
        <v>821</v>
      </c>
      <c r="B822" t="inlineStr">
        <is>
          <t>Produto</t>
        </is>
      </c>
      <c r="C822" s="121" t="inlineStr">
        <is>
          <t>Touca de natação iniciante rosa tam. 44</t>
        </is>
      </c>
      <c r="D822" s="109" t="n">
        <v>37</v>
      </c>
      <c r="E822" s="123" t="n">
        <v>50</v>
      </c>
      <c r="F822" s="109">
        <f>ROUND(D822*(1+(E822/100)),2)</f>
        <v/>
      </c>
      <c r="G822" t="n">
        <v>15</v>
      </c>
      <c r="H822" t="n">
        <v>5</v>
      </c>
    </row>
    <row r="823">
      <c r="A823" t="n">
        <v>822</v>
      </c>
      <c r="B823" t="inlineStr">
        <is>
          <t>Produto</t>
        </is>
      </c>
      <c r="C823" s="121" t="inlineStr">
        <is>
          <t>Raquete de beach tennis resistente verde</t>
        </is>
      </c>
      <c r="D823" s="109" t="n">
        <v>749.75</v>
      </c>
      <c r="E823" s="123" t="n">
        <v>50</v>
      </c>
      <c r="F823" s="109">
        <f>ROUND(D823*(1+(E823/100)),2)</f>
        <v/>
      </c>
      <c r="G823" t="n">
        <v>15</v>
      </c>
      <c r="H823" t="n">
        <v>5</v>
      </c>
    </row>
    <row r="824">
      <c r="A824" t="n">
        <v>823</v>
      </c>
      <c r="B824" t="inlineStr">
        <is>
          <t>Produto</t>
        </is>
      </c>
      <c r="C824" s="121" t="inlineStr">
        <is>
          <t>Monitor cardíaco resistente vermelho</t>
        </is>
      </c>
      <c r="D824" s="109" t="n">
        <v>281.04</v>
      </c>
      <c r="E824" s="123" t="n">
        <v>50</v>
      </c>
      <c r="F824" s="109">
        <f>ROUND(D824*(1+(E824/100)),2)</f>
        <v/>
      </c>
      <c r="G824" t="n">
        <v>15</v>
      </c>
      <c r="H824" t="n">
        <v>5</v>
      </c>
    </row>
    <row r="825">
      <c r="A825" t="n">
        <v>824</v>
      </c>
      <c r="B825" t="inlineStr">
        <is>
          <t>Produto</t>
        </is>
      </c>
      <c r="C825" s="121" t="inlineStr">
        <is>
          <t>Caneleira de futebol profissional branco</t>
        </is>
      </c>
      <c r="D825" s="109" t="n">
        <v>29.2</v>
      </c>
      <c r="E825" s="123" t="n">
        <v>50</v>
      </c>
      <c r="F825" s="109">
        <f>ROUND(D825*(1+(E825/100)),2)</f>
        <v/>
      </c>
      <c r="G825" t="n">
        <v>15</v>
      </c>
      <c r="H825" t="n">
        <v>5</v>
      </c>
    </row>
    <row r="826">
      <c r="A826" t="n">
        <v>825</v>
      </c>
      <c r="B826" t="inlineStr">
        <is>
          <t>Produto</t>
        </is>
      </c>
      <c r="C826" s="121" t="inlineStr">
        <is>
          <t>Calça legging modelo básico branco tam. 34</t>
        </is>
      </c>
      <c r="D826" s="109" t="n">
        <v>62.71</v>
      </c>
      <c r="E826" s="123" t="n">
        <v>50</v>
      </c>
      <c r="F826" s="109">
        <f>ROUND(D826*(1+(E826/100)),2)</f>
        <v/>
      </c>
      <c r="G826" t="n">
        <v>15</v>
      </c>
      <c r="H826" t="n">
        <v>5</v>
      </c>
    </row>
    <row r="827">
      <c r="A827" t="n">
        <v>826</v>
      </c>
      <c r="B827" t="inlineStr">
        <is>
          <t>Produto</t>
        </is>
      </c>
      <c r="C827" s="121" t="inlineStr">
        <is>
          <t>Step de ginástica resistente rosa</t>
        </is>
      </c>
      <c r="D827" s="109" t="n">
        <v>299.13</v>
      </c>
      <c r="E827" s="123" t="n">
        <v>50</v>
      </c>
      <c r="F827" s="109">
        <f>ROUND(D827*(1+(E827/100)),2)</f>
        <v/>
      </c>
      <c r="G827" t="n">
        <v>15</v>
      </c>
      <c r="H827" t="n">
        <v>5</v>
      </c>
    </row>
    <row r="828">
      <c r="A828" t="n">
        <v>827</v>
      </c>
      <c r="B828" t="inlineStr">
        <is>
          <t>Produto</t>
        </is>
      </c>
      <c r="C828" s="121" t="inlineStr">
        <is>
          <t>Step de ginástica treino branco</t>
        </is>
      </c>
      <c r="D828" s="109" t="n">
        <v>166.9</v>
      </c>
      <c r="E828" s="123" t="n">
        <v>50</v>
      </c>
      <c r="F828" s="109">
        <f>ROUND(D828*(1+(E828/100)),2)</f>
        <v/>
      </c>
      <c r="G828" t="n">
        <v>15</v>
      </c>
      <c r="H828" t="n">
        <v>5</v>
      </c>
    </row>
    <row r="829">
      <c r="A829" t="n">
        <v>828</v>
      </c>
      <c r="B829" t="inlineStr">
        <is>
          <t>Produto</t>
        </is>
      </c>
      <c r="C829" s="121" t="inlineStr">
        <is>
          <t>Óculos de natação versão 2026 verde</t>
        </is>
      </c>
      <c r="D829" s="109" t="n">
        <v>144.27</v>
      </c>
      <c r="E829" s="123" t="n">
        <v>50</v>
      </c>
      <c r="F829" s="109">
        <f>ROUND(D829*(1+(E829/100)),2)</f>
        <v/>
      </c>
      <c r="G829" t="n">
        <v>15</v>
      </c>
      <c r="H829" t="n">
        <v>5</v>
      </c>
    </row>
    <row r="830">
      <c r="A830" t="n">
        <v>829</v>
      </c>
      <c r="B830" t="inlineStr">
        <is>
          <t>Produto</t>
        </is>
      </c>
      <c r="C830" s="121" t="inlineStr">
        <is>
          <t>Nadadeira para uso diário azul</t>
        </is>
      </c>
      <c r="D830" s="109" t="n">
        <v>84.14</v>
      </c>
      <c r="E830" s="123" t="n">
        <v>50</v>
      </c>
      <c r="F830" s="109">
        <f>ROUND(D830*(1+(E830/100)),2)</f>
        <v/>
      </c>
      <c r="G830" t="n">
        <v>15</v>
      </c>
      <c r="H830" t="n">
        <v>5</v>
      </c>
    </row>
    <row r="831">
      <c r="A831" t="n">
        <v>830</v>
      </c>
      <c r="B831" t="inlineStr">
        <is>
          <t>Produto</t>
        </is>
      </c>
      <c r="C831" s="121" t="inlineStr">
        <is>
          <t>Caneleira de futebol adulto branco</t>
        </is>
      </c>
      <c r="D831" s="109" t="n">
        <v>52.06</v>
      </c>
      <c r="E831" s="123" t="n">
        <v>50</v>
      </c>
      <c r="F831" s="109">
        <f>ROUND(D831*(1+(E831/100)),2)</f>
        <v/>
      </c>
      <c r="G831" t="n">
        <v>15</v>
      </c>
      <c r="H831" t="n">
        <v>5</v>
      </c>
    </row>
    <row r="832">
      <c r="A832" t="n">
        <v>831</v>
      </c>
      <c r="B832" t="inlineStr">
        <is>
          <t>Produto</t>
        </is>
      </c>
      <c r="C832" s="121" t="inlineStr">
        <is>
          <t>Relógio esportivo ergonômico preto</t>
        </is>
      </c>
      <c r="D832" s="109" t="n">
        <v>486.8</v>
      </c>
      <c r="E832" s="123" t="n">
        <v>50</v>
      </c>
      <c r="F832" s="109">
        <f>ROUND(D832*(1+(E832/100)),2)</f>
        <v/>
      </c>
      <c r="G832" t="n">
        <v>15</v>
      </c>
      <c r="H832" t="n">
        <v>5</v>
      </c>
    </row>
    <row r="833">
      <c r="A833" t="n">
        <v>832</v>
      </c>
      <c r="B833" t="inlineStr">
        <is>
          <t>Produto</t>
        </is>
      </c>
      <c r="C833" s="121" t="inlineStr">
        <is>
          <t>Óculos de natação modelo básico azul</t>
        </is>
      </c>
      <c r="D833" s="109" t="n">
        <v>142.79</v>
      </c>
      <c r="E833" s="123" t="n">
        <v>50</v>
      </c>
      <c r="F833" s="109">
        <f>ROUND(D833*(1+(E833/100)),2)</f>
        <v/>
      </c>
      <c r="G833" t="n">
        <v>15</v>
      </c>
      <c r="H833" t="n">
        <v>5</v>
      </c>
    </row>
    <row r="834">
      <c r="A834" t="n">
        <v>833</v>
      </c>
      <c r="B834" t="inlineStr">
        <is>
          <t>Produto</t>
        </is>
      </c>
      <c r="C834" s="121" t="inlineStr">
        <is>
          <t>Camiseta esportiva ventilado preto tam. M</t>
        </is>
      </c>
      <c r="D834" s="109" t="n">
        <v>39.44</v>
      </c>
      <c r="E834" s="123" t="n">
        <v>50</v>
      </c>
      <c r="F834" s="109">
        <f>ROUND(D834*(1+(E834/100)),2)</f>
        <v/>
      </c>
      <c r="G834" t="n">
        <v>15</v>
      </c>
      <c r="H834" t="n">
        <v>5</v>
      </c>
    </row>
    <row r="835">
      <c r="A835" t="n">
        <v>834</v>
      </c>
      <c r="B835" t="inlineStr">
        <is>
          <t>Produto</t>
        </is>
      </c>
      <c r="C835" s="121" t="inlineStr">
        <is>
          <t>Touca de natação alta performance azul tam. GG</t>
        </is>
      </c>
      <c r="D835" s="109" t="n">
        <v>36.37</v>
      </c>
      <c r="E835" s="123" t="n">
        <v>50</v>
      </c>
      <c r="F835" s="109">
        <f>ROUND(D835*(1+(E835/100)),2)</f>
        <v/>
      </c>
      <c r="G835" t="n">
        <v>15</v>
      </c>
      <c r="H835" t="n">
        <v>5</v>
      </c>
    </row>
    <row r="836">
      <c r="A836" t="n">
        <v>835</v>
      </c>
      <c r="B836" t="inlineStr">
        <is>
          <t>Produto</t>
        </is>
      </c>
      <c r="C836" s="121" t="inlineStr">
        <is>
          <t>Skate profissional vermelho</t>
        </is>
      </c>
      <c r="D836" s="109" t="n">
        <v>102.05</v>
      </c>
      <c r="E836" s="123" t="n">
        <v>50</v>
      </c>
      <c r="F836" s="109">
        <f>ROUND(D836*(1+(E836/100)),2)</f>
        <v/>
      </c>
      <c r="G836" t="n">
        <v>15</v>
      </c>
      <c r="H836" t="n">
        <v>5</v>
      </c>
    </row>
    <row r="837">
      <c r="A837" t="n">
        <v>836</v>
      </c>
      <c r="B837" t="inlineStr">
        <is>
          <t>Produto</t>
        </is>
      </c>
      <c r="C837" s="121" t="inlineStr">
        <is>
          <t>Patins juvenil azul</t>
        </is>
      </c>
      <c r="D837" s="109" t="n">
        <v>168.28</v>
      </c>
      <c r="E837" s="123" t="n">
        <v>50</v>
      </c>
      <c r="F837" s="109">
        <f>ROUND(D837*(1+(E837/100)),2)</f>
        <v/>
      </c>
      <c r="G837" t="n">
        <v>15</v>
      </c>
      <c r="H837" t="n">
        <v>5</v>
      </c>
    </row>
    <row r="838">
      <c r="A838" t="n">
        <v>837</v>
      </c>
      <c r="B838" t="inlineStr">
        <is>
          <t>Produto</t>
        </is>
      </c>
      <c r="C838" s="121" t="inlineStr">
        <is>
          <t>Regata esportiva ventilado azul tam. 44</t>
        </is>
      </c>
      <c r="D838" s="109" t="n">
        <v>66.7</v>
      </c>
      <c r="E838" s="123" t="n">
        <v>50</v>
      </c>
      <c r="F838" s="109">
        <f>ROUND(D838*(1+(E838/100)),2)</f>
        <v/>
      </c>
      <c r="G838" t="n">
        <v>15</v>
      </c>
      <c r="H838" t="n">
        <v>5</v>
      </c>
    </row>
    <row r="839">
      <c r="A839" t="n">
        <v>838</v>
      </c>
      <c r="B839" t="inlineStr">
        <is>
          <t>Produto</t>
        </is>
      </c>
      <c r="C839" s="121" t="inlineStr">
        <is>
          <t>Mochila esportiva para uso diário rosa</t>
        </is>
      </c>
      <c r="D839" s="109" t="n">
        <v>164.5</v>
      </c>
      <c r="E839" s="123" t="n">
        <v>50</v>
      </c>
      <c r="F839" s="109">
        <f>ROUND(D839*(1+(E839/100)),2)</f>
        <v/>
      </c>
      <c r="G839" t="n">
        <v>15</v>
      </c>
      <c r="H839" t="n">
        <v>5</v>
      </c>
    </row>
    <row r="840">
      <c r="A840" t="n">
        <v>839</v>
      </c>
      <c r="B840" t="inlineStr">
        <is>
          <t>Produto</t>
        </is>
      </c>
      <c r="C840" s="121" t="inlineStr">
        <is>
          <t>Bicicleta ergométrica adulto laranja</t>
        </is>
      </c>
      <c r="D840" s="109" t="n">
        <v>2137.45</v>
      </c>
      <c r="E840" s="123" t="n">
        <v>50</v>
      </c>
      <c r="F840" s="109">
        <f>ROUND(D840*(1+(E840/100)),2)</f>
        <v/>
      </c>
      <c r="G840" t="n">
        <v>15</v>
      </c>
      <c r="H840" t="n">
        <v>5</v>
      </c>
    </row>
    <row r="841">
      <c r="A841" t="n">
        <v>840</v>
      </c>
      <c r="B841" t="inlineStr">
        <is>
          <t>Produto</t>
        </is>
      </c>
      <c r="C841" s="121" t="inlineStr">
        <is>
          <t>Caneleira de futebol versão 2026 azul</t>
        </is>
      </c>
      <c r="D841" s="109" t="n">
        <v>70.90000000000001</v>
      </c>
      <c r="E841" s="123" t="n">
        <v>50</v>
      </c>
      <c r="F841" s="109">
        <f>ROUND(D841*(1+(E841/100)),2)</f>
        <v/>
      </c>
      <c r="G841" t="n">
        <v>15</v>
      </c>
      <c r="H841" t="n">
        <v>5</v>
      </c>
    </row>
    <row r="842">
      <c r="A842" t="n">
        <v>841</v>
      </c>
      <c r="B842" t="inlineStr">
        <is>
          <t>Produto</t>
        </is>
      </c>
      <c r="C842" s="121" t="inlineStr">
        <is>
          <t>Luva de boxe profissional branco tam. 42</t>
        </is>
      </c>
      <c r="D842" s="109" t="n">
        <v>69.31999999999999</v>
      </c>
      <c r="E842" s="123" t="n">
        <v>50</v>
      </c>
      <c r="F842" s="109">
        <f>ROUND(D842*(1+(E842/100)),2)</f>
        <v/>
      </c>
      <c r="G842" t="n">
        <v>15</v>
      </c>
      <c r="H842" t="n">
        <v>5</v>
      </c>
    </row>
    <row r="843">
      <c r="A843" t="n">
        <v>842</v>
      </c>
      <c r="B843" t="inlineStr">
        <is>
          <t>Produto</t>
        </is>
      </c>
      <c r="C843" s="121" t="inlineStr">
        <is>
          <t>Nadadeira versão 2026 azul</t>
        </is>
      </c>
      <c r="D843" s="109" t="n">
        <v>67.84999999999999</v>
      </c>
      <c r="E843" s="123" t="n">
        <v>50</v>
      </c>
      <c r="F843" s="109">
        <f>ROUND(D843*(1+(E843/100)),2)</f>
        <v/>
      </c>
      <c r="G843" t="n">
        <v>15</v>
      </c>
      <c r="H843" t="n">
        <v>5</v>
      </c>
    </row>
    <row r="844">
      <c r="A844" t="n">
        <v>843</v>
      </c>
      <c r="B844" t="inlineStr">
        <is>
          <t>Produto</t>
        </is>
      </c>
      <c r="C844" s="121" t="inlineStr">
        <is>
          <t>Bicicleta urbana para uso diário preto</t>
        </is>
      </c>
      <c r="D844" s="109" t="n">
        <v>2243.17</v>
      </c>
      <c r="E844" s="123" t="n">
        <v>50</v>
      </c>
      <c r="F844" s="109">
        <f>ROUND(D844*(1+(E844/100)),2)</f>
        <v/>
      </c>
      <c r="G844" t="n">
        <v>15</v>
      </c>
      <c r="H844" t="n">
        <v>5</v>
      </c>
    </row>
    <row r="845">
      <c r="A845" t="n">
        <v>844</v>
      </c>
      <c r="B845" t="inlineStr">
        <is>
          <t>Produto</t>
        </is>
      </c>
      <c r="C845" s="121" t="inlineStr">
        <is>
          <t>Caneleira de futebol recreativo laranja</t>
        </is>
      </c>
      <c r="D845" s="109" t="n">
        <v>74.09</v>
      </c>
      <c r="E845" s="123" t="n">
        <v>50</v>
      </c>
      <c r="F845" s="109">
        <f>ROUND(D845*(1+(E845/100)),2)</f>
        <v/>
      </c>
      <c r="G845" t="n">
        <v>15</v>
      </c>
      <c r="H845" t="n">
        <v>5</v>
      </c>
    </row>
    <row r="846">
      <c r="A846" t="n">
        <v>845</v>
      </c>
      <c r="B846" t="inlineStr">
        <is>
          <t>Produto</t>
        </is>
      </c>
      <c r="C846" s="121" t="inlineStr">
        <is>
          <t>Caneleira de futebol recreativo cinza</t>
        </is>
      </c>
      <c r="D846" s="109" t="n">
        <v>64.77</v>
      </c>
      <c r="E846" s="123" t="n">
        <v>50</v>
      </c>
      <c r="F846" s="109">
        <f>ROUND(D846*(1+(E846/100)),2)</f>
        <v/>
      </c>
      <c r="G846" t="n">
        <v>15</v>
      </c>
      <c r="H846" t="n">
        <v>5</v>
      </c>
    </row>
    <row r="847">
      <c r="A847" t="n">
        <v>846</v>
      </c>
      <c r="B847" t="inlineStr">
        <is>
          <t>Produto</t>
        </is>
      </c>
      <c r="C847" s="121" t="inlineStr">
        <is>
          <t>Bastão de caminhada adulto vermelho</t>
        </is>
      </c>
      <c r="D847" s="109" t="n">
        <v>48.43</v>
      </c>
      <c r="E847" s="123" t="n">
        <v>50</v>
      </c>
      <c r="F847" s="109">
        <f>ROUND(D847*(1+(E847/100)),2)</f>
        <v/>
      </c>
      <c r="G847" t="n">
        <v>15</v>
      </c>
      <c r="H847" t="n">
        <v>5</v>
      </c>
    </row>
    <row r="848">
      <c r="A848" t="n">
        <v>847</v>
      </c>
      <c r="B848" t="inlineStr">
        <is>
          <t>Produto</t>
        </is>
      </c>
      <c r="C848" s="121" t="inlineStr">
        <is>
          <t>Bola de futebol versão 2026 laranja</t>
        </is>
      </c>
      <c r="D848" s="109" t="n">
        <v>110.51</v>
      </c>
      <c r="E848" s="123" t="n">
        <v>50</v>
      </c>
      <c r="F848" s="109">
        <f>ROUND(D848*(1+(E848/100)),2)</f>
        <v/>
      </c>
      <c r="G848" t="n">
        <v>15</v>
      </c>
      <c r="H848" t="n">
        <v>5</v>
      </c>
    </row>
    <row r="849">
      <c r="A849" t="n">
        <v>848</v>
      </c>
      <c r="B849" t="inlineStr">
        <is>
          <t>Produto</t>
        </is>
      </c>
      <c r="C849" s="121" t="inlineStr">
        <is>
          <t>Raquete de badminton reforçado branco</t>
        </is>
      </c>
      <c r="D849" s="109" t="n">
        <v>74.41</v>
      </c>
      <c r="E849" s="123" t="n">
        <v>50</v>
      </c>
      <c r="F849" s="109">
        <f>ROUND(D849*(1+(E849/100)),2)</f>
        <v/>
      </c>
      <c r="G849" t="n">
        <v>15</v>
      </c>
      <c r="H849" t="n">
        <v>5</v>
      </c>
    </row>
    <row r="850">
      <c r="A850" t="n">
        <v>849</v>
      </c>
      <c r="B850" t="inlineStr">
        <is>
          <t>Produto</t>
        </is>
      </c>
      <c r="C850" s="121" t="inlineStr">
        <is>
          <t>Óculos de natação recreativo vermelho</t>
        </is>
      </c>
      <c r="D850" s="109" t="n">
        <v>37.33</v>
      </c>
      <c r="E850" s="123" t="n">
        <v>50</v>
      </c>
      <c r="F850" s="109">
        <f>ROUND(D850*(1+(E850/100)),2)</f>
        <v/>
      </c>
      <c r="G850" t="n">
        <v>15</v>
      </c>
      <c r="H850" t="n">
        <v>5</v>
      </c>
    </row>
    <row r="851">
      <c r="A851" t="n">
        <v>850</v>
      </c>
      <c r="B851" t="inlineStr">
        <is>
          <t>Produto</t>
        </is>
      </c>
      <c r="C851" s="121" t="inlineStr">
        <is>
          <t>Kimono de judô reforçado azul tam. G</t>
        </is>
      </c>
      <c r="D851" s="109" t="n">
        <v>261.23</v>
      </c>
      <c r="E851" s="123" t="n">
        <v>50</v>
      </c>
      <c r="F851" s="109">
        <f>ROUND(D851*(1+(E851/100)),2)</f>
        <v/>
      </c>
      <c r="G851" t="n">
        <v>15</v>
      </c>
      <c r="H851" t="n">
        <v>5</v>
      </c>
    </row>
    <row r="852">
      <c r="A852" t="n">
        <v>851</v>
      </c>
      <c r="B852" t="inlineStr">
        <is>
          <t>Produto</t>
        </is>
      </c>
      <c r="C852" s="121" t="inlineStr">
        <is>
          <t>Protetor bucal ventilado rosa</t>
        </is>
      </c>
      <c r="D852" s="109" t="n">
        <v>41.82</v>
      </c>
      <c r="E852" s="123" t="n">
        <v>50</v>
      </c>
      <c r="F852" s="109">
        <f>ROUND(D852*(1+(E852/100)),2)</f>
        <v/>
      </c>
      <c r="G852" t="n">
        <v>15</v>
      </c>
      <c r="H852" t="n">
        <v>5</v>
      </c>
    </row>
    <row r="853">
      <c r="A853" t="n">
        <v>852</v>
      </c>
      <c r="B853" t="inlineStr">
        <is>
          <t>Produto</t>
        </is>
      </c>
      <c r="C853" s="121" t="inlineStr">
        <is>
          <t>Raquete de beach tennis profissional cinza</t>
        </is>
      </c>
      <c r="D853" s="109" t="n">
        <v>146.88</v>
      </c>
      <c r="E853" s="123" t="n">
        <v>50</v>
      </c>
      <c r="F853" s="109">
        <f>ROUND(D853*(1+(E853/100)),2)</f>
        <v/>
      </c>
      <c r="G853" t="n">
        <v>15</v>
      </c>
      <c r="H853" t="n">
        <v>5</v>
      </c>
    </row>
    <row r="854">
      <c r="A854" t="n">
        <v>853</v>
      </c>
      <c r="B854" t="inlineStr">
        <is>
          <t>Produto</t>
        </is>
      </c>
      <c r="C854" s="121" t="inlineStr">
        <is>
          <t>Bastão de caminhada ergonômico branco</t>
        </is>
      </c>
      <c r="D854" s="109" t="n">
        <v>83.51000000000001</v>
      </c>
      <c r="E854" s="123" t="n">
        <v>50</v>
      </c>
      <c r="F854" s="109">
        <f>ROUND(D854*(1+(E854/100)),2)</f>
        <v/>
      </c>
      <c r="G854" t="n">
        <v>15</v>
      </c>
      <c r="H854" t="n">
        <v>5</v>
      </c>
    </row>
    <row r="855">
      <c r="A855" t="n">
        <v>854</v>
      </c>
      <c r="B855" t="inlineStr">
        <is>
          <t>Produto</t>
        </is>
      </c>
      <c r="C855" s="121" t="inlineStr">
        <is>
          <t>Prancha de natação treino cinza</t>
        </is>
      </c>
      <c r="D855" s="109" t="n">
        <v>73.7</v>
      </c>
      <c r="E855" s="123" t="n">
        <v>50</v>
      </c>
      <c r="F855" s="109">
        <f>ROUND(D855*(1+(E855/100)),2)</f>
        <v/>
      </c>
      <c r="G855" t="n">
        <v>15</v>
      </c>
      <c r="H855" t="n">
        <v>5</v>
      </c>
    </row>
    <row r="856">
      <c r="A856" t="n">
        <v>855</v>
      </c>
      <c r="B856" t="inlineStr">
        <is>
          <t>Produto</t>
        </is>
      </c>
      <c r="C856" s="121" t="inlineStr">
        <is>
          <t>Short esportivo ergonômico rosa tam. 36</t>
        </is>
      </c>
      <c r="D856" s="109" t="n">
        <v>73.41</v>
      </c>
      <c r="E856" s="123" t="n">
        <v>50</v>
      </c>
      <c r="F856" s="109">
        <f>ROUND(D856*(1+(E856/100)),2)</f>
        <v/>
      </c>
      <c r="G856" t="n">
        <v>15</v>
      </c>
      <c r="H856" t="n">
        <v>5</v>
      </c>
    </row>
    <row r="857">
      <c r="A857" t="n">
        <v>856</v>
      </c>
      <c r="B857" t="inlineStr">
        <is>
          <t>Produto</t>
        </is>
      </c>
      <c r="C857" s="121" t="inlineStr">
        <is>
          <t>Coqueteleira recreativo branco</t>
        </is>
      </c>
      <c r="D857" s="109" t="n">
        <v>45.86</v>
      </c>
      <c r="E857" s="123" t="n">
        <v>50</v>
      </c>
      <c r="F857" s="109">
        <f>ROUND(D857*(1+(E857/100)),2)</f>
        <v/>
      </c>
      <c r="G857" t="n">
        <v>15</v>
      </c>
      <c r="H857" t="n">
        <v>5</v>
      </c>
    </row>
    <row r="858">
      <c r="A858" t="n">
        <v>857</v>
      </c>
      <c r="B858" t="inlineStr">
        <is>
          <t>Produto</t>
        </is>
      </c>
      <c r="C858" s="121" t="inlineStr">
        <is>
          <t>Bicicleta ergométrica adulto branco</t>
        </is>
      </c>
      <c r="D858" s="109" t="n">
        <v>1009.84</v>
      </c>
      <c r="E858" s="123" t="n">
        <v>50</v>
      </c>
      <c r="F858" s="109">
        <f>ROUND(D858*(1+(E858/100)),2)</f>
        <v/>
      </c>
      <c r="G858" t="n">
        <v>15</v>
      </c>
      <c r="H858" t="n">
        <v>5</v>
      </c>
    </row>
    <row r="859">
      <c r="A859" t="n">
        <v>858</v>
      </c>
      <c r="B859" t="inlineStr">
        <is>
          <t>Produto</t>
        </is>
      </c>
      <c r="C859" s="121" t="inlineStr">
        <is>
          <t>Jaqueta esportiva premium branco tam. G</t>
        </is>
      </c>
      <c r="D859" s="109" t="n">
        <v>221.12</v>
      </c>
      <c r="E859" s="123" t="n">
        <v>50</v>
      </c>
      <c r="F859" s="109">
        <f>ROUND(D859*(1+(E859/100)),2)</f>
        <v/>
      </c>
      <c r="G859" t="n">
        <v>15</v>
      </c>
      <c r="H859" t="n">
        <v>5</v>
      </c>
    </row>
    <row r="860">
      <c r="A860" t="n">
        <v>859</v>
      </c>
      <c r="B860" t="inlineStr">
        <is>
          <t>Produto</t>
        </is>
      </c>
      <c r="C860" s="121" t="inlineStr">
        <is>
          <t>Kettlebell com ajuste rosa</t>
        </is>
      </c>
      <c r="D860" s="109" t="n">
        <v>105.28</v>
      </c>
      <c r="E860" s="123" t="n">
        <v>50</v>
      </c>
      <c r="F860" s="109">
        <f>ROUND(D860*(1+(E860/100)),2)</f>
        <v/>
      </c>
      <c r="G860" t="n">
        <v>15</v>
      </c>
      <c r="H860" t="n">
        <v>5</v>
      </c>
    </row>
    <row r="861">
      <c r="A861" t="n">
        <v>860</v>
      </c>
      <c r="B861" t="inlineStr">
        <is>
          <t>Produto</t>
        </is>
      </c>
      <c r="C861" s="121" t="inlineStr">
        <is>
          <t>Coqueteleira ventilado azul</t>
        </is>
      </c>
      <c r="D861" s="109" t="n">
        <v>19.32</v>
      </c>
      <c r="E861" s="123" t="n">
        <v>50</v>
      </c>
      <c r="F861" s="109">
        <f>ROUND(D861*(1+(E861/100)),2)</f>
        <v/>
      </c>
      <c r="G861" t="n">
        <v>15</v>
      </c>
      <c r="H861" t="n">
        <v>5</v>
      </c>
    </row>
    <row r="862">
      <c r="A862" t="n">
        <v>861</v>
      </c>
      <c r="B862" t="inlineStr">
        <is>
          <t>Produto</t>
        </is>
      </c>
      <c r="C862" s="121" t="inlineStr">
        <is>
          <t>Saco de pancadas premium vermelho</t>
        </is>
      </c>
      <c r="D862" s="109" t="n">
        <v>708.2</v>
      </c>
      <c r="E862" s="123" t="n">
        <v>50</v>
      </c>
      <c r="F862" s="109">
        <f>ROUND(D862*(1+(E862/100)),2)</f>
        <v/>
      </c>
      <c r="G862" t="n">
        <v>15</v>
      </c>
      <c r="H862" t="n">
        <v>5</v>
      </c>
    </row>
    <row r="863">
      <c r="A863" t="n">
        <v>862</v>
      </c>
      <c r="B863" t="inlineStr">
        <is>
          <t>Produto</t>
        </is>
      </c>
      <c r="C863" s="121" t="inlineStr">
        <is>
          <t>Short esportivo profissional azul tam. P</t>
        </is>
      </c>
      <c r="D863" s="109" t="n">
        <v>94.40000000000001</v>
      </c>
      <c r="E863" s="123" t="n">
        <v>50</v>
      </c>
      <c r="F863" s="109">
        <f>ROUND(D863*(1+(E863/100)),2)</f>
        <v/>
      </c>
      <c r="G863" t="n">
        <v>15</v>
      </c>
      <c r="H863" t="n">
        <v>5</v>
      </c>
    </row>
    <row r="864">
      <c r="A864" t="n">
        <v>863</v>
      </c>
      <c r="B864" t="inlineStr">
        <is>
          <t>Produto</t>
        </is>
      </c>
      <c r="C864" s="121" t="inlineStr">
        <is>
          <t>Touca de natação unissex laranja tam. 44</t>
        </is>
      </c>
      <c r="D864" s="109" t="n">
        <v>19.79</v>
      </c>
      <c r="E864" s="123" t="n">
        <v>50</v>
      </c>
      <c r="F864" s="109">
        <f>ROUND(D864*(1+(E864/100)),2)</f>
        <v/>
      </c>
      <c r="G864" t="n">
        <v>15</v>
      </c>
      <c r="H864" t="n">
        <v>5</v>
      </c>
    </row>
    <row r="865">
      <c r="A865" t="n">
        <v>864</v>
      </c>
      <c r="B865" t="inlineStr">
        <is>
          <t>Produto</t>
        </is>
      </c>
      <c r="C865" s="121" t="inlineStr">
        <is>
          <t>Bola de vôlei premium rosa</t>
        </is>
      </c>
      <c r="D865" s="109" t="n">
        <v>78.87</v>
      </c>
      <c r="E865" s="123" t="n">
        <v>50</v>
      </c>
      <c r="F865" s="109">
        <f>ROUND(D865*(1+(E865/100)),2)</f>
        <v/>
      </c>
      <c r="G865" t="n">
        <v>15</v>
      </c>
      <c r="H865" t="n">
        <v>5</v>
      </c>
    </row>
    <row r="866">
      <c r="A866" t="n">
        <v>865</v>
      </c>
      <c r="B866" t="inlineStr">
        <is>
          <t>Produto</t>
        </is>
      </c>
      <c r="C866" s="121" t="inlineStr">
        <is>
          <t>Chuteira society para uso diário verde tam. 44</t>
        </is>
      </c>
      <c r="D866" s="109" t="n">
        <v>323.9</v>
      </c>
      <c r="E866" s="123" t="n">
        <v>50</v>
      </c>
      <c r="F866" s="109">
        <f>ROUND(D866*(1+(E866/100)),2)</f>
        <v/>
      </c>
      <c r="G866" t="n">
        <v>15</v>
      </c>
      <c r="H866" t="n">
        <v>5</v>
      </c>
    </row>
    <row r="867">
      <c r="A867" t="n">
        <v>866</v>
      </c>
      <c r="B867" t="inlineStr">
        <is>
          <t>Produto</t>
        </is>
      </c>
      <c r="C867" s="121" t="inlineStr">
        <is>
          <t>Garrafa squeeze com ajuste azul</t>
        </is>
      </c>
      <c r="D867" s="109" t="n">
        <v>29.18</v>
      </c>
      <c r="E867" s="123" t="n">
        <v>50</v>
      </c>
      <c r="F867" s="109">
        <f>ROUND(D867*(1+(E867/100)),2)</f>
        <v/>
      </c>
      <c r="G867" t="n">
        <v>15</v>
      </c>
      <c r="H867" t="n">
        <v>5</v>
      </c>
    </row>
    <row r="868">
      <c r="A868" t="n">
        <v>867</v>
      </c>
      <c r="B868" t="inlineStr">
        <is>
          <t>Produto</t>
        </is>
      </c>
      <c r="C868" s="121" t="inlineStr">
        <is>
          <t>Relógio esportivo compacto vermelho</t>
        </is>
      </c>
      <c r="D868" s="109" t="n">
        <v>1150.31</v>
      </c>
      <c r="E868" s="123" t="n">
        <v>50</v>
      </c>
      <c r="F868" s="109">
        <f>ROUND(D868*(1+(E868/100)),2)</f>
        <v/>
      </c>
      <c r="G868" t="n">
        <v>15</v>
      </c>
      <c r="H868" t="n">
        <v>5</v>
      </c>
    </row>
    <row r="869">
      <c r="A869" t="n">
        <v>868</v>
      </c>
      <c r="B869" t="inlineStr">
        <is>
          <t>Produto</t>
        </is>
      </c>
      <c r="C869" s="121" t="inlineStr">
        <is>
          <t>Chuteira de campo leve vermelho tam. 44</t>
        </is>
      </c>
      <c r="D869" s="109" t="n">
        <v>515.9400000000001</v>
      </c>
      <c r="E869" s="123" t="n">
        <v>50</v>
      </c>
      <c r="F869" s="109">
        <f>ROUND(D869*(1+(E869/100)),2)</f>
        <v/>
      </c>
      <c r="G869" t="n">
        <v>15</v>
      </c>
      <c r="H869" t="n">
        <v>5</v>
      </c>
    </row>
    <row r="870">
      <c r="A870" t="n">
        <v>869</v>
      </c>
      <c r="B870" t="inlineStr">
        <is>
          <t>Produto</t>
        </is>
      </c>
      <c r="C870" s="121" t="inlineStr">
        <is>
          <t>Prancha de natação ergonômico branco</t>
        </is>
      </c>
      <c r="D870" s="109" t="n">
        <v>21.58</v>
      </c>
      <c r="E870" s="123" t="n">
        <v>50</v>
      </c>
      <c r="F870" s="109">
        <f>ROUND(D870*(1+(E870/100)),2)</f>
        <v/>
      </c>
      <c r="G870" t="n">
        <v>15</v>
      </c>
      <c r="H870" t="n">
        <v>5</v>
      </c>
    </row>
    <row r="871">
      <c r="A871" t="n">
        <v>870</v>
      </c>
      <c r="B871" t="inlineStr">
        <is>
          <t>Produto</t>
        </is>
      </c>
      <c r="C871" s="121" t="inlineStr">
        <is>
          <t>Step de ginástica compacto azul</t>
        </is>
      </c>
      <c r="D871" s="109" t="n">
        <v>123.38</v>
      </c>
      <c r="E871" s="123" t="n">
        <v>50</v>
      </c>
      <c r="F871" s="109">
        <f>ROUND(D871*(1+(E871/100)),2)</f>
        <v/>
      </c>
      <c r="G871" t="n">
        <v>15</v>
      </c>
      <c r="H871" t="n">
        <v>5</v>
      </c>
    </row>
    <row r="872">
      <c r="A872" t="n">
        <v>871</v>
      </c>
      <c r="B872" t="inlineStr">
        <is>
          <t>Produto</t>
        </is>
      </c>
      <c r="C872" s="121" t="inlineStr">
        <is>
          <t>Jaqueta esportiva reforçado branco tam. 38</t>
        </is>
      </c>
      <c r="D872" s="109" t="n">
        <v>169.48</v>
      </c>
      <c r="E872" s="123" t="n">
        <v>50</v>
      </c>
      <c r="F872" s="109">
        <f>ROUND(D872*(1+(E872/100)),2)</f>
        <v/>
      </c>
      <c r="G872" t="n">
        <v>15</v>
      </c>
      <c r="H872" t="n">
        <v>5</v>
      </c>
    </row>
    <row r="873">
      <c r="A873" t="n">
        <v>872</v>
      </c>
      <c r="B873" t="inlineStr">
        <is>
          <t>Produto</t>
        </is>
      </c>
      <c r="C873" s="121" t="inlineStr">
        <is>
          <t>Capacete de ciclismo juvenil branco</t>
        </is>
      </c>
      <c r="D873" s="109" t="n">
        <v>80.15000000000001</v>
      </c>
      <c r="E873" s="123" t="n">
        <v>50</v>
      </c>
      <c r="F873" s="109">
        <f>ROUND(D873*(1+(E873/100)),2)</f>
        <v/>
      </c>
      <c r="G873" t="n">
        <v>15</v>
      </c>
      <c r="H873" t="n">
        <v>5</v>
      </c>
    </row>
    <row r="874">
      <c r="A874" t="n">
        <v>873</v>
      </c>
      <c r="B874" t="inlineStr">
        <is>
          <t>Produto</t>
        </is>
      </c>
      <c r="C874" s="121" t="inlineStr">
        <is>
          <t>Monitor cardíaco premium vermelho</t>
        </is>
      </c>
      <c r="D874" s="109" t="n">
        <v>259.6</v>
      </c>
      <c r="E874" s="123" t="n">
        <v>50</v>
      </c>
      <c r="F874" s="109">
        <f>ROUND(D874*(1+(E874/100)),2)</f>
        <v/>
      </c>
      <c r="G874" t="n">
        <v>15</v>
      </c>
      <c r="H874" t="n">
        <v>5</v>
      </c>
    </row>
    <row r="875">
      <c r="A875" t="n">
        <v>874</v>
      </c>
      <c r="B875" t="inlineStr">
        <is>
          <t>Produto</t>
        </is>
      </c>
      <c r="C875" s="121" t="inlineStr">
        <is>
          <t>Bloco para yoga unissex azul</t>
        </is>
      </c>
      <c r="D875" s="109" t="n">
        <v>29.09</v>
      </c>
      <c r="E875" s="123" t="n">
        <v>50</v>
      </c>
      <c r="F875" s="109">
        <f>ROUND(D875*(1+(E875/100)),2)</f>
        <v/>
      </c>
      <c r="G875" t="n">
        <v>15</v>
      </c>
      <c r="H875" t="n">
        <v>5</v>
      </c>
    </row>
    <row r="876">
      <c r="A876" t="n">
        <v>875</v>
      </c>
      <c r="B876" t="inlineStr">
        <is>
          <t>Produto</t>
        </is>
      </c>
      <c r="C876" s="121" t="inlineStr">
        <is>
          <t>Bloco para yoga resistente laranja</t>
        </is>
      </c>
      <c r="D876" s="109" t="n">
        <v>22.7</v>
      </c>
      <c r="E876" s="123" t="n">
        <v>50</v>
      </c>
      <c r="F876" s="109">
        <f>ROUND(D876*(1+(E876/100)),2)</f>
        <v/>
      </c>
      <c r="G876" t="n">
        <v>15</v>
      </c>
      <c r="H876" t="n">
        <v>5</v>
      </c>
    </row>
    <row r="877">
      <c r="A877" t="n">
        <v>876</v>
      </c>
      <c r="B877" t="inlineStr">
        <is>
          <t>Produto</t>
        </is>
      </c>
      <c r="C877" s="121" t="inlineStr">
        <is>
          <t>Colchonete de exercício ergonômico preto</t>
        </is>
      </c>
      <c r="D877" s="109" t="n">
        <v>72.11</v>
      </c>
      <c r="E877" s="123" t="n">
        <v>50</v>
      </c>
      <c r="F877" s="109">
        <f>ROUND(D877*(1+(E877/100)),2)</f>
        <v/>
      </c>
      <c r="G877" t="n">
        <v>15</v>
      </c>
      <c r="H877" t="n">
        <v>5</v>
      </c>
    </row>
    <row r="878">
      <c r="A878" t="n">
        <v>877</v>
      </c>
      <c r="B878" t="inlineStr">
        <is>
          <t>Produto</t>
        </is>
      </c>
      <c r="C878" s="121" t="inlineStr">
        <is>
          <t>Chuteira de campo leve verde tam. M</t>
        </is>
      </c>
      <c r="D878" s="109" t="n">
        <v>312.74</v>
      </c>
      <c r="E878" s="123" t="n">
        <v>50</v>
      </c>
      <c r="F878" s="109">
        <f>ROUND(D878*(1+(E878/100)),2)</f>
        <v/>
      </c>
      <c r="G878" t="n">
        <v>15</v>
      </c>
      <c r="H878" t="n">
        <v>5</v>
      </c>
    </row>
    <row r="879">
      <c r="A879" t="n">
        <v>878</v>
      </c>
      <c r="B879" t="inlineStr">
        <is>
          <t>Produto</t>
        </is>
      </c>
      <c r="C879" s="121" t="inlineStr">
        <is>
          <t>Bolsa de academia recreativo vermelho</t>
        </is>
      </c>
      <c r="D879" s="109" t="n">
        <v>53.54</v>
      </c>
      <c r="E879" s="123" t="n">
        <v>50</v>
      </c>
      <c r="F879" s="109">
        <f>ROUND(D879*(1+(E879/100)),2)</f>
        <v/>
      </c>
      <c r="G879" t="n">
        <v>15</v>
      </c>
      <c r="H879" t="n">
        <v>5</v>
      </c>
    </row>
    <row r="880">
      <c r="A880" t="n">
        <v>879</v>
      </c>
      <c r="B880" t="inlineStr">
        <is>
          <t>Produto</t>
        </is>
      </c>
      <c r="C880" s="121" t="inlineStr">
        <is>
          <t>Saco de pancadas compacto laranja</t>
        </is>
      </c>
      <c r="D880" s="109" t="n">
        <v>655.3099999999999</v>
      </c>
      <c r="E880" s="123" t="n">
        <v>50</v>
      </c>
      <c r="F880" s="109">
        <f>ROUND(D880*(1+(E880/100)),2)</f>
        <v/>
      </c>
      <c r="G880" t="n">
        <v>15</v>
      </c>
      <c r="H880" t="n">
        <v>5</v>
      </c>
    </row>
    <row r="881">
      <c r="A881" t="n">
        <v>880</v>
      </c>
      <c r="B881" t="inlineStr">
        <is>
          <t>Produto</t>
        </is>
      </c>
      <c r="C881" s="121" t="inlineStr">
        <is>
          <t>Bastão de caminhada ergonômico rosa</t>
        </is>
      </c>
      <c r="D881" s="109" t="n">
        <v>101.8</v>
      </c>
      <c r="E881" s="123" t="n">
        <v>50</v>
      </c>
      <c r="F881" s="109">
        <f>ROUND(D881*(1+(E881/100)),2)</f>
        <v/>
      </c>
      <c r="G881" t="n">
        <v>15</v>
      </c>
      <c r="H881" t="n">
        <v>5</v>
      </c>
    </row>
    <row r="882">
      <c r="A882" t="n">
        <v>881</v>
      </c>
      <c r="B882" t="inlineStr">
        <is>
          <t>Produto</t>
        </is>
      </c>
      <c r="C882" s="121" t="inlineStr">
        <is>
          <t>Luva de boxe alta performance preto tam. GG</t>
        </is>
      </c>
      <c r="D882" s="109" t="n">
        <v>53.07</v>
      </c>
      <c r="E882" s="123" t="n">
        <v>50</v>
      </c>
      <c r="F882" s="109">
        <f>ROUND(D882*(1+(E882/100)),2)</f>
        <v/>
      </c>
      <c r="G882" t="n">
        <v>15</v>
      </c>
      <c r="H882" t="n">
        <v>5</v>
      </c>
    </row>
    <row r="883">
      <c r="A883" t="n">
        <v>882</v>
      </c>
      <c r="B883" t="inlineStr">
        <is>
          <t>Produto</t>
        </is>
      </c>
      <c r="C883" s="121" t="inlineStr">
        <is>
          <t>Protetor bucal leve vermelho</t>
        </is>
      </c>
      <c r="D883" s="109" t="n">
        <v>41.05</v>
      </c>
      <c r="E883" s="123" t="n">
        <v>50</v>
      </c>
      <c r="F883" s="109">
        <f>ROUND(D883*(1+(E883/100)),2)</f>
        <v/>
      </c>
      <c r="G883" t="n">
        <v>15</v>
      </c>
      <c r="H883" t="n">
        <v>5</v>
      </c>
    </row>
    <row r="884">
      <c r="A884" t="n">
        <v>883</v>
      </c>
      <c r="B884" t="inlineStr">
        <is>
          <t>Produto</t>
        </is>
      </c>
      <c r="C884" s="121" t="inlineStr">
        <is>
          <t>Bola de vôlei recreativo preto</t>
        </is>
      </c>
      <c r="D884" s="109" t="n">
        <v>37.91</v>
      </c>
      <c r="E884" s="123" t="n">
        <v>50</v>
      </c>
      <c r="F884" s="109">
        <f>ROUND(D884*(1+(E884/100)),2)</f>
        <v/>
      </c>
      <c r="G884" t="n">
        <v>15</v>
      </c>
      <c r="H884" t="n">
        <v>5</v>
      </c>
    </row>
    <row r="885">
      <c r="A885" t="n">
        <v>884</v>
      </c>
      <c r="B885" t="inlineStr">
        <is>
          <t>Produto</t>
        </is>
      </c>
      <c r="C885" s="121" t="inlineStr">
        <is>
          <t>Regata esportiva para uso diário preto tam. 34</t>
        </is>
      </c>
      <c r="D885" s="109" t="n">
        <v>74.62</v>
      </c>
      <c r="E885" s="123" t="n">
        <v>50</v>
      </c>
      <c r="F885" s="109">
        <f>ROUND(D885*(1+(E885/100)),2)</f>
        <v/>
      </c>
      <c r="G885" t="n">
        <v>15</v>
      </c>
      <c r="H885" t="n">
        <v>5</v>
      </c>
    </row>
    <row r="886">
      <c r="A886" t="n">
        <v>885</v>
      </c>
      <c r="B886" t="inlineStr">
        <is>
          <t>Produto</t>
        </is>
      </c>
      <c r="C886" s="121" t="inlineStr">
        <is>
          <t>Calça legging versão 2026 rosa tam. 40</t>
        </is>
      </c>
      <c r="D886" s="109" t="n">
        <v>55.52</v>
      </c>
      <c r="E886" s="123" t="n">
        <v>50</v>
      </c>
      <c r="F886" s="109">
        <f>ROUND(D886*(1+(E886/100)),2)</f>
        <v/>
      </c>
      <c r="G886" t="n">
        <v>15</v>
      </c>
      <c r="H886" t="n">
        <v>5</v>
      </c>
    </row>
    <row r="887">
      <c r="A887" t="n">
        <v>886</v>
      </c>
      <c r="B887" t="inlineStr">
        <is>
          <t>Produto</t>
        </is>
      </c>
      <c r="C887" s="121" t="inlineStr">
        <is>
          <t>Corda de pular recreativo vermelho</t>
        </is>
      </c>
      <c r="D887" s="109" t="n">
        <v>59.42</v>
      </c>
      <c r="E887" s="123" t="n">
        <v>50</v>
      </c>
      <c r="F887" s="109">
        <f>ROUND(D887*(1+(E887/100)),2)</f>
        <v/>
      </c>
      <c r="G887" t="n">
        <v>15</v>
      </c>
      <c r="H887" t="n">
        <v>5</v>
      </c>
    </row>
    <row r="888">
      <c r="A888" t="n">
        <v>887</v>
      </c>
      <c r="B888" t="inlineStr">
        <is>
          <t>Produto</t>
        </is>
      </c>
      <c r="C888" s="121" t="inlineStr">
        <is>
          <t>Relógio esportivo leve branco</t>
        </is>
      </c>
      <c r="D888" s="109" t="n">
        <v>1388.12</v>
      </c>
      <c r="E888" s="123" t="n">
        <v>50</v>
      </c>
      <c r="F888" s="109">
        <f>ROUND(D888*(1+(E888/100)),2)</f>
        <v/>
      </c>
      <c r="G888" t="n">
        <v>15</v>
      </c>
      <c r="H888" t="n">
        <v>5</v>
      </c>
    </row>
    <row r="889">
      <c r="A889" t="n">
        <v>888</v>
      </c>
      <c r="B889" t="inlineStr">
        <is>
          <t>Produto</t>
        </is>
      </c>
      <c r="C889" s="121" t="inlineStr">
        <is>
          <t>Saco de pancadas profissional verde</t>
        </is>
      </c>
      <c r="D889" s="109" t="n">
        <v>369.56</v>
      </c>
      <c r="E889" s="123" t="n">
        <v>50</v>
      </c>
      <c r="F889" s="109">
        <f>ROUND(D889*(1+(E889/100)),2)</f>
        <v/>
      </c>
      <c r="G889" t="n">
        <v>15</v>
      </c>
      <c r="H889" t="n">
        <v>5</v>
      </c>
    </row>
    <row r="890">
      <c r="A890" t="n">
        <v>889</v>
      </c>
      <c r="B890" t="inlineStr">
        <is>
          <t>Produto</t>
        </is>
      </c>
      <c r="C890" s="121" t="inlineStr">
        <is>
          <t>Chuteira de campo adulto verde tam. 42</t>
        </is>
      </c>
      <c r="D890" s="109" t="n">
        <v>474.23</v>
      </c>
      <c r="E890" s="123" t="n">
        <v>50</v>
      </c>
      <c r="F890" s="109">
        <f>ROUND(D890*(1+(E890/100)),2)</f>
        <v/>
      </c>
      <c r="G890" t="n">
        <v>15</v>
      </c>
      <c r="H890" t="n">
        <v>5</v>
      </c>
    </row>
    <row r="891">
      <c r="A891" t="n">
        <v>890</v>
      </c>
      <c r="B891" t="inlineStr">
        <is>
          <t>Produto</t>
        </is>
      </c>
      <c r="C891" s="121" t="inlineStr">
        <is>
          <t>Relógio esportivo recreativo azul</t>
        </is>
      </c>
      <c r="D891" s="109" t="n">
        <v>315.43</v>
      </c>
      <c r="E891" s="123" t="n">
        <v>50</v>
      </c>
      <c r="F891" s="109">
        <f>ROUND(D891*(1+(E891/100)),2)</f>
        <v/>
      </c>
      <c r="G891" t="n">
        <v>15</v>
      </c>
      <c r="H891" t="n">
        <v>5</v>
      </c>
    </row>
    <row r="892">
      <c r="A892" t="n">
        <v>891</v>
      </c>
      <c r="B892" t="inlineStr">
        <is>
          <t>Produto</t>
        </is>
      </c>
      <c r="C892" s="121" t="inlineStr">
        <is>
          <t>Kimono de judô juvenil azul tam. M</t>
        </is>
      </c>
      <c r="D892" s="109" t="n">
        <v>204.61</v>
      </c>
      <c r="E892" s="123" t="n">
        <v>50</v>
      </c>
      <c r="F892" s="109">
        <f>ROUND(D892*(1+(E892/100)),2)</f>
        <v/>
      </c>
      <c r="G892" t="n">
        <v>15</v>
      </c>
      <c r="H892" t="n">
        <v>5</v>
      </c>
    </row>
    <row r="893">
      <c r="A893" t="n">
        <v>892</v>
      </c>
      <c r="B893" t="inlineStr">
        <is>
          <t>Produto</t>
        </is>
      </c>
      <c r="C893" s="121" t="inlineStr">
        <is>
          <t>Chuteira de campo ventilado preto tam. 38</t>
        </is>
      </c>
      <c r="D893" s="109" t="n">
        <v>316.25</v>
      </c>
      <c r="E893" s="123" t="n">
        <v>50</v>
      </c>
      <c r="F893" s="109">
        <f>ROUND(D893*(1+(E893/100)),2)</f>
        <v/>
      </c>
      <c r="G893" t="n">
        <v>15</v>
      </c>
      <c r="H893" t="n">
        <v>5</v>
      </c>
    </row>
    <row r="894">
      <c r="A894" t="n">
        <v>893</v>
      </c>
      <c r="B894" t="inlineStr">
        <is>
          <t>Produto</t>
        </is>
      </c>
      <c r="C894" s="121" t="inlineStr">
        <is>
          <t>Tapete de yoga resistente laranja</t>
        </is>
      </c>
      <c r="D894" s="109" t="n">
        <v>59.74</v>
      </c>
      <c r="E894" s="123" t="n">
        <v>50</v>
      </c>
      <c r="F894" s="109">
        <f>ROUND(D894*(1+(E894/100)),2)</f>
        <v/>
      </c>
      <c r="G894" t="n">
        <v>15</v>
      </c>
      <c r="H894" t="n">
        <v>5</v>
      </c>
    </row>
    <row r="895">
      <c r="A895" t="n">
        <v>894</v>
      </c>
      <c r="B895" t="inlineStr">
        <is>
          <t>Produto</t>
        </is>
      </c>
      <c r="C895" s="121" t="inlineStr">
        <is>
          <t>Luva de ciclismo modelo avançado azul tam. 38</t>
        </is>
      </c>
      <c r="D895" s="109" t="n">
        <v>31.6</v>
      </c>
      <c r="E895" s="123" t="n">
        <v>50</v>
      </c>
      <c r="F895" s="109">
        <f>ROUND(D895*(1+(E895/100)),2)</f>
        <v/>
      </c>
      <c r="G895" t="n">
        <v>15</v>
      </c>
      <c r="H895" t="n">
        <v>5</v>
      </c>
    </row>
    <row r="896">
      <c r="A896" t="n">
        <v>895</v>
      </c>
      <c r="B896" t="inlineStr">
        <is>
          <t>Produto</t>
        </is>
      </c>
      <c r="C896" s="121" t="inlineStr">
        <is>
          <t>Luva de ciclismo profissional cinza tam. 44</t>
        </is>
      </c>
      <c r="D896" s="109" t="n">
        <v>107.37</v>
      </c>
      <c r="E896" s="123" t="n">
        <v>50</v>
      </c>
      <c r="F896" s="109">
        <f>ROUND(D896*(1+(E896/100)),2)</f>
        <v/>
      </c>
      <c r="G896" t="n">
        <v>15</v>
      </c>
      <c r="H896" t="n">
        <v>5</v>
      </c>
    </row>
    <row r="897">
      <c r="A897" t="n">
        <v>896</v>
      </c>
      <c r="B897" t="inlineStr">
        <is>
          <t>Produto</t>
        </is>
      </c>
      <c r="C897" s="121" t="inlineStr">
        <is>
          <t>Corda de pular reforçado preto</t>
        </is>
      </c>
      <c r="D897" s="109" t="n">
        <v>66.38</v>
      </c>
      <c r="E897" s="123" t="n">
        <v>50</v>
      </c>
      <c r="F897" s="109">
        <f>ROUND(D897*(1+(E897/100)),2)</f>
        <v/>
      </c>
      <c r="G897" t="n">
        <v>15</v>
      </c>
      <c r="H897" t="n">
        <v>5</v>
      </c>
    </row>
    <row r="898">
      <c r="A898" t="n">
        <v>897</v>
      </c>
      <c r="B898" t="inlineStr">
        <is>
          <t>Produto</t>
        </is>
      </c>
      <c r="C898" s="121" t="inlineStr">
        <is>
          <t>Bola de futebol resistente azul</t>
        </is>
      </c>
      <c r="D898" s="109" t="n">
        <v>107.9</v>
      </c>
      <c r="E898" s="123" t="n">
        <v>50</v>
      </c>
      <c r="F898" s="109">
        <f>ROUND(D898*(1+(E898/100)),2)</f>
        <v/>
      </c>
      <c r="G898" t="n">
        <v>15</v>
      </c>
      <c r="H898" t="n">
        <v>5</v>
      </c>
    </row>
    <row r="899">
      <c r="A899" t="n">
        <v>898</v>
      </c>
      <c r="B899" t="inlineStr">
        <is>
          <t>Produto</t>
        </is>
      </c>
      <c r="C899" s="121" t="inlineStr">
        <is>
          <t>Bloco para yoga modelo básico laranja</t>
        </is>
      </c>
      <c r="D899" s="109" t="n">
        <v>23.07</v>
      </c>
      <c r="E899" s="123" t="n">
        <v>50</v>
      </c>
      <c r="F899" s="109">
        <f>ROUND(D899*(1+(E899/100)),2)</f>
        <v/>
      </c>
      <c r="G899" t="n">
        <v>15</v>
      </c>
      <c r="H899" t="n">
        <v>5</v>
      </c>
    </row>
    <row r="900">
      <c r="A900" t="n">
        <v>899</v>
      </c>
      <c r="B900" t="inlineStr">
        <is>
          <t>Produto</t>
        </is>
      </c>
      <c r="C900" s="121" t="inlineStr">
        <is>
          <t>Chuteira society unissex cinza tam. 34</t>
        </is>
      </c>
      <c r="D900" s="109" t="n">
        <v>367.73</v>
      </c>
      <c r="E900" s="123" t="n">
        <v>50</v>
      </c>
      <c r="F900" s="109">
        <f>ROUND(D900*(1+(E900/100)),2)</f>
        <v/>
      </c>
      <c r="G900" t="n">
        <v>15</v>
      </c>
      <c r="H900" t="n">
        <v>5</v>
      </c>
    </row>
    <row r="901">
      <c r="A901" t="n">
        <v>900</v>
      </c>
      <c r="B901" t="inlineStr">
        <is>
          <t>Produto</t>
        </is>
      </c>
      <c r="C901" s="121" t="inlineStr">
        <is>
          <t>Bicicleta ergométrica modelo avançado cinza</t>
        </is>
      </c>
      <c r="D901" s="109" t="n">
        <v>2978.29</v>
      </c>
      <c r="E901" s="123" t="n">
        <v>50</v>
      </c>
      <c r="F901" s="109">
        <f>ROUND(D901*(1+(E901/100)),2)</f>
        <v/>
      </c>
      <c r="G901" t="n">
        <v>15</v>
      </c>
      <c r="H901" t="n">
        <v>5</v>
      </c>
    </row>
    <row r="902">
      <c r="A902" t="n">
        <v>901</v>
      </c>
      <c r="B902" t="inlineStr">
        <is>
          <t>Produto</t>
        </is>
      </c>
      <c r="C902" s="121" t="inlineStr">
        <is>
          <t>Elástico de resistência alta performance rosa</t>
        </is>
      </c>
      <c r="D902" s="109" t="n">
        <v>17.07</v>
      </c>
      <c r="E902" s="123" t="n">
        <v>50</v>
      </c>
      <c r="F902" s="109">
        <f>ROUND(D902*(1+(E902/100)),2)</f>
        <v/>
      </c>
      <c r="G902" t="n">
        <v>15</v>
      </c>
      <c r="H902" t="n">
        <v>5</v>
      </c>
    </row>
    <row r="903">
      <c r="A903" t="n">
        <v>902</v>
      </c>
      <c r="B903" t="inlineStr">
        <is>
          <t>Produto</t>
        </is>
      </c>
      <c r="C903" s="121" t="inlineStr">
        <is>
          <t>Luva de goleiro ergonômico cinza tam. 34</t>
        </is>
      </c>
      <c r="D903" s="109" t="n">
        <v>148.71</v>
      </c>
      <c r="E903" s="123" t="n">
        <v>50</v>
      </c>
      <c r="F903" s="109">
        <f>ROUND(D903*(1+(E903/100)),2)</f>
        <v/>
      </c>
      <c r="G903" t="n">
        <v>15</v>
      </c>
      <c r="H903" t="n">
        <v>5</v>
      </c>
    </row>
    <row r="904">
      <c r="A904" t="n">
        <v>903</v>
      </c>
      <c r="B904" t="inlineStr">
        <is>
          <t>Produto</t>
        </is>
      </c>
      <c r="C904" s="121" t="inlineStr">
        <is>
          <t>Banco de musculação recreativo azul</t>
        </is>
      </c>
      <c r="D904" s="109" t="n">
        <v>1167.05</v>
      </c>
      <c r="E904" s="123" t="n">
        <v>50</v>
      </c>
      <c r="F904" s="109">
        <f>ROUND(D904*(1+(E904/100)),2)</f>
        <v/>
      </c>
      <c r="G904" t="n">
        <v>15</v>
      </c>
      <c r="H904" t="n">
        <v>5</v>
      </c>
    </row>
    <row r="905">
      <c r="A905" t="n">
        <v>904</v>
      </c>
      <c r="B905" t="inlineStr">
        <is>
          <t>Produto</t>
        </is>
      </c>
      <c r="C905" s="121" t="inlineStr">
        <is>
          <t>Bicicleta urbana treino verde</t>
        </is>
      </c>
      <c r="D905" s="109" t="n">
        <v>2370.98</v>
      </c>
      <c r="E905" s="123" t="n">
        <v>50</v>
      </c>
      <c r="F905" s="109">
        <f>ROUND(D905*(1+(E905/100)),2)</f>
        <v/>
      </c>
      <c r="G905" t="n">
        <v>15</v>
      </c>
      <c r="H905" t="n">
        <v>5</v>
      </c>
    </row>
    <row r="906">
      <c r="A906" t="n">
        <v>905</v>
      </c>
      <c r="B906" t="inlineStr">
        <is>
          <t>Produto</t>
        </is>
      </c>
      <c r="C906" s="121" t="inlineStr">
        <is>
          <t>Kettlebell versão 2026 preto</t>
        </is>
      </c>
      <c r="D906" s="109" t="n">
        <v>63.7</v>
      </c>
      <c r="E906" s="123" t="n">
        <v>50</v>
      </c>
      <c r="F906" s="109">
        <f>ROUND(D906*(1+(E906/100)),2)</f>
        <v/>
      </c>
      <c r="G906" t="n">
        <v>15</v>
      </c>
      <c r="H906" t="n">
        <v>5</v>
      </c>
    </row>
    <row r="907">
      <c r="A907" t="n">
        <v>906</v>
      </c>
      <c r="B907" t="inlineStr">
        <is>
          <t>Produto</t>
        </is>
      </c>
      <c r="C907" s="121" t="inlineStr">
        <is>
          <t>Touca de natação profissional vermelho tam. 40</t>
        </is>
      </c>
      <c r="D907" s="109" t="n">
        <v>56.16</v>
      </c>
      <c r="E907" s="123" t="n">
        <v>50</v>
      </c>
      <c r="F907" s="109">
        <f>ROUND(D907*(1+(E907/100)),2)</f>
        <v/>
      </c>
      <c r="G907" t="n">
        <v>15</v>
      </c>
      <c r="H907" t="n">
        <v>5</v>
      </c>
    </row>
    <row r="908">
      <c r="A908" t="n">
        <v>907</v>
      </c>
      <c r="B908" t="inlineStr">
        <is>
          <t>Produto</t>
        </is>
      </c>
      <c r="C908" s="121" t="inlineStr">
        <is>
          <t>Bicicleta ergométrica profissional cinza</t>
        </is>
      </c>
      <c r="D908" s="109" t="n">
        <v>945.41</v>
      </c>
      <c r="E908" s="123" t="n">
        <v>50</v>
      </c>
      <c r="F908" s="109">
        <f>ROUND(D908*(1+(E908/100)),2)</f>
        <v/>
      </c>
      <c r="G908" t="n">
        <v>15</v>
      </c>
      <c r="H908" t="n">
        <v>5</v>
      </c>
    </row>
    <row r="909">
      <c r="A909" t="n">
        <v>908</v>
      </c>
      <c r="B909" t="inlineStr">
        <is>
          <t>Produto</t>
        </is>
      </c>
      <c r="C909" s="121" t="inlineStr">
        <is>
          <t>Raquete de badminton juvenil laranja</t>
        </is>
      </c>
      <c r="D909" s="109" t="n">
        <v>225.38</v>
      </c>
      <c r="E909" s="123" t="n">
        <v>50</v>
      </c>
      <c r="F909" s="109">
        <f>ROUND(D909*(1+(E909/100)),2)</f>
        <v/>
      </c>
      <c r="G909" t="n">
        <v>15</v>
      </c>
      <c r="H909" t="n">
        <v>5</v>
      </c>
    </row>
    <row r="910">
      <c r="A910" t="n">
        <v>909</v>
      </c>
      <c r="B910" t="inlineStr">
        <is>
          <t>Produto</t>
        </is>
      </c>
      <c r="C910" s="121" t="inlineStr">
        <is>
          <t>Elástico de resistência resistente cinza</t>
        </is>
      </c>
      <c r="D910" s="109" t="n">
        <v>44.89</v>
      </c>
      <c r="E910" s="123" t="n">
        <v>50</v>
      </c>
      <c r="F910" s="109">
        <f>ROUND(D910*(1+(E910/100)),2)</f>
        <v/>
      </c>
      <c r="G910" t="n">
        <v>15</v>
      </c>
      <c r="H910" t="n">
        <v>5</v>
      </c>
    </row>
    <row r="911">
      <c r="A911" t="n">
        <v>910</v>
      </c>
      <c r="B911" t="inlineStr">
        <is>
          <t>Produto</t>
        </is>
      </c>
      <c r="C911" s="121" t="inlineStr">
        <is>
          <t>Saco de pancadas leve rosa</t>
        </is>
      </c>
      <c r="D911" s="109" t="n">
        <v>409.66</v>
      </c>
      <c r="E911" s="123" t="n">
        <v>50</v>
      </c>
      <c r="F911" s="109">
        <f>ROUND(D911*(1+(E911/100)),2)</f>
        <v/>
      </c>
      <c r="G911" t="n">
        <v>15</v>
      </c>
      <c r="H911" t="n">
        <v>5</v>
      </c>
    </row>
    <row r="912">
      <c r="A912" t="n">
        <v>911</v>
      </c>
      <c r="B912" t="inlineStr">
        <is>
          <t>Produto</t>
        </is>
      </c>
      <c r="C912" s="121" t="inlineStr">
        <is>
          <t>Short esportivo iniciante verde tam. P</t>
        </is>
      </c>
      <c r="D912" s="109" t="n">
        <v>88.48999999999999</v>
      </c>
      <c r="E912" s="123" t="n">
        <v>50</v>
      </c>
      <c r="F912" s="109">
        <f>ROUND(D912*(1+(E912/100)),2)</f>
        <v/>
      </c>
      <c r="G912" t="n">
        <v>15</v>
      </c>
      <c r="H912" t="n">
        <v>5</v>
      </c>
    </row>
    <row r="913">
      <c r="A913" t="n">
        <v>912</v>
      </c>
      <c r="B913" t="inlineStr">
        <is>
          <t>Produto</t>
        </is>
      </c>
      <c r="C913" s="121" t="inlineStr">
        <is>
          <t>Relógio esportivo compacto vermelho</t>
        </is>
      </c>
      <c r="D913" s="109" t="n">
        <v>1030.54</v>
      </c>
      <c r="E913" s="123" t="n">
        <v>50</v>
      </c>
      <c r="F913" s="109">
        <f>ROUND(D913*(1+(E913/100)),2)</f>
        <v/>
      </c>
      <c r="G913" t="n">
        <v>15</v>
      </c>
      <c r="H913" t="n">
        <v>5</v>
      </c>
    </row>
    <row r="914">
      <c r="A914" t="n">
        <v>913</v>
      </c>
      <c r="B914" t="inlineStr">
        <is>
          <t>Produto</t>
        </is>
      </c>
      <c r="C914" s="121" t="inlineStr">
        <is>
          <t>Tapete de yoga adulto vermelho</t>
        </is>
      </c>
      <c r="D914" s="109" t="n">
        <v>37.49</v>
      </c>
      <c r="E914" s="123" t="n">
        <v>50</v>
      </c>
      <c r="F914" s="109">
        <f>ROUND(D914*(1+(E914/100)),2)</f>
        <v/>
      </c>
      <c r="G914" t="n">
        <v>15</v>
      </c>
      <c r="H914" t="n">
        <v>5</v>
      </c>
    </row>
    <row r="915">
      <c r="A915" t="n">
        <v>914</v>
      </c>
      <c r="B915" t="inlineStr">
        <is>
          <t>Produto</t>
        </is>
      </c>
      <c r="C915" s="121" t="inlineStr">
        <is>
          <t>Bolsa de academia modelo avançado laranja</t>
        </is>
      </c>
      <c r="D915" s="109" t="n">
        <v>90.76000000000001</v>
      </c>
      <c r="E915" s="123" t="n">
        <v>50</v>
      </c>
      <c r="F915" s="109">
        <f>ROUND(D915*(1+(E915/100)),2)</f>
        <v/>
      </c>
      <c r="G915" t="n">
        <v>15</v>
      </c>
      <c r="H915" t="n">
        <v>5</v>
      </c>
    </row>
    <row r="916">
      <c r="A916" t="n">
        <v>915</v>
      </c>
      <c r="B916" t="inlineStr">
        <is>
          <t>Produto</t>
        </is>
      </c>
      <c r="C916" s="121" t="inlineStr">
        <is>
          <t>Short esportivo adulto azul tam. M</t>
        </is>
      </c>
      <c r="D916" s="109" t="n">
        <v>67.40000000000001</v>
      </c>
      <c r="E916" s="123" t="n">
        <v>50</v>
      </c>
      <c r="F916" s="109">
        <f>ROUND(D916*(1+(E916/100)),2)</f>
        <v/>
      </c>
      <c r="G916" t="n">
        <v>15</v>
      </c>
      <c r="H916" t="n">
        <v>5</v>
      </c>
    </row>
    <row r="917">
      <c r="A917" t="n">
        <v>916</v>
      </c>
      <c r="B917" t="inlineStr">
        <is>
          <t>Produto</t>
        </is>
      </c>
      <c r="C917" s="121" t="inlineStr">
        <is>
          <t>Bastão de caminhada unissex branco</t>
        </is>
      </c>
      <c r="D917" s="109" t="n">
        <v>82.06</v>
      </c>
      <c r="E917" s="123" t="n">
        <v>50</v>
      </c>
      <c r="F917" s="109">
        <f>ROUND(D917*(1+(E917/100)),2)</f>
        <v/>
      </c>
      <c r="G917" t="n">
        <v>15</v>
      </c>
      <c r="H917" t="n">
        <v>5</v>
      </c>
    </row>
    <row r="918">
      <c r="A918" t="n">
        <v>917</v>
      </c>
      <c r="B918" t="inlineStr">
        <is>
          <t>Produto</t>
        </is>
      </c>
      <c r="C918" s="121" t="inlineStr">
        <is>
          <t>Bolsa de academia versão 2026 verde</t>
        </is>
      </c>
      <c r="D918" s="109" t="n">
        <v>98.15000000000001</v>
      </c>
      <c r="E918" s="123" t="n">
        <v>50</v>
      </c>
      <c r="F918" s="109">
        <f>ROUND(D918*(1+(E918/100)),2)</f>
        <v/>
      </c>
      <c r="G918" t="n">
        <v>15</v>
      </c>
      <c r="H918" t="n">
        <v>5</v>
      </c>
    </row>
    <row r="919">
      <c r="A919" t="n">
        <v>918</v>
      </c>
      <c r="B919" t="inlineStr">
        <is>
          <t>Produto</t>
        </is>
      </c>
      <c r="C919" s="121" t="inlineStr">
        <is>
          <t>Elástico de resistência adulto cinza</t>
        </is>
      </c>
      <c r="D919" s="109" t="n">
        <v>16.88</v>
      </c>
      <c r="E919" s="123" t="n">
        <v>50</v>
      </c>
      <c r="F919" s="109">
        <f>ROUND(D919*(1+(E919/100)),2)</f>
        <v/>
      </c>
      <c r="G919" t="n">
        <v>15</v>
      </c>
      <c r="H919" t="n">
        <v>5</v>
      </c>
    </row>
    <row r="920">
      <c r="A920" t="n">
        <v>919</v>
      </c>
      <c r="B920" t="inlineStr">
        <is>
          <t>Produto</t>
        </is>
      </c>
      <c r="C920" s="121" t="inlineStr">
        <is>
          <t>Relógio esportivo ventilado azul</t>
        </is>
      </c>
      <c r="D920" s="109" t="n">
        <v>784.51</v>
      </c>
      <c r="E920" s="123" t="n">
        <v>50</v>
      </c>
      <c r="F920" s="109">
        <f>ROUND(D920*(1+(E920/100)),2)</f>
        <v/>
      </c>
      <c r="G920" t="n">
        <v>15</v>
      </c>
      <c r="H920" t="n">
        <v>5</v>
      </c>
    </row>
    <row r="921">
      <c r="A921" t="n">
        <v>920</v>
      </c>
      <c r="B921" t="inlineStr">
        <is>
          <t>Produto</t>
        </is>
      </c>
      <c r="C921" s="121" t="inlineStr">
        <is>
          <t>Kettlebell resistente cinza</t>
        </is>
      </c>
      <c r="D921" s="109" t="n">
        <v>213.92</v>
      </c>
      <c r="E921" s="123" t="n">
        <v>50</v>
      </c>
      <c r="F921" s="109">
        <f>ROUND(D921*(1+(E921/100)),2)</f>
        <v/>
      </c>
      <c r="G921" t="n">
        <v>15</v>
      </c>
      <c r="H921" t="n">
        <v>5</v>
      </c>
    </row>
    <row r="922">
      <c r="A922" t="n">
        <v>921</v>
      </c>
      <c r="B922" t="inlineStr">
        <is>
          <t>Produto</t>
        </is>
      </c>
      <c r="C922" s="121" t="inlineStr">
        <is>
          <t>Protetor bucal com ajuste laranja</t>
        </is>
      </c>
      <c r="D922" s="109" t="n">
        <v>37.66</v>
      </c>
      <c r="E922" s="123" t="n">
        <v>50</v>
      </c>
      <c r="F922" s="109">
        <f>ROUND(D922*(1+(E922/100)),2)</f>
        <v/>
      </c>
      <c r="G922" t="n">
        <v>15</v>
      </c>
      <c r="H922" t="n">
        <v>5</v>
      </c>
    </row>
    <row r="923">
      <c r="A923" t="n">
        <v>922</v>
      </c>
      <c r="B923" t="inlineStr">
        <is>
          <t>Produto</t>
        </is>
      </c>
      <c r="C923" s="121" t="inlineStr">
        <is>
          <t>Banco de musculação modelo básico rosa</t>
        </is>
      </c>
      <c r="D923" s="109" t="n">
        <v>1079.65</v>
      </c>
      <c r="E923" s="123" t="n">
        <v>50</v>
      </c>
      <c r="F923" s="109">
        <f>ROUND(D923*(1+(E923/100)),2)</f>
        <v/>
      </c>
      <c r="G923" t="n">
        <v>15</v>
      </c>
      <c r="H923" t="n">
        <v>5</v>
      </c>
    </row>
    <row r="924">
      <c r="A924" t="n">
        <v>923</v>
      </c>
      <c r="B924" t="inlineStr">
        <is>
          <t>Produto</t>
        </is>
      </c>
      <c r="C924" s="121" t="inlineStr">
        <is>
          <t>Luva de boxe ergonômico azul tam. 34</t>
        </is>
      </c>
      <c r="D924" s="109" t="n">
        <v>59.37</v>
      </c>
      <c r="E924" s="123" t="n">
        <v>50</v>
      </c>
      <c r="F924" s="109">
        <f>ROUND(D924*(1+(E924/100)),2)</f>
        <v/>
      </c>
      <c r="G924" t="n">
        <v>15</v>
      </c>
      <c r="H924" t="n">
        <v>5</v>
      </c>
    </row>
    <row r="925">
      <c r="A925" t="n">
        <v>924</v>
      </c>
      <c r="B925" t="inlineStr">
        <is>
          <t>Produto</t>
        </is>
      </c>
      <c r="C925" s="121" t="inlineStr">
        <is>
          <t>Touca de natação compacto branco tam. 38</t>
        </is>
      </c>
      <c r="D925" s="109" t="n">
        <v>57.67</v>
      </c>
      <c r="E925" s="123" t="n">
        <v>50</v>
      </c>
      <c r="F925" s="109">
        <f>ROUND(D925*(1+(E925/100)),2)</f>
        <v/>
      </c>
      <c r="G925" t="n">
        <v>15</v>
      </c>
      <c r="H925" t="n">
        <v>5</v>
      </c>
    </row>
    <row r="926">
      <c r="A926" t="n">
        <v>925</v>
      </c>
      <c r="B926" t="inlineStr">
        <is>
          <t>Produto</t>
        </is>
      </c>
      <c r="C926" s="121" t="inlineStr">
        <is>
          <t>Monitor cardíaco adulto cinza</t>
        </is>
      </c>
      <c r="D926" s="109" t="n">
        <v>189.49</v>
      </c>
      <c r="E926" s="123" t="n">
        <v>50</v>
      </c>
      <c r="F926" s="109">
        <f>ROUND(D926*(1+(E926/100)),2)</f>
        <v/>
      </c>
      <c r="G926" t="n">
        <v>15</v>
      </c>
      <c r="H926" t="n">
        <v>5</v>
      </c>
    </row>
    <row r="927">
      <c r="A927" t="n">
        <v>926</v>
      </c>
      <c r="B927" t="inlineStr">
        <is>
          <t>Produto</t>
        </is>
      </c>
      <c r="C927" s="121" t="inlineStr">
        <is>
          <t>Raquete de badminton modelo básico azul</t>
        </is>
      </c>
      <c r="D927" s="109" t="n">
        <v>146.39</v>
      </c>
      <c r="E927" s="123" t="n">
        <v>50</v>
      </c>
      <c r="F927" s="109">
        <f>ROUND(D927*(1+(E927/100)),2)</f>
        <v/>
      </c>
      <c r="G927" t="n">
        <v>15</v>
      </c>
      <c r="H927" t="n">
        <v>5</v>
      </c>
    </row>
    <row r="928">
      <c r="A928" t="n">
        <v>927</v>
      </c>
      <c r="B928" t="inlineStr">
        <is>
          <t>Produto</t>
        </is>
      </c>
      <c r="C928" s="121" t="inlineStr">
        <is>
          <t>Regata esportiva modelo básico branco tam. GG</t>
        </is>
      </c>
      <c r="D928" s="109" t="n">
        <v>71.28</v>
      </c>
      <c r="E928" s="123" t="n">
        <v>50</v>
      </c>
      <c r="F928" s="109">
        <f>ROUND(D928*(1+(E928/100)),2)</f>
        <v/>
      </c>
      <c r="G928" t="n">
        <v>15</v>
      </c>
      <c r="H928" t="n">
        <v>5</v>
      </c>
    </row>
    <row r="929">
      <c r="A929" t="n">
        <v>928</v>
      </c>
      <c r="B929" t="inlineStr">
        <is>
          <t>Produto</t>
        </is>
      </c>
      <c r="C929" s="121" t="inlineStr">
        <is>
          <t>Bolsa de academia reforçado rosa</t>
        </is>
      </c>
      <c r="D929" s="109" t="n">
        <v>140.51</v>
      </c>
      <c r="E929" s="123" t="n">
        <v>50</v>
      </c>
      <c r="F929" s="109">
        <f>ROUND(D929*(1+(E929/100)),2)</f>
        <v/>
      </c>
      <c r="G929" t="n">
        <v>15</v>
      </c>
      <c r="H929" t="n">
        <v>5</v>
      </c>
    </row>
    <row r="930">
      <c r="A930" t="n">
        <v>929</v>
      </c>
      <c r="B930" t="inlineStr">
        <is>
          <t>Produto</t>
        </is>
      </c>
      <c r="C930" s="121" t="inlineStr">
        <is>
          <t>Meias esportivas premium verde tam. GG</t>
        </is>
      </c>
      <c r="D930" s="109" t="n">
        <v>13.24</v>
      </c>
      <c r="E930" s="123" t="n">
        <v>50</v>
      </c>
      <c r="F930" s="109">
        <f>ROUND(D930*(1+(E930/100)),2)</f>
        <v/>
      </c>
      <c r="G930" t="n">
        <v>15</v>
      </c>
      <c r="H930" t="n">
        <v>5</v>
      </c>
    </row>
    <row r="931">
      <c r="A931" t="n">
        <v>930</v>
      </c>
      <c r="B931" t="inlineStr">
        <is>
          <t>Produto</t>
        </is>
      </c>
      <c r="C931" s="121" t="inlineStr">
        <is>
          <t>Meias esportivas modelo avançado vermelho tam. M</t>
        </is>
      </c>
      <c r="D931" s="109" t="n">
        <v>10.25</v>
      </c>
      <c r="E931" s="123" t="n">
        <v>50</v>
      </c>
      <c r="F931" s="109">
        <f>ROUND(D931*(1+(E931/100)),2)</f>
        <v/>
      </c>
      <c r="G931" t="n">
        <v>15</v>
      </c>
      <c r="H931" t="n">
        <v>5</v>
      </c>
    </row>
    <row r="932">
      <c r="A932" t="n">
        <v>931</v>
      </c>
      <c r="B932" t="inlineStr">
        <is>
          <t>Produto</t>
        </is>
      </c>
      <c r="C932" s="121" t="inlineStr">
        <is>
          <t>Raquete de badminton versão 2026 preto</t>
        </is>
      </c>
      <c r="D932" s="109" t="n">
        <v>190.43</v>
      </c>
      <c r="E932" s="123" t="n">
        <v>50</v>
      </c>
      <c r="F932" s="109">
        <f>ROUND(D932*(1+(E932/100)),2)</f>
        <v/>
      </c>
      <c r="G932" t="n">
        <v>15</v>
      </c>
      <c r="H932" t="n">
        <v>5</v>
      </c>
    </row>
    <row r="933">
      <c r="A933" t="n">
        <v>932</v>
      </c>
      <c r="B933" t="inlineStr">
        <is>
          <t>Produto</t>
        </is>
      </c>
      <c r="C933" s="121" t="inlineStr">
        <is>
          <t>Caneleira de futebol ergonômico branco</t>
        </is>
      </c>
      <c r="D933" s="109" t="n">
        <v>60.35</v>
      </c>
      <c r="E933" s="123" t="n">
        <v>50</v>
      </c>
      <c r="F933" s="109">
        <f>ROUND(D933*(1+(E933/100)),2)</f>
        <v/>
      </c>
      <c r="G933" t="n">
        <v>15</v>
      </c>
      <c r="H933" t="n">
        <v>5</v>
      </c>
    </row>
    <row r="934">
      <c r="A934" t="n">
        <v>933</v>
      </c>
      <c r="B934" t="inlineStr">
        <is>
          <t>Produto</t>
        </is>
      </c>
      <c r="C934" s="121" t="inlineStr">
        <is>
          <t>Óculos esportivos premium rosa</t>
        </is>
      </c>
      <c r="D934" s="109" t="n">
        <v>96.36</v>
      </c>
      <c r="E934" s="123" t="n">
        <v>50</v>
      </c>
      <c r="F934" s="109">
        <f>ROUND(D934*(1+(E934/100)),2)</f>
        <v/>
      </c>
      <c r="G934" t="n">
        <v>15</v>
      </c>
      <c r="H934" t="n">
        <v>5</v>
      </c>
    </row>
    <row r="935">
      <c r="A935" t="n">
        <v>934</v>
      </c>
      <c r="B935" t="inlineStr">
        <is>
          <t>Produto</t>
        </is>
      </c>
      <c r="C935" s="121" t="inlineStr">
        <is>
          <t>Step de ginástica premium laranja</t>
        </is>
      </c>
      <c r="D935" s="109" t="n">
        <v>113.24</v>
      </c>
      <c r="E935" s="123" t="n">
        <v>50</v>
      </c>
      <c r="F935" s="109">
        <f>ROUND(D935*(1+(E935/100)),2)</f>
        <v/>
      </c>
      <c r="G935" t="n">
        <v>15</v>
      </c>
      <c r="H935" t="n">
        <v>5</v>
      </c>
    </row>
    <row r="936">
      <c r="A936" t="n">
        <v>935</v>
      </c>
      <c r="B936" t="inlineStr">
        <is>
          <t>Produto</t>
        </is>
      </c>
      <c r="C936" s="121" t="inlineStr">
        <is>
          <t>Protetor bucal juvenil laranja</t>
        </is>
      </c>
      <c r="D936" s="109" t="n">
        <v>33.34</v>
      </c>
      <c r="E936" s="123" t="n">
        <v>50</v>
      </c>
      <c r="F936" s="109">
        <f>ROUND(D936*(1+(E936/100)),2)</f>
        <v/>
      </c>
      <c r="G936" t="n">
        <v>15</v>
      </c>
      <c r="H936" t="n">
        <v>5</v>
      </c>
    </row>
    <row r="937">
      <c r="A937" t="n">
        <v>936</v>
      </c>
      <c r="B937" t="inlineStr">
        <is>
          <t>Produto</t>
        </is>
      </c>
      <c r="C937" s="121" t="inlineStr">
        <is>
          <t>Caneleira de futebol resistente branco</t>
        </is>
      </c>
      <c r="D937" s="109" t="n">
        <v>42.65</v>
      </c>
      <c r="E937" s="123" t="n">
        <v>50</v>
      </c>
      <c r="F937" s="109">
        <f>ROUND(D937*(1+(E937/100)),2)</f>
        <v/>
      </c>
      <c r="G937" t="n">
        <v>15</v>
      </c>
      <c r="H937" t="n">
        <v>5</v>
      </c>
    </row>
    <row r="938">
      <c r="A938" t="n">
        <v>937</v>
      </c>
      <c r="B938" t="inlineStr">
        <is>
          <t>Produto</t>
        </is>
      </c>
      <c r="C938" s="121" t="inlineStr">
        <is>
          <t>Nadadeira com ajuste azul</t>
        </is>
      </c>
      <c r="D938" s="109" t="n">
        <v>132.86</v>
      </c>
      <c r="E938" s="123" t="n">
        <v>50</v>
      </c>
      <c r="F938" s="109">
        <f>ROUND(D938*(1+(E938/100)),2)</f>
        <v/>
      </c>
      <c r="G938" t="n">
        <v>15</v>
      </c>
      <c r="H938" t="n">
        <v>5</v>
      </c>
    </row>
    <row r="939">
      <c r="A939" t="n">
        <v>938</v>
      </c>
      <c r="B939" t="inlineStr">
        <is>
          <t>Produto</t>
        </is>
      </c>
      <c r="C939" s="121" t="inlineStr">
        <is>
          <t>Capacete de ciclismo adulto preto</t>
        </is>
      </c>
      <c r="D939" s="109" t="n">
        <v>258.26</v>
      </c>
      <c r="E939" s="123" t="n">
        <v>50</v>
      </c>
      <c r="F939" s="109">
        <f>ROUND(D939*(1+(E939/100)),2)</f>
        <v/>
      </c>
      <c r="G939" t="n">
        <v>15</v>
      </c>
      <c r="H939" t="n">
        <v>5</v>
      </c>
    </row>
    <row r="940">
      <c r="A940" t="n">
        <v>939</v>
      </c>
      <c r="B940" t="inlineStr">
        <is>
          <t>Produto</t>
        </is>
      </c>
      <c r="C940" s="121" t="inlineStr">
        <is>
          <t>Bloco para yoga treino branco</t>
        </is>
      </c>
      <c r="D940" s="109" t="n">
        <v>23.04</v>
      </c>
      <c r="E940" s="123" t="n">
        <v>50</v>
      </c>
      <c r="F940" s="109">
        <f>ROUND(D940*(1+(E940/100)),2)</f>
        <v/>
      </c>
      <c r="G940" t="n">
        <v>15</v>
      </c>
      <c r="H940" t="n">
        <v>5</v>
      </c>
    </row>
    <row r="941">
      <c r="A941" t="n">
        <v>940</v>
      </c>
      <c r="B941" t="inlineStr">
        <is>
          <t>Produto</t>
        </is>
      </c>
      <c r="C941" s="121" t="inlineStr">
        <is>
          <t>Mochila esportiva ventilado cinza</t>
        </is>
      </c>
      <c r="D941" s="109" t="n">
        <v>84.31999999999999</v>
      </c>
      <c r="E941" s="123" t="n">
        <v>50</v>
      </c>
      <c r="F941" s="109">
        <f>ROUND(D941*(1+(E941/100)),2)</f>
        <v/>
      </c>
      <c r="G941" t="n">
        <v>15</v>
      </c>
      <c r="H941" t="n">
        <v>5</v>
      </c>
    </row>
    <row r="942">
      <c r="A942" t="n">
        <v>941</v>
      </c>
      <c r="B942" t="inlineStr">
        <is>
          <t>Produto</t>
        </is>
      </c>
      <c r="C942" s="121" t="inlineStr">
        <is>
          <t>Luva de ciclismo modelo básico branco tam. G</t>
        </is>
      </c>
      <c r="D942" s="109" t="n">
        <v>68.81</v>
      </c>
      <c r="E942" s="123" t="n">
        <v>50</v>
      </c>
      <c r="F942" s="109">
        <f>ROUND(D942*(1+(E942/100)),2)</f>
        <v/>
      </c>
      <c r="G942" t="n">
        <v>15</v>
      </c>
      <c r="H942" t="n">
        <v>5</v>
      </c>
    </row>
    <row r="943">
      <c r="A943" t="n">
        <v>942</v>
      </c>
      <c r="B943" t="inlineStr">
        <is>
          <t>Produto</t>
        </is>
      </c>
      <c r="C943" s="121" t="inlineStr">
        <is>
          <t>Calça legging modelo avançado branco tam. 38</t>
        </is>
      </c>
      <c r="D943" s="109" t="n">
        <v>71.89</v>
      </c>
      <c r="E943" s="123" t="n">
        <v>50</v>
      </c>
      <c r="F943" s="109">
        <f>ROUND(D943*(1+(E943/100)),2)</f>
        <v/>
      </c>
      <c r="G943" t="n">
        <v>15</v>
      </c>
      <c r="H943" t="n">
        <v>5</v>
      </c>
    </row>
    <row r="944">
      <c r="A944" t="n">
        <v>943</v>
      </c>
      <c r="B944" t="inlineStr">
        <is>
          <t>Produto</t>
        </is>
      </c>
      <c r="C944" s="121" t="inlineStr">
        <is>
          <t>Regata esportiva recreativo verde tam. M</t>
        </is>
      </c>
      <c r="D944" s="109" t="n">
        <v>60.35</v>
      </c>
      <c r="E944" s="123" t="n">
        <v>50</v>
      </c>
      <c r="F944" s="109">
        <f>ROUND(D944*(1+(E944/100)),2)</f>
        <v/>
      </c>
      <c r="G944" t="n">
        <v>15</v>
      </c>
      <c r="H944" t="n">
        <v>5</v>
      </c>
    </row>
    <row r="945">
      <c r="A945" t="n">
        <v>944</v>
      </c>
      <c r="B945" t="inlineStr">
        <is>
          <t>Produto</t>
        </is>
      </c>
      <c r="C945" s="121" t="inlineStr">
        <is>
          <t>Meias esportivas alta performance laranja tam. GG</t>
        </is>
      </c>
      <c r="D945" s="109" t="n">
        <v>11.19</v>
      </c>
      <c r="E945" s="123" t="n">
        <v>50</v>
      </c>
      <c r="F945" s="109">
        <f>ROUND(D945*(1+(E945/100)),2)</f>
        <v/>
      </c>
      <c r="G945" t="n">
        <v>15</v>
      </c>
      <c r="H945" t="n">
        <v>5</v>
      </c>
    </row>
    <row r="946">
      <c r="A946" t="n">
        <v>945</v>
      </c>
      <c r="B946" t="inlineStr">
        <is>
          <t>Produto</t>
        </is>
      </c>
      <c r="C946" s="121" t="inlineStr">
        <is>
          <t>Bola de pilates ergonômico preto</t>
        </is>
      </c>
      <c r="D946" s="109" t="n">
        <v>40.9</v>
      </c>
      <c r="E946" s="123" t="n">
        <v>50</v>
      </c>
      <c r="F946" s="109">
        <f>ROUND(D946*(1+(E946/100)),2)</f>
        <v/>
      </c>
      <c r="G946" t="n">
        <v>15</v>
      </c>
      <c r="H946" t="n">
        <v>5</v>
      </c>
    </row>
    <row r="947">
      <c r="A947" t="n">
        <v>946</v>
      </c>
      <c r="B947" t="inlineStr">
        <is>
          <t>Produto</t>
        </is>
      </c>
      <c r="C947" s="121" t="inlineStr">
        <is>
          <t>Óculos esportivos resistente branco</t>
        </is>
      </c>
      <c r="D947" s="109" t="n">
        <v>334.93</v>
      </c>
      <c r="E947" s="123" t="n">
        <v>50</v>
      </c>
      <c r="F947" s="109">
        <f>ROUND(D947*(1+(E947/100)),2)</f>
        <v/>
      </c>
      <c r="G947" t="n">
        <v>15</v>
      </c>
      <c r="H947" t="n">
        <v>5</v>
      </c>
    </row>
    <row r="948">
      <c r="A948" t="n">
        <v>947</v>
      </c>
      <c r="B948" t="inlineStr">
        <is>
          <t>Produto</t>
        </is>
      </c>
      <c r="C948" s="121" t="inlineStr">
        <is>
          <t>Coqueteleira ventilado preto</t>
        </is>
      </c>
      <c r="D948" s="109" t="n">
        <v>28.67</v>
      </c>
      <c r="E948" s="123" t="n">
        <v>50</v>
      </c>
      <c r="F948" s="109">
        <f>ROUND(D948*(1+(E948/100)),2)</f>
        <v/>
      </c>
      <c r="G948" t="n">
        <v>15</v>
      </c>
      <c r="H948" t="n">
        <v>5</v>
      </c>
    </row>
    <row r="949">
      <c r="A949" t="n">
        <v>948</v>
      </c>
      <c r="B949" t="inlineStr">
        <is>
          <t>Produto</t>
        </is>
      </c>
      <c r="C949" s="121" t="inlineStr">
        <is>
          <t>Skate juvenil verde</t>
        </is>
      </c>
      <c r="D949" s="109" t="n">
        <v>504.99</v>
      </c>
      <c r="E949" s="123" t="n">
        <v>50</v>
      </c>
      <c r="F949" s="109">
        <f>ROUND(D949*(1+(E949/100)),2)</f>
        <v/>
      </c>
      <c r="G949" t="n">
        <v>15</v>
      </c>
      <c r="H949" t="n">
        <v>5</v>
      </c>
    </row>
    <row r="950">
      <c r="A950" t="n">
        <v>949</v>
      </c>
      <c r="B950" t="inlineStr">
        <is>
          <t>Produto</t>
        </is>
      </c>
      <c r="C950" s="121" t="inlineStr">
        <is>
          <t>Luva de ciclismo com ajuste branco tam. 34</t>
        </is>
      </c>
      <c r="D950" s="109" t="n">
        <v>54.76</v>
      </c>
      <c r="E950" s="123" t="n">
        <v>50</v>
      </c>
      <c r="F950" s="109">
        <f>ROUND(D950*(1+(E950/100)),2)</f>
        <v/>
      </c>
      <c r="G950" t="n">
        <v>15</v>
      </c>
      <c r="H950" t="n">
        <v>5</v>
      </c>
    </row>
    <row r="951">
      <c r="A951" t="n">
        <v>950</v>
      </c>
      <c r="B951" t="inlineStr">
        <is>
          <t>Produto</t>
        </is>
      </c>
      <c r="C951" s="121" t="inlineStr">
        <is>
          <t>Luva de goleiro premium branco tam. P</t>
        </is>
      </c>
      <c r="D951" s="109" t="n">
        <v>112.88</v>
      </c>
      <c r="E951" s="123" t="n">
        <v>50</v>
      </c>
      <c r="F951" s="109">
        <f>ROUND(D951*(1+(E951/100)),2)</f>
        <v/>
      </c>
      <c r="G951" t="n">
        <v>15</v>
      </c>
      <c r="H951" t="n">
        <v>5</v>
      </c>
    </row>
    <row r="952">
      <c r="A952" t="n">
        <v>951</v>
      </c>
      <c r="B952" t="inlineStr">
        <is>
          <t>Produto</t>
        </is>
      </c>
      <c r="C952" s="121" t="inlineStr">
        <is>
          <t>Colchonete de exercício reforçado vermelho</t>
        </is>
      </c>
      <c r="D952" s="109" t="n">
        <v>117.96</v>
      </c>
      <c r="E952" s="123" t="n">
        <v>50</v>
      </c>
      <c r="F952" s="109">
        <f>ROUND(D952*(1+(E952/100)),2)</f>
        <v/>
      </c>
      <c r="G952" t="n">
        <v>15</v>
      </c>
      <c r="H952" t="n">
        <v>5</v>
      </c>
    </row>
    <row r="953">
      <c r="A953" t="n">
        <v>952</v>
      </c>
      <c r="B953" t="inlineStr">
        <is>
          <t>Produto</t>
        </is>
      </c>
      <c r="C953" s="121" t="inlineStr">
        <is>
          <t>Garrafa squeeze modelo básico rosa</t>
        </is>
      </c>
      <c r="D953" s="109" t="n">
        <v>48.45</v>
      </c>
      <c r="E953" s="123" t="n">
        <v>50</v>
      </c>
      <c r="F953" s="109">
        <f>ROUND(D953*(1+(E953/100)),2)</f>
        <v/>
      </c>
      <c r="G953" t="n">
        <v>15</v>
      </c>
      <c r="H953" t="n">
        <v>5</v>
      </c>
    </row>
    <row r="954">
      <c r="A954" t="n">
        <v>953</v>
      </c>
      <c r="B954" t="inlineStr">
        <is>
          <t>Produto</t>
        </is>
      </c>
      <c r="C954" s="121" t="inlineStr">
        <is>
          <t>Bicicleta urbana para uso diário cinza</t>
        </is>
      </c>
      <c r="D954" s="109" t="n">
        <v>2205.1</v>
      </c>
      <c r="E954" s="123" t="n">
        <v>50</v>
      </c>
      <c r="F954" s="109">
        <f>ROUND(D954*(1+(E954/100)),2)</f>
        <v/>
      </c>
      <c r="G954" t="n">
        <v>15</v>
      </c>
      <c r="H954" t="n">
        <v>5</v>
      </c>
    </row>
    <row r="955">
      <c r="A955" t="n">
        <v>954</v>
      </c>
      <c r="B955" t="inlineStr">
        <is>
          <t>Produto</t>
        </is>
      </c>
      <c r="C955" s="121" t="inlineStr">
        <is>
          <t>Chuteira society modelo básico laranja tam. 44</t>
        </is>
      </c>
      <c r="D955" s="109" t="n">
        <v>265.73</v>
      </c>
      <c r="E955" s="123" t="n">
        <v>50</v>
      </c>
      <c r="F955" s="109">
        <f>ROUND(D955*(1+(E955/100)),2)</f>
        <v/>
      </c>
      <c r="G955" t="n">
        <v>15</v>
      </c>
      <c r="H955" t="n">
        <v>5</v>
      </c>
    </row>
    <row r="956">
      <c r="A956" t="n">
        <v>955</v>
      </c>
      <c r="B956" t="inlineStr">
        <is>
          <t>Produto</t>
        </is>
      </c>
      <c r="C956" s="121" t="inlineStr">
        <is>
          <t>Raquete de beach tennis leve branco</t>
        </is>
      </c>
      <c r="D956" s="109" t="n">
        <v>238.15</v>
      </c>
      <c r="E956" s="123" t="n">
        <v>50</v>
      </c>
      <c r="F956" s="109">
        <f>ROUND(D956*(1+(E956/100)),2)</f>
        <v/>
      </c>
      <c r="G956" t="n">
        <v>15</v>
      </c>
      <c r="H956" t="n">
        <v>5</v>
      </c>
    </row>
    <row r="957">
      <c r="A957" t="n">
        <v>956</v>
      </c>
      <c r="B957" t="inlineStr">
        <is>
          <t>Produto</t>
        </is>
      </c>
      <c r="C957" s="121" t="inlineStr">
        <is>
          <t>Halter premium laranja</t>
        </is>
      </c>
      <c r="D957" s="109" t="n">
        <v>49.37</v>
      </c>
      <c r="E957" s="123" t="n">
        <v>50</v>
      </c>
      <c r="F957" s="109">
        <f>ROUND(D957*(1+(E957/100)),2)</f>
        <v/>
      </c>
      <c r="G957" t="n">
        <v>15</v>
      </c>
      <c r="H957" t="n">
        <v>5</v>
      </c>
    </row>
    <row r="958">
      <c r="A958" t="n">
        <v>957</v>
      </c>
      <c r="B958" t="inlineStr">
        <is>
          <t>Produto</t>
        </is>
      </c>
      <c r="C958" s="121" t="inlineStr">
        <is>
          <t>Bicicleta urbana unissex rosa</t>
        </is>
      </c>
      <c r="D958" s="109" t="n">
        <v>2019.98</v>
      </c>
      <c r="E958" s="123" t="n">
        <v>50</v>
      </c>
      <c r="F958" s="109">
        <f>ROUND(D958*(1+(E958/100)),2)</f>
        <v/>
      </c>
      <c r="G958" t="n">
        <v>15</v>
      </c>
      <c r="H958" t="n">
        <v>5</v>
      </c>
    </row>
    <row r="959">
      <c r="A959" t="n">
        <v>958</v>
      </c>
      <c r="B959" t="inlineStr">
        <is>
          <t>Produto</t>
        </is>
      </c>
      <c r="C959" s="121" t="inlineStr">
        <is>
          <t>Regata esportiva recreativo verde tam. 34</t>
        </is>
      </c>
      <c r="D959" s="109" t="n">
        <v>74.19</v>
      </c>
      <c r="E959" s="123" t="n">
        <v>50</v>
      </c>
      <c r="F959" s="109">
        <f>ROUND(D959*(1+(E959/100)),2)</f>
        <v/>
      </c>
      <c r="G959" t="n">
        <v>15</v>
      </c>
      <c r="H959" t="n">
        <v>5</v>
      </c>
    </row>
    <row r="960">
      <c r="A960" t="n">
        <v>959</v>
      </c>
      <c r="B960" t="inlineStr">
        <is>
          <t>Produto</t>
        </is>
      </c>
      <c r="C960" s="121" t="inlineStr">
        <is>
          <t>Skate reforçado vermelho</t>
        </is>
      </c>
      <c r="D960" s="109" t="n">
        <v>292.43</v>
      </c>
      <c r="E960" s="123" t="n">
        <v>50</v>
      </c>
      <c r="F960" s="109">
        <f>ROUND(D960*(1+(E960/100)),2)</f>
        <v/>
      </c>
      <c r="G960" t="n">
        <v>15</v>
      </c>
      <c r="H960" t="n">
        <v>5</v>
      </c>
    </row>
    <row r="961">
      <c r="A961" t="n">
        <v>960</v>
      </c>
      <c r="B961" t="inlineStr">
        <is>
          <t>Produto</t>
        </is>
      </c>
      <c r="C961" s="121" t="inlineStr">
        <is>
          <t>Tênis de corrida ergonômico preto tam. P</t>
        </is>
      </c>
      <c r="D961" s="109" t="n">
        <v>483.11</v>
      </c>
      <c r="E961" s="123" t="n">
        <v>50</v>
      </c>
      <c r="F961" s="109">
        <f>ROUND(D961*(1+(E961/100)),2)</f>
        <v/>
      </c>
      <c r="G961" t="n">
        <v>15</v>
      </c>
      <c r="H961" t="n">
        <v>5</v>
      </c>
    </row>
    <row r="962">
      <c r="A962" t="n">
        <v>961</v>
      </c>
      <c r="B962" t="inlineStr">
        <is>
          <t>Produto</t>
        </is>
      </c>
      <c r="C962" s="121" t="inlineStr">
        <is>
          <t>Monitor cardíaco treino cinza</t>
        </is>
      </c>
      <c r="D962" s="109" t="n">
        <v>391.42</v>
      </c>
      <c r="E962" s="123" t="n">
        <v>50</v>
      </c>
      <c r="F962" s="109">
        <f>ROUND(D962*(1+(E962/100)),2)</f>
        <v/>
      </c>
      <c r="G962" t="n">
        <v>15</v>
      </c>
      <c r="H962" t="n">
        <v>5</v>
      </c>
    </row>
    <row r="963">
      <c r="A963" t="n">
        <v>962</v>
      </c>
      <c r="B963" t="inlineStr">
        <is>
          <t>Produto</t>
        </is>
      </c>
      <c r="C963" s="121" t="inlineStr">
        <is>
          <t>Raquete de badminton iniciante verde</t>
        </is>
      </c>
      <c r="D963" s="109" t="n">
        <v>81.89</v>
      </c>
      <c r="E963" s="123" t="n">
        <v>50</v>
      </c>
      <c r="F963" s="109">
        <f>ROUND(D963*(1+(E963/100)),2)</f>
        <v/>
      </c>
      <c r="G963" t="n">
        <v>15</v>
      </c>
      <c r="H963" t="n">
        <v>5</v>
      </c>
    </row>
    <row r="964">
      <c r="A964" t="n">
        <v>963</v>
      </c>
      <c r="B964" t="inlineStr">
        <is>
          <t>Produto</t>
        </is>
      </c>
      <c r="C964" s="121" t="inlineStr">
        <is>
          <t>Garrafa squeeze recreativo vermelho</t>
        </is>
      </c>
      <c r="D964" s="109" t="n">
        <v>35.8</v>
      </c>
      <c r="E964" s="123" t="n">
        <v>50</v>
      </c>
      <c r="F964" s="109">
        <f>ROUND(D964*(1+(E964/100)),2)</f>
        <v/>
      </c>
      <c r="G964" t="n">
        <v>15</v>
      </c>
      <c r="H964" t="n">
        <v>5</v>
      </c>
    </row>
    <row r="965">
      <c r="A965" t="n">
        <v>964</v>
      </c>
      <c r="B965" t="inlineStr">
        <is>
          <t>Produto</t>
        </is>
      </c>
      <c r="C965" s="121" t="inlineStr">
        <is>
          <t>Camiseta esportiva juvenil branco tam. 36</t>
        </is>
      </c>
      <c r="D965" s="109" t="n">
        <v>106.09</v>
      </c>
      <c r="E965" s="123" t="n">
        <v>50</v>
      </c>
      <c r="F965" s="109">
        <f>ROUND(D965*(1+(E965/100)),2)</f>
        <v/>
      </c>
      <c r="G965" t="n">
        <v>15</v>
      </c>
      <c r="H965" t="n">
        <v>5</v>
      </c>
    </row>
    <row r="966">
      <c r="A966" t="n">
        <v>965</v>
      </c>
      <c r="B966" t="inlineStr">
        <is>
          <t>Produto</t>
        </is>
      </c>
      <c r="C966" s="121" t="inlineStr">
        <is>
          <t>Capacete de ciclismo premium rosa</t>
        </is>
      </c>
      <c r="D966" s="109" t="n">
        <v>90.09999999999999</v>
      </c>
      <c r="E966" s="123" t="n">
        <v>50</v>
      </c>
      <c r="F966" s="109">
        <f>ROUND(D966*(1+(E966/100)),2)</f>
        <v/>
      </c>
      <c r="G966" t="n">
        <v>15</v>
      </c>
      <c r="H966" t="n">
        <v>5</v>
      </c>
    </row>
    <row r="967">
      <c r="A967" t="n">
        <v>966</v>
      </c>
      <c r="B967" t="inlineStr">
        <is>
          <t>Produto</t>
        </is>
      </c>
      <c r="C967" s="121" t="inlineStr">
        <is>
          <t>Skate leve rosa</t>
        </is>
      </c>
      <c r="D967" s="109" t="n">
        <v>411.77</v>
      </c>
      <c r="E967" s="123" t="n">
        <v>50</v>
      </c>
      <c r="F967" s="109">
        <f>ROUND(D967*(1+(E967/100)),2)</f>
        <v/>
      </c>
      <c r="G967" t="n">
        <v>15</v>
      </c>
      <c r="H967" t="n">
        <v>5</v>
      </c>
    </row>
    <row r="968">
      <c r="A968" t="n">
        <v>967</v>
      </c>
      <c r="B968" t="inlineStr">
        <is>
          <t>Produto</t>
        </is>
      </c>
      <c r="C968" s="121" t="inlineStr">
        <is>
          <t>Touca de natação alta performance cinza tam. 36</t>
        </is>
      </c>
      <c r="D968" s="109" t="n">
        <v>33.5</v>
      </c>
      <c r="E968" s="123" t="n">
        <v>50</v>
      </c>
      <c r="F968" s="109">
        <f>ROUND(D968*(1+(E968/100)),2)</f>
        <v/>
      </c>
      <c r="G968" t="n">
        <v>15</v>
      </c>
      <c r="H968" t="n">
        <v>5</v>
      </c>
    </row>
    <row r="969">
      <c r="A969" t="n">
        <v>968</v>
      </c>
      <c r="B969" t="inlineStr">
        <is>
          <t>Produto</t>
        </is>
      </c>
      <c r="C969" s="121" t="inlineStr">
        <is>
          <t>Jaqueta esportiva com ajuste cinza tam. 36</t>
        </is>
      </c>
      <c r="D969" s="109" t="n">
        <v>155.34</v>
      </c>
      <c r="E969" s="123" t="n">
        <v>50</v>
      </c>
      <c r="F969" s="109">
        <f>ROUND(D969*(1+(E969/100)),2)</f>
        <v/>
      </c>
      <c r="G969" t="n">
        <v>15</v>
      </c>
      <c r="H969" t="n">
        <v>5</v>
      </c>
    </row>
    <row r="970">
      <c r="A970" t="n">
        <v>969</v>
      </c>
      <c r="B970" t="inlineStr">
        <is>
          <t>Produto</t>
        </is>
      </c>
      <c r="C970" s="121" t="inlineStr">
        <is>
          <t>Chuteira society adulto preto tam. 42</t>
        </is>
      </c>
      <c r="D970" s="109" t="n">
        <v>353.48</v>
      </c>
      <c r="E970" s="123" t="n">
        <v>50</v>
      </c>
      <c r="F970" s="109">
        <f>ROUND(D970*(1+(E970/100)),2)</f>
        <v/>
      </c>
      <c r="G970" t="n">
        <v>15</v>
      </c>
      <c r="H970" t="n">
        <v>5</v>
      </c>
    </row>
    <row r="971">
      <c r="A971" t="n">
        <v>970</v>
      </c>
      <c r="B971" t="inlineStr">
        <is>
          <t>Produto</t>
        </is>
      </c>
      <c r="C971" s="121" t="inlineStr">
        <is>
          <t>Chuteira de campo iniciante rosa tam. 42</t>
        </is>
      </c>
      <c r="D971" s="109" t="n">
        <v>75.83</v>
      </c>
      <c r="E971" s="123" t="n">
        <v>50</v>
      </c>
      <c r="F971" s="109">
        <f>ROUND(D971*(1+(E971/100)),2)</f>
        <v/>
      </c>
      <c r="G971" t="n">
        <v>15</v>
      </c>
      <c r="H971" t="n">
        <v>5</v>
      </c>
    </row>
    <row r="972">
      <c r="A972" t="n">
        <v>971</v>
      </c>
      <c r="B972" t="inlineStr">
        <is>
          <t>Produto</t>
        </is>
      </c>
      <c r="C972" s="121" t="inlineStr">
        <is>
          <t>Óculos esportivos iniciante preto</t>
        </is>
      </c>
      <c r="D972" s="109" t="n">
        <v>327.22</v>
      </c>
      <c r="E972" s="123" t="n">
        <v>50</v>
      </c>
      <c r="F972" s="109">
        <f>ROUND(D972*(1+(E972/100)),2)</f>
        <v/>
      </c>
      <c r="G972" t="n">
        <v>15</v>
      </c>
      <c r="H972" t="n">
        <v>5</v>
      </c>
    </row>
    <row r="973">
      <c r="A973" t="n">
        <v>972</v>
      </c>
      <c r="B973" t="inlineStr">
        <is>
          <t>Produto</t>
        </is>
      </c>
      <c r="C973" s="121" t="inlineStr">
        <is>
          <t>Garrafa squeeze compacto preto</t>
        </is>
      </c>
      <c r="D973" s="109" t="n">
        <v>36.9</v>
      </c>
      <c r="E973" s="123" t="n">
        <v>50</v>
      </c>
      <c r="F973" s="109">
        <f>ROUND(D973*(1+(E973/100)),2)</f>
        <v/>
      </c>
      <c r="G973" t="n">
        <v>15</v>
      </c>
      <c r="H973" t="n">
        <v>5</v>
      </c>
    </row>
    <row r="974">
      <c r="A974" t="n">
        <v>973</v>
      </c>
      <c r="B974" t="inlineStr">
        <is>
          <t>Produto</t>
        </is>
      </c>
      <c r="C974" s="121" t="inlineStr">
        <is>
          <t>Short esportivo ventilado laranja tam. 38</t>
        </is>
      </c>
      <c r="D974" s="109" t="n">
        <v>40.43</v>
      </c>
      <c r="E974" s="123" t="n">
        <v>50</v>
      </c>
      <c r="F974" s="109">
        <f>ROUND(D974*(1+(E974/100)),2)</f>
        <v/>
      </c>
      <c r="G974" t="n">
        <v>15</v>
      </c>
      <c r="H974" t="n">
        <v>5</v>
      </c>
    </row>
    <row r="975">
      <c r="A975" t="n">
        <v>974</v>
      </c>
      <c r="B975" t="inlineStr">
        <is>
          <t>Produto</t>
        </is>
      </c>
      <c r="C975" s="121" t="inlineStr">
        <is>
          <t>Patins para uso diário verde</t>
        </is>
      </c>
      <c r="D975" s="109" t="n">
        <v>293.51</v>
      </c>
      <c r="E975" s="123" t="n">
        <v>50</v>
      </c>
      <c r="F975" s="109">
        <f>ROUND(D975*(1+(E975/100)),2)</f>
        <v/>
      </c>
      <c r="G975" t="n">
        <v>15</v>
      </c>
      <c r="H975" t="n">
        <v>5</v>
      </c>
    </row>
    <row r="976">
      <c r="A976" t="n">
        <v>975</v>
      </c>
      <c r="B976" t="inlineStr">
        <is>
          <t>Produto</t>
        </is>
      </c>
      <c r="C976" s="121" t="inlineStr">
        <is>
          <t>Bicicleta ergométrica resistente cinza</t>
        </is>
      </c>
      <c r="D976" s="109" t="n">
        <v>1111.49</v>
      </c>
      <c r="E976" s="123" t="n">
        <v>50</v>
      </c>
      <c r="F976" s="109">
        <f>ROUND(D976*(1+(E976/100)),2)</f>
        <v/>
      </c>
      <c r="G976" t="n">
        <v>15</v>
      </c>
      <c r="H976" t="n">
        <v>5</v>
      </c>
    </row>
    <row r="977">
      <c r="A977" t="n">
        <v>976</v>
      </c>
      <c r="B977" t="inlineStr">
        <is>
          <t>Produto</t>
        </is>
      </c>
      <c r="C977" s="121" t="inlineStr">
        <is>
          <t>Bola de pilates premium laranja</t>
        </is>
      </c>
      <c r="D977" s="109" t="n">
        <v>41.99</v>
      </c>
      <c r="E977" s="123" t="n">
        <v>50</v>
      </c>
      <c r="F977" s="109">
        <f>ROUND(D977*(1+(E977/100)),2)</f>
        <v/>
      </c>
      <c r="G977" t="n">
        <v>15</v>
      </c>
      <c r="H977" t="n">
        <v>5</v>
      </c>
    </row>
    <row r="978">
      <c r="A978" t="n">
        <v>977</v>
      </c>
      <c r="B978" t="inlineStr">
        <is>
          <t>Produto</t>
        </is>
      </c>
      <c r="C978" s="121" t="inlineStr">
        <is>
          <t>Raquete de beach tennis recreativo cinza</t>
        </is>
      </c>
      <c r="D978" s="109" t="n">
        <v>155.41</v>
      </c>
      <c r="E978" s="123" t="n">
        <v>50</v>
      </c>
      <c r="F978" s="109">
        <f>ROUND(D978*(1+(E978/100)),2)</f>
        <v/>
      </c>
      <c r="G978" t="n">
        <v>15</v>
      </c>
      <c r="H978" t="n">
        <v>5</v>
      </c>
    </row>
    <row r="979">
      <c r="A979" t="n">
        <v>978</v>
      </c>
      <c r="B979" t="inlineStr">
        <is>
          <t>Produto</t>
        </is>
      </c>
      <c r="C979" s="121" t="inlineStr">
        <is>
          <t>Capacete de ciclismo com ajuste cinza</t>
        </is>
      </c>
      <c r="D979" s="109" t="n">
        <v>266.49</v>
      </c>
      <c r="E979" s="123" t="n">
        <v>50</v>
      </c>
      <c r="F979" s="109">
        <f>ROUND(D979*(1+(E979/100)),2)</f>
        <v/>
      </c>
      <c r="G979" t="n">
        <v>15</v>
      </c>
      <c r="H979" t="n">
        <v>5</v>
      </c>
    </row>
    <row r="980">
      <c r="A980" t="n">
        <v>979</v>
      </c>
      <c r="B980" t="inlineStr">
        <is>
          <t>Produto</t>
        </is>
      </c>
      <c r="C980" s="121" t="inlineStr">
        <is>
          <t>Óculos esportivos modelo básico preto</t>
        </is>
      </c>
      <c r="D980" s="109" t="n">
        <v>84.19</v>
      </c>
      <c r="E980" s="123" t="n">
        <v>50</v>
      </c>
      <c r="F980" s="109">
        <f>ROUND(D980*(1+(E980/100)),2)</f>
        <v/>
      </c>
      <c r="G980" t="n">
        <v>15</v>
      </c>
      <c r="H980" t="n">
        <v>5</v>
      </c>
    </row>
    <row r="981">
      <c r="A981" t="n">
        <v>980</v>
      </c>
      <c r="B981" t="inlineStr">
        <is>
          <t>Produto</t>
        </is>
      </c>
      <c r="C981" s="121" t="inlineStr">
        <is>
          <t>Caneleira de futebol leve azul</t>
        </is>
      </c>
      <c r="D981" s="109" t="n">
        <v>33.94</v>
      </c>
      <c r="E981" s="123" t="n">
        <v>50</v>
      </c>
      <c r="F981" s="109">
        <f>ROUND(D981*(1+(E981/100)),2)</f>
        <v/>
      </c>
      <c r="G981" t="n">
        <v>15</v>
      </c>
      <c r="H981" t="n">
        <v>5</v>
      </c>
    </row>
    <row r="982">
      <c r="A982" t="n">
        <v>981</v>
      </c>
      <c r="B982" t="inlineStr">
        <is>
          <t>Produto</t>
        </is>
      </c>
      <c r="C982" s="121" t="inlineStr">
        <is>
          <t>Chuteira de campo adulto verde tam. M</t>
        </is>
      </c>
      <c r="D982" s="109" t="n">
        <v>142.46</v>
      </c>
      <c r="E982" s="123" t="n">
        <v>50</v>
      </c>
      <c r="F982" s="109">
        <f>ROUND(D982*(1+(E982/100)),2)</f>
        <v/>
      </c>
      <c r="G982" t="n">
        <v>15</v>
      </c>
      <c r="H982" t="n">
        <v>5</v>
      </c>
    </row>
    <row r="983">
      <c r="A983" t="n">
        <v>982</v>
      </c>
      <c r="B983" t="inlineStr">
        <is>
          <t>Produto</t>
        </is>
      </c>
      <c r="C983" s="121" t="inlineStr">
        <is>
          <t>Óculos esportivos modelo básico laranja</t>
        </is>
      </c>
      <c r="D983" s="109" t="n">
        <v>147.32</v>
      </c>
      <c r="E983" s="123" t="n">
        <v>50</v>
      </c>
      <c r="F983" s="109">
        <f>ROUND(D983*(1+(E983/100)),2)</f>
        <v/>
      </c>
      <c r="G983" t="n">
        <v>15</v>
      </c>
      <c r="H983" t="n">
        <v>5</v>
      </c>
    </row>
    <row r="984">
      <c r="A984" t="n">
        <v>983</v>
      </c>
      <c r="B984" t="inlineStr">
        <is>
          <t>Produto</t>
        </is>
      </c>
      <c r="C984" s="121" t="inlineStr">
        <is>
          <t>Óculos esportivos com ajuste preto</t>
        </is>
      </c>
      <c r="D984" s="109" t="n">
        <v>154.72</v>
      </c>
      <c r="E984" s="123" t="n">
        <v>50</v>
      </c>
      <c r="F984" s="109">
        <f>ROUND(D984*(1+(E984/100)),2)</f>
        <v/>
      </c>
      <c r="G984" t="n">
        <v>15</v>
      </c>
      <c r="H984" t="n">
        <v>5</v>
      </c>
    </row>
    <row r="985">
      <c r="A985" t="n">
        <v>984</v>
      </c>
      <c r="B985" t="inlineStr">
        <is>
          <t>Produto</t>
        </is>
      </c>
      <c r="C985" s="121" t="inlineStr">
        <is>
          <t>Step de ginástica juvenil cinza</t>
        </is>
      </c>
      <c r="D985" s="109" t="n">
        <v>246.1</v>
      </c>
      <c r="E985" s="123" t="n">
        <v>50</v>
      </c>
      <c r="F985" s="109">
        <f>ROUND(D985*(1+(E985/100)),2)</f>
        <v/>
      </c>
      <c r="G985" t="n">
        <v>15</v>
      </c>
      <c r="H985" t="n">
        <v>5</v>
      </c>
    </row>
    <row r="986">
      <c r="A986" t="n">
        <v>985</v>
      </c>
      <c r="B986" t="inlineStr">
        <is>
          <t>Produto</t>
        </is>
      </c>
      <c r="C986" s="121" t="inlineStr">
        <is>
          <t>Raquete de beach tennis ergonômico vermelho</t>
        </is>
      </c>
      <c r="D986" s="109" t="n">
        <v>212.86</v>
      </c>
      <c r="E986" s="123" t="n">
        <v>50</v>
      </c>
      <c r="F986" s="109">
        <f>ROUND(D986*(1+(E986/100)),2)</f>
        <v/>
      </c>
      <c r="G986" t="n">
        <v>15</v>
      </c>
      <c r="H986" t="n">
        <v>5</v>
      </c>
    </row>
    <row r="987">
      <c r="A987" t="n">
        <v>986</v>
      </c>
      <c r="B987" t="inlineStr">
        <is>
          <t>Produto</t>
        </is>
      </c>
      <c r="C987" s="121" t="inlineStr">
        <is>
          <t>Mochila esportiva adulto azul</t>
        </is>
      </c>
      <c r="D987" s="109" t="n">
        <v>234.76</v>
      </c>
      <c r="E987" s="123" t="n">
        <v>50</v>
      </c>
      <c r="F987" s="109">
        <f>ROUND(D987*(1+(E987/100)),2)</f>
        <v/>
      </c>
      <c r="G987" t="n">
        <v>15</v>
      </c>
      <c r="H987" t="n">
        <v>5</v>
      </c>
    </row>
    <row r="988">
      <c r="A988" t="n">
        <v>987</v>
      </c>
      <c r="B988" t="inlineStr">
        <is>
          <t>Produto</t>
        </is>
      </c>
      <c r="C988" s="121" t="inlineStr">
        <is>
          <t>Patins para uso diário rosa</t>
        </is>
      </c>
      <c r="D988" s="109" t="n">
        <v>283.07</v>
      </c>
      <c r="E988" s="123" t="n">
        <v>50</v>
      </c>
      <c r="F988" s="109">
        <f>ROUND(D988*(1+(E988/100)),2)</f>
        <v/>
      </c>
      <c r="G988" t="n">
        <v>15</v>
      </c>
      <c r="H988" t="n">
        <v>5</v>
      </c>
    </row>
    <row r="989">
      <c r="A989" t="n">
        <v>988</v>
      </c>
      <c r="B989" t="inlineStr">
        <is>
          <t>Produto</t>
        </is>
      </c>
      <c r="C989" s="121" t="inlineStr">
        <is>
          <t>Bola de vôlei com ajuste azul</t>
        </is>
      </c>
      <c r="D989" s="109" t="n">
        <v>67.72</v>
      </c>
      <c r="E989" s="123" t="n">
        <v>50</v>
      </c>
      <c r="F989" s="109">
        <f>ROUND(D989*(1+(E989/100)),2)</f>
        <v/>
      </c>
      <c r="G989" t="n">
        <v>15</v>
      </c>
      <c r="H989" t="n">
        <v>5</v>
      </c>
    </row>
    <row r="990">
      <c r="A990" t="n">
        <v>989</v>
      </c>
      <c r="B990" t="inlineStr">
        <is>
          <t>Produto</t>
        </is>
      </c>
      <c r="C990" s="121" t="inlineStr">
        <is>
          <t>Calça legging para uso diário cinza tam. 36</t>
        </is>
      </c>
      <c r="D990" s="109" t="n">
        <v>53.73</v>
      </c>
      <c r="E990" s="123" t="n">
        <v>50</v>
      </c>
      <c r="F990" s="109">
        <f>ROUND(D990*(1+(E990/100)),2)</f>
        <v/>
      </c>
      <c r="G990" t="n">
        <v>15</v>
      </c>
      <c r="H990" t="n">
        <v>5</v>
      </c>
    </row>
    <row r="991">
      <c r="A991" t="n">
        <v>990</v>
      </c>
      <c r="B991" t="inlineStr">
        <is>
          <t>Produto</t>
        </is>
      </c>
      <c r="C991" s="121" t="inlineStr">
        <is>
          <t>Bastão de caminhada ventilado azul</t>
        </is>
      </c>
      <c r="D991" s="109" t="n">
        <v>67.94</v>
      </c>
      <c r="E991" s="123" t="n">
        <v>50</v>
      </c>
      <c r="F991" s="109">
        <f>ROUND(D991*(1+(E991/100)),2)</f>
        <v/>
      </c>
      <c r="G991" t="n">
        <v>15</v>
      </c>
      <c r="H991" t="n">
        <v>5</v>
      </c>
    </row>
    <row r="992">
      <c r="A992" t="n">
        <v>991</v>
      </c>
      <c r="B992" t="inlineStr">
        <is>
          <t>Produto</t>
        </is>
      </c>
      <c r="C992" s="121" t="inlineStr">
        <is>
          <t>Touca de natação reforçado branco tam. P</t>
        </is>
      </c>
      <c r="D992" s="109" t="n">
        <v>52.99</v>
      </c>
      <c r="E992" s="123" t="n">
        <v>50</v>
      </c>
      <c r="F992" s="109">
        <f>ROUND(D992*(1+(E992/100)),2)</f>
        <v/>
      </c>
      <c r="G992" t="n">
        <v>15</v>
      </c>
      <c r="H992" t="n">
        <v>5</v>
      </c>
    </row>
    <row r="993">
      <c r="A993" t="n">
        <v>992</v>
      </c>
      <c r="B993" t="inlineStr">
        <is>
          <t>Produto</t>
        </is>
      </c>
      <c r="C993" s="121" t="inlineStr">
        <is>
          <t>Calça legging compacto laranja tam. 36</t>
        </is>
      </c>
      <c r="D993" s="109" t="n">
        <v>32.2</v>
      </c>
      <c r="E993" s="123" t="n">
        <v>50</v>
      </c>
      <c r="F993" s="109">
        <f>ROUND(D993*(1+(E993/100)),2)</f>
        <v/>
      </c>
      <c r="G993" t="n">
        <v>15</v>
      </c>
      <c r="H993" t="n">
        <v>5</v>
      </c>
    </row>
    <row r="994">
      <c r="A994" t="n">
        <v>993</v>
      </c>
      <c r="B994" t="inlineStr">
        <is>
          <t>Produto</t>
        </is>
      </c>
      <c r="C994" s="121" t="inlineStr">
        <is>
          <t>Bolsa de academia treino laranja</t>
        </is>
      </c>
      <c r="D994" s="109" t="n">
        <v>148.31</v>
      </c>
      <c r="E994" s="123" t="n">
        <v>50</v>
      </c>
      <c r="F994" s="109">
        <f>ROUND(D994*(1+(E994/100)),2)</f>
        <v/>
      </c>
      <c r="G994" t="n">
        <v>15</v>
      </c>
      <c r="H994" t="n">
        <v>5</v>
      </c>
    </row>
    <row r="995">
      <c r="A995" t="n">
        <v>994</v>
      </c>
      <c r="B995" t="inlineStr">
        <is>
          <t>Produto</t>
        </is>
      </c>
      <c r="C995" s="121" t="inlineStr">
        <is>
          <t>Bola de futebol unissex rosa</t>
        </is>
      </c>
      <c r="D995" s="109" t="n">
        <v>133.2</v>
      </c>
      <c r="E995" s="123" t="n">
        <v>50</v>
      </c>
      <c r="F995" s="109">
        <f>ROUND(D995*(1+(E995/100)),2)</f>
        <v/>
      </c>
      <c r="G995" t="n">
        <v>15</v>
      </c>
      <c r="H995" t="n">
        <v>5</v>
      </c>
    </row>
    <row r="996">
      <c r="A996" t="n">
        <v>995</v>
      </c>
      <c r="B996" t="inlineStr">
        <is>
          <t>Produto</t>
        </is>
      </c>
      <c r="C996" s="121" t="inlineStr">
        <is>
          <t>Chuteira society profissional verde tam. G</t>
        </is>
      </c>
      <c r="D996" s="109" t="n">
        <v>239.91</v>
      </c>
      <c r="E996" s="123" t="n">
        <v>50</v>
      </c>
      <c r="F996" s="109">
        <f>ROUND(D996*(1+(E996/100)),2)</f>
        <v/>
      </c>
      <c r="G996" t="n">
        <v>15</v>
      </c>
      <c r="H996" t="n">
        <v>5</v>
      </c>
    </row>
    <row r="997">
      <c r="A997" t="n">
        <v>996</v>
      </c>
      <c r="B997" t="inlineStr">
        <is>
          <t>Produto</t>
        </is>
      </c>
      <c r="C997" s="121" t="inlineStr">
        <is>
          <t>Nadadeira modelo básico preto</t>
        </is>
      </c>
      <c r="D997" s="109" t="n">
        <v>33.26</v>
      </c>
      <c r="E997" s="123" t="n">
        <v>50</v>
      </c>
      <c r="F997" s="109">
        <f>ROUND(D997*(1+(E997/100)),2)</f>
        <v/>
      </c>
      <c r="G997" t="n">
        <v>0</v>
      </c>
      <c r="H997" t="n">
        <v>5</v>
      </c>
    </row>
    <row r="998">
      <c r="A998" t="n">
        <v>997</v>
      </c>
      <c r="B998" t="inlineStr">
        <is>
          <t>Produto</t>
        </is>
      </c>
      <c r="C998" s="121" t="inlineStr">
        <is>
          <t>Óculos de natação ventilado azul</t>
        </is>
      </c>
      <c r="D998" s="109" t="n">
        <v>29.3</v>
      </c>
      <c r="E998" s="123" t="n">
        <v>50</v>
      </c>
      <c r="F998" s="109">
        <f>ROUND(D998*(1+(E998/100)),2)</f>
        <v/>
      </c>
      <c r="G998" t="n">
        <v>15</v>
      </c>
      <c r="H998" t="n">
        <v>5</v>
      </c>
    </row>
    <row r="999">
      <c r="A999" t="n">
        <v>998</v>
      </c>
      <c r="B999" t="inlineStr">
        <is>
          <t>Produto</t>
        </is>
      </c>
      <c r="C999" s="121" t="inlineStr">
        <is>
          <t>Jaqueta esportiva ventilado branco tam. 40</t>
        </is>
      </c>
      <c r="D999" s="109" t="n">
        <v>234.31</v>
      </c>
      <c r="E999" s="123" t="n">
        <v>50</v>
      </c>
      <c r="F999" s="109">
        <f>ROUND(D999*(1+(E999/100)),2)</f>
        <v/>
      </c>
      <c r="G999" t="n">
        <v>15</v>
      </c>
      <c r="H999" t="n">
        <v>5</v>
      </c>
    </row>
    <row r="1000">
      <c r="A1000" t="n">
        <v>999</v>
      </c>
      <c r="B1000" t="inlineStr">
        <is>
          <t>Produto</t>
        </is>
      </c>
      <c r="C1000" s="121" t="inlineStr">
        <is>
          <t>Bola de basquete modelo avançado vermelho</t>
        </is>
      </c>
      <c r="D1000" s="109" t="n">
        <v>64.52</v>
      </c>
      <c r="E1000" s="123" t="n">
        <v>50</v>
      </c>
      <c r="F1000" s="109">
        <f>ROUND(D1000*(1+(E1000/100)),2)</f>
        <v/>
      </c>
      <c r="G1000" t="n">
        <v>15</v>
      </c>
      <c r="H1000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2.6640625" customWidth="1" min="1" max="1"/>
    <col width="19.1328125" customWidth="1" min="2" max="2"/>
    <col width="13.46484375" customWidth="1" min="3" max="3"/>
    <col width="13.9296875" customWidth="1" min="4" max="4"/>
    <col width="23" customWidth="1" min="5" max="5"/>
    <col width="24.19921875" customWidth="1" min="6" max="6"/>
    <col width="14.19921875" customWidth="1" min="7" max="7"/>
    <col width="16.73046875" customWidth="1" min="8" max="8"/>
    <col width="5.73046875" customWidth="1" min="9" max="9"/>
  </cols>
  <sheetData>
    <row r="1" ht="15.4" customHeight="1">
      <c r="A1" s="124" t="inlineStr">
        <is>
          <t>ID</t>
        </is>
      </c>
      <c r="B1" s="124" t="inlineStr">
        <is>
          <t>NOME</t>
        </is>
      </c>
      <c r="C1" s="124" t="inlineStr">
        <is>
          <t>CPF_CNPJ</t>
        </is>
      </c>
      <c r="D1" s="124" t="inlineStr">
        <is>
          <t>TELEFONE</t>
        </is>
      </c>
      <c r="E1" s="124" t="inlineStr">
        <is>
          <t>EMAIL</t>
        </is>
      </c>
      <c r="F1" s="124" t="inlineStr">
        <is>
          <t>ENDERECO</t>
        </is>
      </c>
      <c r="G1" s="118" t="inlineStr">
        <is>
          <t>BAIRRO</t>
        </is>
      </c>
      <c r="H1" s="118" t="inlineStr">
        <is>
          <t>DATA_NASCIMENTO</t>
        </is>
      </c>
      <c r="I1" s="118" t="inlineStr">
        <is>
          <t>IDADE</t>
        </is>
      </c>
    </row>
    <row r="2">
      <c r="A2" t="n">
        <v>1</v>
      </c>
      <c r="B2" t="inlineStr">
        <is>
          <t>Carlos Alberto da Silva</t>
        </is>
      </c>
      <c r="C2" t="inlineStr">
        <is>
          <t>123.456.789-00</t>
        </is>
      </c>
      <c r="D2" t="inlineStr">
        <is>
          <t>(11) 98765-4321</t>
        </is>
      </c>
      <c r="E2" t="inlineStr">
        <is>
          <t>carlos.silva@email.com</t>
        </is>
      </c>
      <c r="F2" t="inlineStr">
        <is>
          <t>Rua das Flores, 120 - SP</t>
        </is>
      </c>
      <c r="G2" t="inlineStr">
        <is>
          <t>Jardim das Flores</t>
        </is>
      </c>
      <c r="H2" t="inlineStr">
        <is>
          <t>15/03/1985</t>
        </is>
      </c>
      <c r="I2" t="n">
        <v>41</v>
      </c>
    </row>
    <row r="3">
      <c r="A3" t="n">
        <v>2</v>
      </c>
      <c r="B3" t="inlineStr">
        <is>
          <t>Mariana Oliveira Santos</t>
        </is>
      </c>
      <c r="C3" t="inlineStr">
        <is>
          <t>234.567.890-11</t>
        </is>
      </c>
      <c r="D3" t="inlineStr">
        <is>
          <t>(21) 99887-6655</t>
        </is>
      </c>
      <c r="E3" t="inlineStr">
        <is>
          <t>mariana.santos@email.com</t>
        </is>
      </c>
      <c r="F3" t="inlineStr">
        <is>
          <t>Av. Brasil, 4500 - RJ</t>
        </is>
      </c>
      <c r="G3" t="inlineStr">
        <is>
          <t>Copacabana</t>
        </is>
      </c>
      <c r="H3" t="inlineStr">
        <is>
          <t>22/07/1992</t>
        </is>
      </c>
      <c r="I3" t="n">
        <v>34</v>
      </c>
    </row>
    <row r="4">
      <c r="A4" t="n">
        <v>3</v>
      </c>
      <c r="B4" t="inlineStr">
        <is>
          <t>Lucas Fernandes Souza</t>
        </is>
      </c>
      <c r="C4" t="inlineStr">
        <is>
          <t>345.678.901-22</t>
        </is>
      </c>
      <c r="D4" t="inlineStr">
        <is>
          <t>(31) 98452-1133</t>
        </is>
      </c>
      <c r="E4" t="inlineStr">
        <is>
          <t>lucas.souza@email.com</t>
        </is>
      </c>
      <c r="F4" t="inlineStr">
        <is>
          <t>Rua Bahia, 88 - MG</t>
        </is>
      </c>
      <c r="G4" t="inlineStr">
        <is>
          <t>Savassi</t>
        </is>
      </c>
      <c r="H4" s="115" t="n">
        <v>32427</v>
      </c>
      <c r="I4" t="n">
        <v>37</v>
      </c>
    </row>
    <row r="5">
      <c r="A5" t="n">
        <v>4</v>
      </c>
      <c r="B5" t="inlineStr">
        <is>
          <t>Beatriz Souza Almeida</t>
        </is>
      </c>
      <c r="C5" t="inlineStr">
        <is>
          <t>456.789.012-33</t>
        </is>
      </c>
      <c r="D5" t="inlineStr">
        <is>
          <t>(41) 97123-9988</t>
        </is>
      </c>
      <c r="E5" t="inlineStr">
        <is>
          <t>beatriz.almeida@email.com</t>
        </is>
      </c>
      <c r="F5" t="inlineStr">
        <is>
          <t>Rua XV de Novembro, 200 - PR</t>
        </is>
      </c>
      <c r="G5" t="inlineStr">
        <is>
          <t>Batel</t>
        </is>
      </c>
      <c r="H5" s="115" t="n">
        <v>34828</v>
      </c>
      <c r="I5" t="n">
        <v>31</v>
      </c>
    </row>
    <row r="6">
      <c r="A6" t="n">
        <v>6</v>
      </c>
      <c r="B6" t="inlineStr">
        <is>
          <t>vivaben</t>
        </is>
      </c>
      <c r="C6" t="n">
        <v>5823813120</v>
      </c>
      <c r="D6" t="n">
        <v>61982880812</v>
      </c>
      <c r="E6" t="inlineStr">
        <is>
          <t>sdASDDA!@gmail.com</t>
        </is>
      </c>
      <c r="F6" t="inlineStr">
        <is>
          <t>QND 27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.6640625" customWidth="1" min="1" max="1"/>
    <col width="27.9296875" customWidth="1" min="2" max="2"/>
    <col width="11.33203125" customWidth="1" min="3" max="3"/>
    <col width="10.59765625" customWidth="1" min="4" max="4"/>
    <col width="34.6640625" customWidth="1" min="5" max="5"/>
    <col width="14.1328125" customWidth="1" min="6" max="6"/>
  </cols>
  <sheetData>
    <row r="1">
      <c r="A1" s="125" t="inlineStr">
        <is>
          <t>🔐 BASE DE ACESSO &amp; CONTROLE DE OPERADORES (ADMINISTRATIVO)</t>
        </is>
      </c>
    </row>
    <row r="2"/>
    <row r="3"/>
    <row r="4" ht="15.4" customHeight="1">
      <c r="A4" s="126" t="inlineStr">
        <is>
          <t>ID</t>
        </is>
      </c>
      <c r="B4" s="126" t="inlineStr">
        <is>
          <t>NOME</t>
        </is>
      </c>
      <c r="C4" s="126" t="inlineStr">
        <is>
          <t>USUARIO</t>
        </is>
      </c>
      <c r="D4" s="126" t="inlineStr">
        <is>
          <t>PIN_SENHA</t>
        </is>
      </c>
      <c r="E4" s="126" t="inlineStr">
        <is>
          <t>PERFIL</t>
        </is>
      </c>
      <c r="F4" s="126" t="inlineStr">
        <is>
          <t>ATIVO</t>
        </is>
      </c>
    </row>
    <row r="5" ht="15" customHeight="1">
      <c r="A5" s="105" t="n">
        <v>1</v>
      </c>
      <c r="B5" s="106" t="inlineStr">
        <is>
          <t>Administrador</t>
        </is>
      </c>
      <c r="C5" s="105" t="inlineStr">
        <is>
          <t>admin</t>
        </is>
      </c>
      <c r="D5" s="105" t="n">
        <v>1234</v>
      </c>
      <c r="E5" s="105" t="inlineStr">
        <is>
          <t>ADMIN</t>
        </is>
      </c>
      <c r="F5" s="105" t="inlineStr">
        <is>
          <t>Sim</t>
        </is>
      </c>
    </row>
    <row r="6" ht="15" customHeight="1">
      <c r="A6" s="105" t="n">
        <v>2</v>
      </c>
      <c r="B6" s="106" t="inlineStr">
        <is>
          <t>Vitória Karollyne Bezerra da Fonseca</t>
        </is>
      </c>
      <c r="C6" s="105" t="inlineStr">
        <is>
          <t>recepcao</t>
        </is>
      </c>
      <c r="D6" s="105" t="n">
        <v>1111</v>
      </c>
      <c r="E6" s="105" t="inlineStr">
        <is>
          <t>RECEPCAO</t>
        </is>
      </c>
      <c r="F6" s="105" t="inlineStr">
        <is>
          <t>Sim</t>
        </is>
      </c>
    </row>
    <row r="7" ht="15" customHeight="1">
      <c r="A7" s="105" t="n">
        <v>3</v>
      </c>
      <c r="B7" s="106" t="inlineStr">
        <is>
          <t>Geovana</t>
        </is>
      </c>
      <c r="C7" s="105" t="inlineStr">
        <is>
          <t>recepcao</t>
        </is>
      </c>
      <c r="D7" s="105" t="n">
        <v>2222</v>
      </c>
      <c r="E7" s="105" t="inlineStr">
        <is>
          <t>RECEPCAO</t>
        </is>
      </c>
      <c r="F7" s="105" t="inlineStr">
        <is>
          <t>Sim</t>
        </is>
      </c>
    </row>
    <row r="8" ht="15" customHeight="1">
      <c r="A8" s="105" t="n">
        <v>4</v>
      </c>
      <c r="B8" s="106" t="inlineStr">
        <is>
          <t>Maricélia</t>
        </is>
      </c>
      <c r="C8" s="105" t="inlineStr">
        <is>
          <t>Especialista</t>
        </is>
      </c>
      <c r="D8" t="inlineStr">
        <is>
          <t>tretapesada</t>
        </is>
      </c>
      <c r="E8" s="105" t="inlineStr">
        <is>
          <t>ESPECIALISTA</t>
        </is>
      </c>
      <c r="F8" s="105" t="inlineStr">
        <is>
          <t>Sim</t>
        </is>
      </c>
    </row>
  </sheetData>
  <mergeCells count="1">
    <mergeCell ref="A1:E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17.86328125" customWidth="1" min="1" max="1"/>
    <col width="32.73046875" customWidth="1" min="2" max="2"/>
  </cols>
  <sheetData>
    <row r="1">
      <c r="A1" s="127" t="inlineStr">
        <is>
          <t>CAMPO</t>
        </is>
      </c>
      <c r="B1" s="127" t="inlineStr">
        <is>
          <t>VALOR</t>
        </is>
      </c>
    </row>
    <row r="2">
      <c r="A2" s="128" t="inlineStr">
        <is>
          <t>RAZAO_SOCIAL</t>
        </is>
      </c>
      <c r="B2" t="inlineStr">
        <is>
          <t>MINHA EMPRESA DE VENDAS LTDA</t>
        </is>
      </c>
    </row>
    <row r="3">
      <c r="A3" s="128" t="inlineStr">
        <is>
          <t>NOME_FANTASIA</t>
        </is>
      </c>
      <c r="B3" t="inlineStr">
        <is>
          <t>SISTEMA DE VENDAS &amp; PDV</t>
        </is>
      </c>
    </row>
    <row r="4">
      <c r="A4" s="128" t="inlineStr">
        <is>
          <t>CNPJ</t>
        </is>
      </c>
      <c r="B4" t="inlineStr">
        <is>
          <t>12.345.678/0001-90</t>
        </is>
      </c>
    </row>
    <row r="5">
      <c r="A5" s="128" t="inlineStr">
        <is>
          <t>TELEFONE</t>
        </is>
      </c>
      <c r="B5" t="inlineStr">
        <is>
          <t>(11) 98765-4321</t>
        </is>
      </c>
    </row>
    <row r="6">
      <c r="A6" s="128" t="inlineStr">
        <is>
          <t>EMAIL</t>
        </is>
      </c>
      <c r="B6" t="inlineStr">
        <is>
          <t>contato@empresa.com.br</t>
        </is>
      </c>
    </row>
    <row r="7">
      <c r="A7" s="128" t="inlineStr">
        <is>
          <t>ENDERECO</t>
        </is>
      </c>
      <c r="B7" t="inlineStr">
        <is>
          <t>Av. Paulista, 1000 - Bela Vista</t>
        </is>
      </c>
    </row>
    <row r="8">
      <c r="A8" s="128" t="inlineStr">
        <is>
          <t>CIDADE_UF</t>
        </is>
      </c>
      <c r="B8" t="inlineStr">
        <is>
          <t>São Paulo - SP</t>
        </is>
      </c>
    </row>
    <row r="9">
      <c r="A9" s="128" t="inlineStr">
        <is>
          <t>MENSAGEM_RODAPE</t>
        </is>
      </c>
      <c r="B9" t="inlineStr">
        <is>
          <t>Obrigado pela preferência! Volte sempre.</t>
        </is>
      </c>
    </row>
    <row r="10">
      <c r="A10" s="128" t="inlineStr">
        <is>
          <t>LOGO_PATH</t>
        </is>
      </c>
      <c r="B10" t="inlineStr">
        <is>
          <t>logo_empresa.png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2026-10-22T14:18:51Z</dcterms:created>
  <dcterms:modified xmlns:dcterms="http://purl.org/dc/terms/" xmlns:xsi="http://www.w3.org/2001/XMLSchema-instance" xsi:type="dcterms:W3CDTF">2026-10-22T14:18:57Z</dcterms:modified>
</cp:coreProperties>
</file>